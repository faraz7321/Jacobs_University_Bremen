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3.xml" ContentType="application/vnd.openxmlformats-officedocument.drawing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drawings/drawing4.xml" ContentType="application/vnd.openxmlformats-officedocument.drawing+xml"/>
  <Override PartName="/xl/charts/chart9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tables/table1.xml" ContentType="application/vnd.openxmlformats-officedocument.spreadsheetml.table+xml"/>
  <Override PartName="/xl/drawings/drawing5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6.xml" ContentType="application/vnd.openxmlformats-officedocument.drawing+xml"/>
  <Override PartName="/xl/charts/chart10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215" codeName="{296A6A55-71EF-3FAC-97E6-161027D96622}"/>
  <workbookPr updateLinks="never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yilmaz/Files/Teaching/Industrial Engineering/2022/"/>
    </mc:Choice>
  </mc:AlternateContent>
  <xr:revisionPtr revIDLastSave="0" documentId="8_{A79CB407-A397-4743-A5F2-AB81A97C1D17}" xr6:coauthVersionLast="47" xr6:coauthVersionMax="47" xr10:uidLastSave="{00000000-0000-0000-0000-000000000000}"/>
  <bookViews>
    <workbookView xWindow="0" yWindow="500" windowWidth="38400" windowHeight="21100" firstSheet="8" activeTab="19" xr2:uid="{49EAED0B-733C-8D44-BDE8-5B921E722C2C}"/>
  </bookViews>
  <sheets>
    <sheet name="S01 Production Morphology" sheetId="22" r:id="rId1"/>
    <sheet name="S02 Location Selection" sheetId="61" r:id="rId2"/>
    <sheet name="S03 Location Prioritization" sheetId="62" r:id="rId3"/>
    <sheet name="S04 Product Life Cyle" sheetId="63" r:id="rId4"/>
    <sheet name="S05 Req Weights" sheetId="64" r:id="rId5"/>
    <sheet name="S06 Requirements HoQ" sheetId="65" r:id="rId6"/>
    <sheet name="S07 Initial Parameters" sheetId="55" r:id="rId7"/>
    <sheet name="S08 ABC Output" sheetId="25" r:id="rId8"/>
    <sheet name="S09 BOM" sheetId="66" r:id="rId9"/>
    <sheet name="S10 Route Sheets" sheetId="32" r:id="rId10"/>
    <sheet name="S11 Work Stations" sheetId="26" r:id="rId11"/>
    <sheet name="S12 Operations" sheetId="27" r:id="rId12"/>
    <sheet name="S13 Routing Initial" sheetId="28" r:id="rId13"/>
    <sheet name="S14 Clustering" sheetId="29" r:id="rId14"/>
    <sheet name="S15 Routing Clustered" sheetId="30" r:id="rId15"/>
    <sheet name="S16 Material Properties" sheetId="71" r:id="rId16"/>
    <sheet name="S17 Mat. Prop. Weights" sheetId="67" r:id="rId17"/>
    <sheet name="S18 Mat. Perf. Index" sheetId="68" r:id="rId18"/>
    <sheet name="S19 Mat. Cost per Strength" sheetId="69" r:id="rId19"/>
    <sheet name="S20 Material FOM" sheetId="70" r:id="rId20"/>
  </sheets>
  <functionGroups builtInGroupCount="19"/>
  <externalReferences>
    <externalReference r:id="rId21"/>
    <externalReference r:id="rId22"/>
  </externalReferences>
  <definedNames>
    <definedName name="_xlnm._FilterDatabase" localSheetId="2" hidden="1">'S03 Location Prioritization'!$A$2:$F$22</definedName>
    <definedName name="_xlnm._FilterDatabase" localSheetId="6" hidden="1">'S07 Initial Parameters'!$A$1:$G$1</definedName>
    <definedName name="_xlnm._FilterDatabase" localSheetId="7" hidden="1">'S08 ABC Output'!$A$2:$F$202</definedName>
    <definedName name="_xlnm._FilterDatabase" localSheetId="11" hidden="1">'S12 Operations'!$C$1:$H$533</definedName>
    <definedName name="BOM_Levels">'[1]BOM 2.5KW'!$AD$1:$AD$2</definedName>
    <definedName name="Make_Buy">'[1]BOM 2.5KW'!$AF$2:$AF$3</definedName>
    <definedName name="MakeBuy">'[2]S03 Location Prioritization'!$AF$2:$AF$3</definedName>
    <definedName name="names" localSheetId="2">#REF!</definedName>
    <definedName name="names" localSheetId="3">#REF!</definedName>
    <definedName name="names" localSheetId="4">#REF!</definedName>
    <definedName name="names" localSheetId="5">#REF!</definedName>
    <definedName name="names" localSheetId="15">#REF!</definedName>
    <definedName name="names" localSheetId="16">#REF!</definedName>
    <definedName name="names" localSheetId="17">#REF!</definedName>
    <definedName name="names" localSheetId="18">#REF!</definedName>
    <definedName name="names" localSheetId="19">#REF!</definedName>
    <definedName name="names">#REF!</definedName>
    <definedName name="POWER_USER_EXCEL_CHART_10DFB4BD_AB64_459D_93F7_2E1E56295722">#REF!</definedName>
    <definedName name="POWER_USER_EXCEL_CHART_3FCF8CDC_1C82_4800_BC09_6A7624F588B1">#REF!</definedName>
    <definedName name="POWER_USER_EXCEL_CHART_BE703BC9_692D_48AA_9DA7_CA336198B98D">#REF!</definedName>
    <definedName name="Revision">'[1]BOM 2.5KW'!$AE$2:$AE$41</definedName>
    <definedName name="UOM">'[1]BOM 2.5KW'!$AC$2:$AC$15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5" i="69" l="1"/>
  <c r="F5" i="69" s="1"/>
  <c r="C3" i="70" s="1"/>
  <c r="E6" i="69"/>
  <c r="B4" i="70" s="1"/>
  <c r="E7" i="69"/>
  <c r="B5" i="70" s="1"/>
  <c r="E8" i="69"/>
  <c r="B6" i="70" s="1"/>
  <c r="E4" i="69"/>
  <c r="D5" i="69"/>
  <c r="D6" i="69"/>
  <c r="D7" i="69"/>
  <c r="D8" i="69"/>
  <c r="F8" i="69" s="1"/>
  <c r="C6" i="70" s="1"/>
  <c r="D4" i="69"/>
  <c r="C5" i="69"/>
  <c r="B5" i="69"/>
  <c r="B6" i="69"/>
  <c r="C6" i="69" s="1"/>
  <c r="B7" i="69"/>
  <c r="C7" i="69" s="1"/>
  <c r="F7" i="69" s="1"/>
  <c r="C5" i="70" s="1"/>
  <c r="B8" i="69"/>
  <c r="C8" i="69" s="1"/>
  <c r="B4" i="69"/>
  <c r="C4" i="69" s="1"/>
  <c r="B4" i="68"/>
  <c r="E4" i="68"/>
  <c r="F4" i="68"/>
  <c r="E5" i="68"/>
  <c r="F5" i="68"/>
  <c r="E6" i="68"/>
  <c r="F6" i="68"/>
  <c r="E7" i="68"/>
  <c r="F7" i="68"/>
  <c r="E8" i="68"/>
  <c r="F8" i="68"/>
  <c r="D4" i="68"/>
  <c r="D5" i="68"/>
  <c r="D6" i="68"/>
  <c r="D7" i="68"/>
  <c r="D8" i="68"/>
  <c r="C4" i="68"/>
  <c r="C5" i="68"/>
  <c r="C6" i="68"/>
  <c r="C7" i="68"/>
  <c r="C8" i="68"/>
  <c r="B5" i="68"/>
  <c r="B6" i="68"/>
  <c r="B7" i="68"/>
  <c r="B8" i="68"/>
  <c r="G2" i="67"/>
  <c r="A3" i="70"/>
  <c r="A4" i="70"/>
  <c r="A5" i="70"/>
  <c r="A6" i="70"/>
  <c r="A2" i="70"/>
  <c r="A5" i="69"/>
  <c r="A6" i="69"/>
  <c r="A7" i="69"/>
  <c r="A8" i="69"/>
  <c r="A4" i="69"/>
  <c r="C3" i="68"/>
  <c r="D3" i="68"/>
  <c r="E3" i="68"/>
  <c r="F3" i="68"/>
  <c r="B3" i="68"/>
  <c r="A5" i="68"/>
  <c r="A6" i="68"/>
  <c r="A7" i="68"/>
  <c r="A8" i="68"/>
  <c r="A4" i="68"/>
  <c r="C1" i="67"/>
  <c r="D1" i="67"/>
  <c r="E1" i="67"/>
  <c r="F1" i="67"/>
  <c r="B1" i="67"/>
  <c r="G7" i="71"/>
  <c r="G6" i="71"/>
  <c r="G5" i="71"/>
  <c r="G4" i="71"/>
  <c r="G3" i="71"/>
  <c r="E6" i="67" a="1"/>
  <c r="E6" i="67" s="1"/>
  <c r="D5" i="67" a="1"/>
  <c r="D5" i="67" s="1"/>
  <c r="C4" i="67" a="1"/>
  <c r="C6" i="67" s="1"/>
  <c r="B3" i="67" a="1"/>
  <c r="B6" i="67" s="1"/>
  <c r="I18" i="30"/>
  <c r="H18" i="30"/>
  <c r="G18" i="30"/>
  <c r="F18" i="30"/>
  <c r="E18" i="30"/>
  <c r="D18" i="30"/>
  <c r="C18" i="30"/>
  <c r="B18" i="30"/>
  <c r="I17" i="30"/>
  <c r="H17" i="30"/>
  <c r="G17" i="30"/>
  <c r="F17" i="30"/>
  <c r="E17" i="30"/>
  <c r="D17" i="30"/>
  <c r="C17" i="30"/>
  <c r="B17" i="30"/>
  <c r="I16" i="30"/>
  <c r="H16" i="30"/>
  <c r="G16" i="30"/>
  <c r="F16" i="30"/>
  <c r="E16" i="30"/>
  <c r="D16" i="30"/>
  <c r="C16" i="30"/>
  <c r="B16" i="30"/>
  <c r="I15" i="30"/>
  <c r="H15" i="30"/>
  <c r="G15" i="30"/>
  <c r="F15" i="30"/>
  <c r="E15" i="30"/>
  <c r="D15" i="30"/>
  <c r="C15" i="30"/>
  <c r="B15" i="30"/>
  <c r="I14" i="30"/>
  <c r="H14" i="30"/>
  <c r="G14" i="30"/>
  <c r="F14" i="30"/>
  <c r="E14" i="30"/>
  <c r="D14" i="30"/>
  <c r="C14" i="30"/>
  <c r="B14" i="30"/>
  <c r="I13" i="30"/>
  <c r="H13" i="30"/>
  <c r="G13" i="30"/>
  <c r="F13" i="30"/>
  <c r="E13" i="30"/>
  <c r="D13" i="30"/>
  <c r="C13" i="30"/>
  <c r="B13" i="30"/>
  <c r="I12" i="30"/>
  <c r="H12" i="30"/>
  <c r="G12" i="30"/>
  <c r="F12" i="30"/>
  <c r="E12" i="30"/>
  <c r="D12" i="30"/>
  <c r="C12" i="30"/>
  <c r="B12" i="30"/>
  <c r="I11" i="30"/>
  <c r="H11" i="30"/>
  <c r="G11" i="30"/>
  <c r="F11" i="30"/>
  <c r="E11" i="30"/>
  <c r="D11" i="30"/>
  <c r="C11" i="30"/>
  <c r="B11" i="30"/>
  <c r="I10" i="30"/>
  <c r="H10" i="30"/>
  <c r="G10" i="30"/>
  <c r="F10" i="30"/>
  <c r="E10" i="30"/>
  <c r="D10" i="30"/>
  <c r="C10" i="30"/>
  <c r="B10" i="30"/>
  <c r="I9" i="30"/>
  <c r="H9" i="30"/>
  <c r="G9" i="30"/>
  <c r="F9" i="30"/>
  <c r="E9" i="30"/>
  <c r="D9" i="30"/>
  <c r="C9" i="30"/>
  <c r="B9" i="30"/>
  <c r="I8" i="30"/>
  <c r="H8" i="30"/>
  <c r="G8" i="30"/>
  <c r="F8" i="30"/>
  <c r="E8" i="30"/>
  <c r="D8" i="30"/>
  <c r="C8" i="30"/>
  <c r="B8" i="30"/>
  <c r="I7" i="30"/>
  <c r="H7" i="30"/>
  <c r="G7" i="30"/>
  <c r="F7" i="30"/>
  <c r="E7" i="30"/>
  <c r="D7" i="30"/>
  <c r="C7" i="30"/>
  <c r="B7" i="30"/>
  <c r="I6" i="30"/>
  <c r="H6" i="30"/>
  <c r="G6" i="30"/>
  <c r="F6" i="30"/>
  <c r="E6" i="30"/>
  <c r="D6" i="30"/>
  <c r="C6" i="30"/>
  <c r="B6" i="30"/>
  <c r="I5" i="30"/>
  <c r="H5" i="30"/>
  <c r="G5" i="30"/>
  <c r="F5" i="30"/>
  <c r="E5" i="30"/>
  <c r="D5" i="30"/>
  <c r="C5" i="30"/>
  <c r="B5" i="30"/>
  <c r="I4" i="30"/>
  <c r="H4" i="30"/>
  <c r="G4" i="30"/>
  <c r="F4" i="30"/>
  <c r="E4" i="30"/>
  <c r="D4" i="30"/>
  <c r="C4" i="30"/>
  <c r="B4" i="30"/>
  <c r="C3" i="30"/>
  <c r="D3" i="30"/>
  <c r="E3" i="30"/>
  <c r="F3" i="30"/>
  <c r="G3" i="30"/>
  <c r="H3" i="30"/>
  <c r="I3" i="30"/>
  <c r="B3" i="30"/>
  <c r="A4" i="30"/>
  <c r="A5" i="30"/>
  <c r="A6" i="30"/>
  <c r="A7" i="30"/>
  <c r="A8" i="30"/>
  <c r="A9" i="30"/>
  <c r="A10" i="30"/>
  <c r="A11" i="30"/>
  <c r="A12" i="30"/>
  <c r="A13" i="30"/>
  <c r="A14" i="30"/>
  <c r="A15" i="30"/>
  <c r="A16" i="30"/>
  <c r="A17" i="30"/>
  <c r="A18" i="30"/>
  <c r="A3" i="30"/>
  <c r="A18" i="29"/>
  <c r="A17" i="29"/>
  <c r="A16" i="29"/>
  <c r="A15" i="29"/>
  <c r="A14" i="29"/>
  <c r="A13" i="29"/>
  <c r="A12" i="29"/>
  <c r="A11" i="29"/>
  <c r="A10" i="29"/>
  <c r="A9" i="29"/>
  <c r="A8" i="29"/>
  <c r="A7" i="29"/>
  <c r="A6" i="29"/>
  <c r="A5" i="29"/>
  <c r="A4" i="29"/>
  <c r="A3" i="29"/>
  <c r="B23" i="29" a="1"/>
  <c r="B23" i="29" s="1"/>
  <c r="C23" i="29" a="1"/>
  <c r="C23" i="29" s="1"/>
  <c r="D23" i="29" a="1"/>
  <c r="D23" i="29" s="1"/>
  <c r="E23" i="29" a="1"/>
  <c r="E23" i="29" s="1"/>
  <c r="F23" i="29" a="1"/>
  <c r="F23" i="29" s="1"/>
  <c r="G23" i="29" a="1"/>
  <c r="G23" i="29" s="1"/>
  <c r="H23" i="29" a="1"/>
  <c r="H23" i="29" s="1"/>
  <c r="I23" i="29" a="1"/>
  <c r="I23" i="29" s="1"/>
  <c r="J23" i="29" a="1"/>
  <c r="J23" i="29" s="1"/>
  <c r="K23" i="29" a="1"/>
  <c r="K23" i="29" s="1"/>
  <c r="L23" i="29" a="1"/>
  <c r="L23" i="29" s="1"/>
  <c r="M23" i="29" a="1"/>
  <c r="M23" i="29" s="1"/>
  <c r="N23" i="29" a="1"/>
  <c r="N23" i="29" s="1"/>
  <c r="O23" i="29" a="1"/>
  <c r="O23" i="29" s="1"/>
  <c r="P23" i="29" a="1"/>
  <c r="P23" i="29" s="1"/>
  <c r="Q23" i="29" a="1"/>
  <c r="Q23" i="29" s="1"/>
  <c r="R23" i="29" a="1"/>
  <c r="R23" i="29" s="1"/>
  <c r="S23" i="29" a="1"/>
  <c r="S23" i="29" s="1"/>
  <c r="T23" i="29" a="1"/>
  <c r="T23" i="29" s="1"/>
  <c r="U23" i="29" a="1"/>
  <c r="U23" i="29" s="1"/>
  <c r="V23" i="29" a="1"/>
  <c r="V23" i="29" s="1"/>
  <c r="W23" i="29" a="1"/>
  <c r="W23" i="29" s="1"/>
  <c r="X23" i="29" a="1"/>
  <c r="X23" i="29" s="1"/>
  <c r="Y23" i="29" a="1"/>
  <c r="Y23" i="29" s="1"/>
  <c r="Z23" i="29" a="1"/>
  <c r="Z23" i="29" s="1"/>
  <c r="AA23" i="29" a="1"/>
  <c r="AA23" i="29" s="1"/>
  <c r="B24" i="29" a="1"/>
  <c r="B24" i="29" s="1"/>
  <c r="C24" i="29" a="1"/>
  <c r="C24" i="29" s="1"/>
  <c r="D24" i="29" a="1"/>
  <c r="D24" i="29" s="1"/>
  <c r="E24" i="29" a="1"/>
  <c r="E24" i="29" s="1"/>
  <c r="F24" i="29" a="1"/>
  <c r="F24" i="29" s="1"/>
  <c r="G24" i="29" a="1"/>
  <c r="G24" i="29" s="1"/>
  <c r="H24" i="29" a="1"/>
  <c r="H24" i="29" s="1"/>
  <c r="I24" i="29" a="1"/>
  <c r="I24" i="29" s="1"/>
  <c r="J24" i="29" a="1"/>
  <c r="J24" i="29" s="1"/>
  <c r="K24" i="29" a="1"/>
  <c r="K24" i="29" s="1"/>
  <c r="L24" i="29" a="1"/>
  <c r="L24" i="29" s="1"/>
  <c r="M24" i="29" a="1"/>
  <c r="M24" i="29" s="1"/>
  <c r="N24" i="29" a="1"/>
  <c r="N24" i="29" s="1"/>
  <c r="O24" i="29" a="1"/>
  <c r="O24" i="29"/>
  <c r="P24" i="29" a="1"/>
  <c r="P24" i="29" s="1"/>
  <c r="Q24" i="29" a="1"/>
  <c r="Q24" i="29" s="1"/>
  <c r="R24" i="29" a="1"/>
  <c r="R24" i="29" s="1"/>
  <c r="S24" i="29" a="1"/>
  <c r="S24" i="29" s="1"/>
  <c r="T24" i="29" a="1"/>
  <c r="T24" i="29" s="1"/>
  <c r="U24" i="29" a="1"/>
  <c r="U24" i="29" s="1"/>
  <c r="V24" i="29" a="1"/>
  <c r="V24" i="29" s="1"/>
  <c r="W24" i="29" a="1"/>
  <c r="W24" i="29" s="1"/>
  <c r="X24" i="29" a="1"/>
  <c r="X24" i="29" s="1"/>
  <c r="Y24" i="29" a="1"/>
  <c r="Y24" i="29" s="1"/>
  <c r="Z24" i="29" a="1"/>
  <c r="Z24" i="29" s="1"/>
  <c r="AA24" i="29" a="1"/>
  <c r="AA24" i="29" s="1"/>
  <c r="B25" i="29" a="1"/>
  <c r="B25" i="29" s="1"/>
  <c r="C25" i="29" a="1"/>
  <c r="C25" i="29" s="1"/>
  <c r="D25" i="29" a="1"/>
  <c r="D25" i="29" s="1"/>
  <c r="E25" i="29" a="1"/>
  <c r="E25" i="29"/>
  <c r="F25" i="29" a="1"/>
  <c r="F25" i="29" s="1"/>
  <c r="G25" i="29" a="1"/>
  <c r="G25" i="29" s="1"/>
  <c r="H25" i="29" a="1"/>
  <c r="H25" i="29" s="1"/>
  <c r="I25" i="29" a="1"/>
  <c r="I25" i="29" s="1"/>
  <c r="J25" i="29" a="1"/>
  <c r="J25" i="29" s="1"/>
  <c r="K25" i="29" a="1"/>
  <c r="K25" i="29" s="1"/>
  <c r="L25" i="29" a="1"/>
  <c r="L25" i="29" s="1"/>
  <c r="M25" i="29" a="1"/>
  <c r="M25" i="29" s="1"/>
  <c r="N25" i="29" a="1"/>
  <c r="N25" i="29" s="1"/>
  <c r="O25" i="29" a="1"/>
  <c r="O25" i="29" s="1"/>
  <c r="P25" i="29" a="1"/>
  <c r="P25" i="29" s="1"/>
  <c r="Q25" i="29" a="1"/>
  <c r="Q25" i="29" s="1"/>
  <c r="R25" i="29" a="1"/>
  <c r="R25" i="29" s="1"/>
  <c r="S25" i="29" a="1"/>
  <c r="S25" i="29" s="1"/>
  <c r="T25" i="29" a="1"/>
  <c r="T25" i="29" s="1"/>
  <c r="U25" i="29" a="1"/>
  <c r="U25" i="29"/>
  <c r="V25" i="29" a="1"/>
  <c r="V25" i="29" s="1"/>
  <c r="W25" i="29" a="1"/>
  <c r="W25" i="29" s="1"/>
  <c r="X25" i="29" a="1"/>
  <c r="X25" i="29" s="1"/>
  <c r="Y25" i="29" a="1"/>
  <c r="Y25" i="29" s="1"/>
  <c r="Z25" i="29" a="1"/>
  <c r="Z25" i="29" s="1"/>
  <c r="AA25" i="29" a="1"/>
  <c r="AA25" i="29" s="1"/>
  <c r="B26" i="29" a="1"/>
  <c r="B26" i="29" s="1"/>
  <c r="C26" i="29" a="1"/>
  <c r="C26" i="29" s="1"/>
  <c r="D26" i="29" a="1"/>
  <c r="D26" i="29" s="1"/>
  <c r="E26" i="29" a="1"/>
  <c r="E26" i="29" s="1"/>
  <c r="F26" i="29" a="1"/>
  <c r="F26" i="29" s="1"/>
  <c r="G26" i="29" a="1"/>
  <c r="G26" i="29" s="1"/>
  <c r="H26" i="29" a="1"/>
  <c r="H26" i="29" s="1"/>
  <c r="I26" i="29" a="1"/>
  <c r="I26" i="29" s="1"/>
  <c r="J26" i="29" a="1"/>
  <c r="J26" i="29" s="1"/>
  <c r="K26" i="29" a="1"/>
  <c r="K26" i="29"/>
  <c r="L26" i="29" a="1"/>
  <c r="L26" i="29" s="1"/>
  <c r="M26" i="29" a="1"/>
  <c r="M26" i="29" s="1"/>
  <c r="N26" i="29" a="1"/>
  <c r="N26" i="29" s="1"/>
  <c r="O26" i="29" a="1"/>
  <c r="O26" i="29" s="1"/>
  <c r="P26" i="29" a="1"/>
  <c r="P26" i="29" s="1"/>
  <c r="Q26" i="29" a="1"/>
  <c r="Q26" i="29" s="1"/>
  <c r="R26" i="29" a="1"/>
  <c r="R26" i="29" s="1"/>
  <c r="S26" i="29" a="1"/>
  <c r="S26" i="29" s="1"/>
  <c r="T26" i="29" a="1"/>
  <c r="T26" i="29" s="1"/>
  <c r="U26" i="29" a="1"/>
  <c r="U26" i="29" s="1"/>
  <c r="V26" i="29" a="1"/>
  <c r="V26" i="29" s="1"/>
  <c r="W26" i="29" a="1"/>
  <c r="W26" i="29" s="1"/>
  <c r="X26" i="29" a="1"/>
  <c r="X26" i="29" s="1"/>
  <c r="Y26" i="29" a="1"/>
  <c r="Y26" i="29" s="1"/>
  <c r="Z26" i="29" a="1"/>
  <c r="Z26" i="29" s="1"/>
  <c r="AA26" i="29" a="1"/>
  <c r="AA26" i="29"/>
  <c r="B27" i="29" a="1"/>
  <c r="B27" i="29" s="1"/>
  <c r="C27" i="29" a="1"/>
  <c r="C27" i="29" s="1"/>
  <c r="D27" i="29" a="1"/>
  <c r="D27" i="29" s="1"/>
  <c r="E27" i="29" a="1"/>
  <c r="E27" i="29" s="1"/>
  <c r="F27" i="29" a="1"/>
  <c r="F27" i="29" s="1"/>
  <c r="G27" i="29" a="1"/>
  <c r="G27" i="29" s="1"/>
  <c r="H27" i="29" a="1"/>
  <c r="H27" i="29" s="1"/>
  <c r="I27" i="29" a="1"/>
  <c r="I27" i="29" s="1"/>
  <c r="J27" i="29" a="1"/>
  <c r="J27" i="29" s="1"/>
  <c r="K27" i="29" a="1"/>
  <c r="K27" i="29" s="1"/>
  <c r="L27" i="29" a="1"/>
  <c r="L27" i="29" s="1"/>
  <c r="M27" i="29" a="1"/>
  <c r="M27" i="29" s="1"/>
  <c r="N27" i="29" a="1"/>
  <c r="N27" i="29" s="1"/>
  <c r="O27" i="29" a="1"/>
  <c r="O27" i="29" s="1"/>
  <c r="P27" i="29" a="1"/>
  <c r="P27" i="29" s="1"/>
  <c r="Q27" i="29" a="1"/>
  <c r="Q27" i="29"/>
  <c r="R27" i="29" a="1"/>
  <c r="R27" i="29" s="1"/>
  <c r="S27" i="29" a="1"/>
  <c r="S27" i="29" s="1"/>
  <c r="T27" i="29" a="1"/>
  <c r="T27" i="29" s="1"/>
  <c r="U27" i="29" a="1"/>
  <c r="U27" i="29" s="1"/>
  <c r="V27" i="29" a="1"/>
  <c r="V27" i="29" s="1"/>
  <c r="W27" i="29" a="1"/>
  <c r="W27" i="29" s="1"/>
  <c r="X27" i="29" a="1"/>
  <c r="X27" i="29" s="1"/>
  <c r="Y27" i="29" a="1"/>
  <c r="Y27" i="29" s="1"/>
  <c r="Z27" i="29" a="1"/>
  <c r="Z27" i="29" s="1"/>
  <c r="AA27" i="29" a="1"/>
  <c r="AA27" i="29" s="1"/>
  <c r="B28" i="29" a="1"/>
  <c r="B28" i="29" s="1"/>
  <c r="C28" i="29" a="1"/>
  <c r="C28" i="29" s="1"/>
  <c r="D28" i="29" a="1"/>
  <c r="D28" i="29" s="1"/>
  <c r="E28" i="29" a="1"/>
  <c r="E28" i="29" s="1"/>
  <c r="F28" i="29" a="1"/>
  <c r="F28" i="29" s="1"/>
  <c r="G28" i="29" a="1"/>
  <c r="G28" i="29"/>
  <c r="H28" i="29" a="1"/>
  <c r="H28" i="29" s="1"/>
  <c r="I28" i="29" a="1"/>
  <c r="I28" i="29" s="1"/>
  <c r="J28" i="29" a="1"/>
  <c r="J28" i="29" s="1"/>
  <c r="K28" i="29" a="1"/>
  <c r="K28" i="29" s="1"/>
  <c r="L28" i="29" a="1"/>
  <c r="L28" i="29" s="1"/>
  <c r="M28" i="29" a="1"/>
  <c r="M28" i="29" s="1"/>
  <c r="N28" i="29" a="1"/>
  <c r="N28" i="29" s="1"/>
  <c r="O28" i="29" a="1"/>
  <c r="O28" i="29" s="1"/>
  <c r="P28" i="29" a="1"/>
  <c r="P28" i="29" s="1"/>
  <c r="Q28" i="29" a="1"/>
  <c r="Q28" i="29" s="1"/>
  <c r="R28" i="29" a="1"/>
  <c r="R28" i="29" s="1"/>
  <c r="S28" i="29" a="1"/>
  <c r="S28" i="29" s="1"/>
  <c r="T28" i="29" a="1"/>
  <c r="T28" i="29" s="1"/>
  <c r="U28" i="29" a="1"/>
  <c r="U28" i="29" s="1"/>
  <c r="V28" i="29" a="1"/>
  <c r="V28" i="29" s="1"/>
  <c r="W28" i="29" a="1"/>
  <c r="W28" i="29"/>
  <c r="X28" i="29" a="1"/>
  <c r="X28" i="29" s="1"/>
  <c r="Y28" i="29" a="1"/>
  <c r="Y28" i="29" s="1"/>
  <c r="Z28" i="29" a="1"/>
  <c r="Z28" i="29" s="1"/>
  <c r="AA28" i="29" a="1"/>
  <c r="AA28" i="29" s="1"/>
  <c r="B29" i="29" a="1"/>
  <c r="B29" i="29" s="1"/>
  <c r="C29" i="29" a="1"/>
  <c r="C29" i="29" s="1"/>
  <c r="D29" i="29" a="1"/>
  <c r="D29" i="29" s="1"/>
  <c r="E29" i="29" a="1"/>
  <c r="E29" i="29" s="1"/>
  <c r="F29" i="29" a="1"/>
  <c r="F29" i="29" s="1"/>
  <c r="G29" i="29" a="1"/>
  <c r="G29" i="29" s="1"/>
  <c r="H29" i="29" a="1"/>
  <c r="H29" i="29" s="1"/>
  <c r="I29" i="29" a="1"/>
  <c r="I29" i="29" s="1"/>
  <c r="J29" i="29" a="1"/>
  <c r="J29" i="29" s="1"/>
  <c r="K29" i="29" a="1"/>
  <c r="K29" i="29" s="1"/>
  <c r="L29" i="29" a="1"/>
  <c r="L29" i="29" s="1"/>
  <c r="M29" i="29" a="1"/>
  <c r="M29" i="29"/>
  <c r="N29" i="29" a="1"/>
  <c r="N29" i="29" s="1"/>
  <c r="O29" i="29" a="1"/>
  <c r="O29" i="29" s="1"/>
  <c r="P29" i="29" a="1"/>
  <c r="P29" i="29" s="1"/>
  <c r="Q29" i="29" a="1"/>
  <c r="Q29" i="29" s="1"/>
  <c r="R29" i="29" a="1"/>
  <c r="R29" i="29" s="1"/>
  <c r="S29" i="29" a="1"/>
  <c r="S29" i="29" s="1"/>
  <c r="T29" i="29" a="1"/>
  <c r="T29" i="29" s="1"/>
  <c r="U29" i="29" a="1"/>
  <c r="U29" i="29" s="1"/>
  <c r="V29" i="29" a="1"/>
  <c r="V29" i="29" s="1"/>
  <c r="W29" i="29" a="1"/>
  <c r="W29" i="29" s="1"/>
  <c r="X29" i="29" a="1"/>
  <c r="X29" i="29" s="1"/>
  <c r="Y29" i="29" a="1"/>
  <c r="Y29" i="29" s="1"/>
  <c r="Z29" i="29" a="1"/>
  <c r="Z29" i="29" s="1"/>
  <c r="AA29" i="29" a="1"/>
  <c r="AA29" i="29" s="1"/>
  <c r="B30" i="29" a="1"/>
  <c r="B30" i="29" s="1"/>
  <c r="C30" i="29" a="1"/>
  <c r="C30" i="29"/>
  <c r="D30" i="29" a="1"/>
  <c r="D30" i="29" s="1"/>
  <c r="E30" i="29" a="1"/>
  <c r="E30" i="29" s="1"/>
  <c r="F30" i="29" a="1"/>
  <c r="F30" i="29" s="1"/>
  <c r="G30" i="29" a="1"/>
  <c r="G30" i="29" s="1"/>
  <c r="H30" i="29" a="1"/>
  <c r="H30" i="29" s="1"/>
  <c r="I30" i="29" a="1"/>
  <c r="I30" i="29" s="1"/>
  <c r="J30" i="29" a="1"/>
  <c r="J30" i="29" s="1"/>
  <c r="K30" i="29" a="1"/>
  <c r="K30" i="29" s="1"/>
  <c r="L30" i="29" a="1"/>
  <c r="L30" i="29" s="1"/>
  <c r="M30" i="29" a="1"/>
  <c r="M30" i="29" s="1"/>
  <c r="N30" i="29" a="1"/>
  <c r="N30" i="29" s="1"/>
  <c r="O30" i="29" a="1"/>
  <c r="O30" i="29" s="1"/>
  <c r="P30" i="29" a="1"/>
  <c r="P30" i="29" s="1"/>
  <c r="Q30" i="29" a="1"/>
  <c r="Q30" i="29" s="1"/>
  <c r="R30" i="29" a="1"/>
  <c r="R30" i="29" s="1"/>
  <c r="S30" i="29" a="1"/>
  <c r="S30" i="29"/>
  <c r="T30" i="29" a="1"/>
  <c r="T30" i="29" s="1"/>
  <c r="U30" i="29" a="1"/>
  <c r="U30" i="29" s="1"/>
  <c r="V30" i="29" a="1"/>
  <c r="V30" i="29" s="1"/>
  <c r="W30" i="29" a="1"/>
  <c r="W30" i="29" s="1"/>
  <c r="X30" i="29" a="1"/>
  <c r="X30" i="29" s="1"/>
  <c r="Y30" i="29" a="1"/>
  <c r="Y30" i="29" s="1"/>
  <c r="Z30" i="29" a="1"/>
  <c r="Z30" i="29" s="1"/>
  <c r="AA30" i="29" a="1"/>
  <c r="AA30" i="29" s="1"/>
  <c r="B31" i="29" a="1"/>
  <c r="B31" i="29" s="1"/>
  <c r="C31" i="29" a="1"/>
  <c r="C31" i="29" s="1"/>
  <c r="D31" i="29" a="1"/>
  <c r="D31" i="29" s="1"/>
  <c r="E31" i="29" a="1"/>
  <c r="E31" i="29" s="1"/>
  <c r="F31" i="29" a="1"/>
  <c r="F31" i="29" s="1"/>
  <c r="G31" i="29" a="1"/>
  <c r="G31" i="29" s="1"/>
  <c r="H31" i="29" a="1"/>
  <c r="H31" i="29" s="1"/>
  <c r="I31" i="29" a="1"/>
  <c r="I31" i="29"/>
  <c r="J31" i="29" a="1"/>
  <c r="J31" i="29" s="1"/>
  <c r="K31" i="29" a="1"/>
  <c r="K31" i="29" s="1"/>
  <c r="L31" i="29" a="1"/>
  <c r="L31" i="29" s="1"/>
  <c r="M31" i="29" a="1"/>
  <c r="M31" i="29" s="1"/>
  <c r="N31" i="29" a="1"/>
  <c r="N31" i="29" s="1"/>
  <c r="O31" i="29" a="1"/>
  <c r="O31" i="29" s="1"/>
  <c r="P31" i="29" a="1"/>
  <c r="P31" i="29" s="1"/>
  <c r="Q31" i="29" a="1"/>
  <c r="Q31" i="29"/>
  <c r="R31" i="29" a="1"/>
  <c r="R31" i="29" s="1"/>
  <c r="S31" i="29" a="1"/>
  <c r="S31" i="29" s="1"/>
  <c r="T31" i="29" a="1"/>
  <c r="T31" i="29" s="1"/>
  <c r="U31" i="29" a="1"/>
  <c r="U31" i="29" s="1"/>
  <c r="V31" i="29" a="1"/>
  <c r="V31" i="29" s="1"/>
  <c r="W31" i="29" a="1"/>
  <c r="W31" i="29" s="1"/>
  <c r="X31" i="29" a="1"/>
  <c r="X31" i="29" s="1"/>
  <c r="Y31" i="29" a="1"/>
  <c r="Y31" i="29"/>
  <c r="Z31" i="29" a="1"/>
  <c r="Z31" i="29" s="1"/>
  <c r="AA31" i="29" a="1"/>
  <c r="AA31" i="29" s="1"/>
  <c r="B32" i="29" a="1"/>
  <c r="B32" i="29"/>
  <c r="C32" i="29" a="1"/>
  <c r="C32" i="29" s="1"/>
  <c r="D32" i="29" a="1"/>
  <c r="D32" i="29" s="1"/>
  <c r="E32" i="29" a="1"/>
  <c r="E32" i="29" s="1"/>
  <c r="F32" i="29" a="1"/>
  <c r="F32" i="29" s="1"/>
  <c r="G32" i="29" a="1"/>
  <c r="G32" i="29" s="1"/>
  <c r="H32" i="29" a="1"/>
  <c r="H32" i="29"/>
  <c r="I32" i="29" a="1"/>
  <c r="I32" i="29" s="1"/>
  <c r="J32" i="29" a="1"/>
  <c r="J32" i="29" s="1"/>
  <c r="K32" i="29" a="1"/>
  <c r="K32" i="29"/>
  <c r="L32" i="29" a="1"/>
  <c r="L32" i="29" s="1"/>
  <c r="M32" i="29" a="1"/>
  <c r="M32" i="29" s="1"/>
  <c r="N32" i="29" a="1"/>
  <c r="N32" i="29" s="1"/>
  <c r="O32" i="29" a="1"/>
  <c r="O32" i="29" s="1"/>
  <c r="P32" i="29" a="1"/>
  <c r="P32" i="29" s="1"/>
  <c r="Q32" i="29" a="1"/>
  <c r="Q32" i="29" s="1"/>
  <c r="R32" i="29" a="1"/>
  <c r="R32" i="29" s="1"/>
  <c r="S32" i="29" a="1"/>
  <c r="S32" i="29" s="1"/>
  <c r="T32" i="29" a="1"/>
  <c r="T32" i="29"/>
  <c r="U32" i="29" a="1"/>
  <c r="U32" i="29" s="1"/>
  <c r="V32" i="29" a="1"/>
  <c r="V32" i="29"/>
  <c r="W32" i="29" a="1"/>
  <c r="W32" i="29" s="1"/>
  <c r="X32" i="29" a="1"/>
  <c r="X32" i="29" s="1"/>
  <c r="Y32" i="29" a="1"/>
  <c r="Y32" i="29" s="1"/>
  <c r="Z32" i="29" a="1"/>
  <c r="Z32" i="29" s="1"/>
  <c r="AA32" i="29" a="1"/>
  <c r="AA32" i="29" s="1"/>
  <c r="B33" i="29" a="1"/>
  <c r="B33" i="29" s="1"/>
  <c r="C33" i="29" a="1"/>
  <c r="C33" i="29" s="1"/>
  <c r="D33" i="29" a="1"/>
  <c r="D33" i="29" s="1"/>
  <c r="E33" i="29" a="1"/>
  <c r="E33" i="29"/>
  <c r="F33" i="29" a="1"/>
  <c r="F33" i="29" s="1"/>
  <c r="G33" i="29" a="1"/>
  <c r="G33" i="29" s="1"/>
  <c r="H33" i="29" a="1"/>
  <c r="H33" i="29"/>
  <c r="I33" i="29" a="1"/>
  <c r="I33" i="29" s="1"/>
  <c r="J33" i="29" a="1"/>
  <c r="J33" i="29" s="1"/>
  <c r="K33" i="29" a="1"/>
  <c r="K33" i="29" s="1"/>
  <c r="L33" i="29" a="1"/>
  <c r="L33" i="29"/>
  <c r="M33" i="29" a="1"/>
  <c r="M33" i="29" s="1"/>
  <c r="N33" i="29" a="1"/>
  <c r="N33" i="29"/>
  <c r="O33" i="29" a="1"/>
  <c r="O33" i="29" s="1"/>
  <c r="P33" i="29" a="1"/>
  <c r="P33" i="29" s="1"/>
  <c r="Q33" i="29" a="1"/>
  <c r="Q33" i="29"/>
  <c r="R33" i="29" a="1"/>
  <c r="R33" i="29" s="1"/>
  <c r="S33" i="29" a="1"/>
  <c r="S33" i="29" s="1"/>
  <c r="T33" i="29" a="1"/>
  <c r="T33" i="29" s="1"/>
  <c r="U33" i="29" a="1"/>
  <c r="U33" i="29"/>
  <c r="V33" i="29" a="1"/>
  <c r="V33" i="29" s="1"/>
  <c r="W33" i="29" a="1"/>
  <c r="W33" i="29" s="1"/>
  <c r="X33" i="29" a="1"/>
  <c r="X33" i="29" s="1"/>
  <c r="Y33" i="29" a="1"/>
  <c r="Y33" i="29" s="1"/>
  <c r="Z33" i="29" a="1"/>
  <c r="Z33" i="29" s="1"/>
  <c r="AA33" i="29" a="1"/>
  <c r="AA33" i="29" s="1"/>
  <c r="B34" i="29" a="1"/>
  <c r="B34" i="29"/>
  <c r="C34" i="29" a="1"/>
  <c r="C34" i="29" s="1"/>
  <c r="D34" i="29" a="1"/>
  <c r="D34" i="29"/>
  <c r="E34" i="29" a="1"/>
  <c r="E34" i="29" s="1"/>
  <c r="F34" i="29" a="1"/>
  <c r="F34" i="29" s="1"/>
  <c r="G34" i="29" a="1"/>
  <c r="G34" i="29" s="1"/>
  <c r="H34" i="29" a="1"/>
  <c r="H34" i="29" s="1"/>
  <c r="I34" i="29" a="1"/>
  <c r="I34" i="29" s="1"/>
  <c r="J34" i="29" a="1"/>
  <c r="J34" i="29" s="1"/>
  <c r="K34" i="29" a="1"/>
  <c r="K34" i="29"/>
  <c r="L34" i="29" a="1"/>
  <c r="L34" i="29" s="1"/>
  <c r="M34" i="29" a="1"/>
  <c r="M34" i="29" s="1"/>
  <c r="N34" i="29" a="1"/>
  <c r="N34" i="29" s="1"/>
  <c r="O34" i="29" a="1"/>
  <c r="O34" i="29" s="1"/>
  <c r="P34" i="29" a="1"/>
  <c r="P34" i="29" s="1"/>
  <c r="Q34" i="29" a="1"/>
  <c r="Q34" i="29" s="1"/>
  <c r="R34" i="29" a="1"/>
  <c r="R34" i="29"/>
  <c r="S34" i="29" a="1"/>
  <c r="S34" i="29" s="1"/>
  <c r="T34" i="29" a="1"/>
  <c r="T34" i="29"/>
  <c r="U34" i="29" a="1"/>
  <c r="U34" i="29" s="1"/>
  <c r="V34" i="29" a="1"/>
  <c r="V34" i="29" s="1"/>
  <c r="W34" i="29" a="1"/>
  <c r="W34" i="29"/>
  <c r="X34" i="29" a="1"/>
  <c r="X34" i="29" s="1"/>
  <c r="Y34" i="29" a="1"/>
  <c r="Y34" i="29" s="1"/>
  <c r="Z34" i="29" a="1"/>
  <c r="Z34" i="29" s="1"/>
  <c r="AA34" i="29" a="1"/>
  <c r="AA34" i="29"/>
  <c r="B35" i="29" a="1"/>
  <c r="B35" i="29" s="1"/>
  <c r="C35" i="29" a="1"/>
  <c r="C35" i="29" s="1"/>
  <c r="D35" i="29" a="1"/>
  <c r="D35" i="29" s="1"/>
  <c r="E35" i="29" a="1"/>
  <c r="E35" i="29" s="1"/>
  <c r="F35" i="29" a="1"/>
  <c r="F35" i="29" s="1"/>
  <c r="G35" i="29" a="1"/>
  <c r="G35" i="29" s="1"/>
  <c r="H35" i="29" a="1"/>
  <c r="H35" i="29"/>
  <c r="I35" i="29" a="1"/>
  <c r="I35" i="29" s="1"/>
  <c r="J35" i="29" a="1"/>
  <c r="J35" i="29"/>
  <c r="K35" i="29" a="1"/>
  <c r="K35" i="29" s="1"/>
  <c r="L35" i="29" a="1"/>
  <c r="L35" i="29" s="1"/>
  <c r="M35" i="29" a="1"/>
  <c r="M35" i="29" s="1"/>
  <c r="N35" i="29" a="1"/>
  <c r="N35" i="29" s="1"/>
  <c r="O35" i="29" a="1"/>
  <c r="O35" i="29" s="1"/>
  <c r="P35" i="29" a="1"/>
  <c r="P35" i="29" s="1"/>
  <c r="Q35" i="29" a="1"/>
  <c r="Q35" i="29"/>
  <c r="R35" i="29" a="1"/>
  <c r="R35" i="29" s="1"/>
  <c r="S35" i="29" a="1"/>
  <c r="S35" i="29" s="1"/>
  <c r="T35" i="29" a="1"/>
  <c r="T35" i="29" s="1"/>
  <c r="U35" i="29" a="1"/>
  <c r="U35" i="29" s="1"/>
  <c r="V35" i="29" a="1"/>
  <c r="V35" i="29" s="1"/>
  <c r="W35" i="29" a="1"/>
  <c r="W35" i="29" s="1"/>
  <c r="X35" i="29" a="1"/>
  <c r="X35" i="29"/>
  <c r="Y35" i="29" a="1"/>
  <c r="Y35" i="29" s="1"/>
  <c r="Z35" i="29" a="1"/>
  <c r="Z35" i="29"/>
  <c r="AA35" i="29" a="1"/>
  <c r="AA35" i="29" s="1"/>
  <c r="B36" i="29" a="1"/>
  <c r="B36" i="29" s="1"/>
  <c r="C36" i="29" a="1"/>
  <c r="C36" i="29"/>
  <c r="D36" i="29" a="1"/>
  <c r="D36" i="29" s="1"/>
  <c r="E36" i="29" a="1"/>
  <c r="E36" i="29"/>
  <c r="F36" i="29" a="1"/>
  <c r="F36" i="29" s="1"/>
  <c r="G36" i="29" a="1"/>
  <c r="G36" i="29" s="1"/>
  <c r="H36" i="29" a="1"/>
  <c r="H36" i="29" s="1"/>
  <c r="I36" i="29" a="1"/>
  <c r="I36" i="29" s="1"/>
  <c r="J36" i="29" a="1"/>
  <c r="J36" i="29" s="1"/>
  <c r="K36" i="29" a="1"/>
  <c r="K36" i="29" s="1"/>
  <c r="L36" i="29" a="1"/>
  <c r="L36" i="29" s="1"/>
  <c r="M36" i="29" a="1"/>
  <c r="M36" i="29" s="1"/>
  <c r="N36" i="29" a="1"/>
  <c r="N36" i="29" s="1"/>
  <c r="O36" i="29" a="1"/>
  <c r="O36" i="29" s="1"/>
  <c r="P36" i="29" a="1"/>
  <c r="P36" i="29" s="1"/>
  <c r="Q36" i="29" a="1"/>
  <c r="Q36" i="29" s="1"/>
  <c r="R36" i="29" a="1"/>
  <c r="R36" i="29" s="1"/>
  <c r="S36" i="29" a="1"/>
  <c r="S36" i="29" s="1"/>
  <c r="T36" i="29" a="1"/>
  <c r="T36" i="29" s="1"/>
  <c r="U36" i="29" a="1"/>
  <c r="U36" i="29" s="1"/>
  <c r="V36" i="29" a="1"/>
  <c r="V36" i="29" s="1"/>
  <c r="W36" i="29" a="1"/>
  <c r="W36" i="29" s="1"/>
  <c r="X36" i="29" a="1"/>
  <c r="X36" i="29" s="1"/>
  <c r="Y36" i="29" a="1"/>
  <c r="Y36" i="29" s="1"/>
  <c r="Z36" i="29" a="1"/>
  <c r="Z36" i="29" s="1"/>
  <c r="AA36" i="29" a="1"/>
  <c r="AA36" i="29" s="1"/>
  <c r="B37" i="29" a="1"/>
  <c r="B37" i="29" s="1"/>
  <c r="C37" i="29" a="1"/>
  <c r="C37" i="29" s="1"/>
  <c r="D37" i="29" a="1"/>
  <c r="D37" i="29" s="1"/>
  <c r="E37" i="29" a="1"/>
  <c r="E37" i="29" s="1"/>
  <c r="F37" i="29" a="1"/>
  <c r="F37" i="29" s="1"/>
  <c r="G37" i="29" a="1"/>
  <c r="G37" i="29" s="1"/>
  <c r="H37" i="29" a="1"/>
  <c r="H37" i="29" s="1"/>
  <c r="I37" i="29" a="1"/>
  <c r="I37" i="29" s="1"/>
  <c r="J37" i="29" a="1"/>
  <c r="J37" i="29" s="1"/>
  <c r="K37" i="29" a="1"/>
  <c r="K37" i="29" s="1"/>
  <c r="L37" i="29" a="1"/>
  <c r="L37" i="29" s="1"/>
  <c r="M37" i="29" a="1"/>
  <c r="M37" i="29" s="1"/>
  <c r="N37" i="29" a="1"/>
  <c r="N37" i="29" s="1"/>
  <c r="O37" i="29" a="1"/>
  <c r="O37" i="29" s="1"/>
  <c r="P37" i="29" a="1"/>
  <c r="P37" i="29" s="1"/>
  <c r="Q37" i="29" a="1"/>
  <c r="Q37" i="29" s="1"/>
  <c r="R37" i="29" a="1"/>
  <c r="R37" i="29" s="1"/>
  <c r="S37" i="29" a="1"/>
  <c r="S37" i="29" s="1"/>
  <c r="T37" i="29" a="1"/>
  <c r="T37" i="29" s="1"/>
  <c r="U37" i="29" a="1"/>
  <c r="U37" i="29" s="1"/>
  <c r="V37" i="29" a="1"/>
  <c r="V37" i="29" s="1"/>
  <c r="W37" i="29" a="1"/>
  <c r="W37" i="29" s="1"/>
  <c r="X37" i="29" a="1"/>
  <c r="X37" i="29" s="1"/>
  <c r="Y37" i="29" a="1"/>
  <c r="Y37" i="29" s="1"/>
  <c r="Z37" i="29" a="1"/>
  <c r="Z37" i="29" s="1"/>
  <c r="AA37" i="29" a="1"/>
  <c r="AA37" i="29" s="1"/>
  <c r="C22" i="29" a="1"/>
  <c r="C22" i="29" s="1"/>
  <c r="D22" i="29" a="1"/>
  <c r="D22" i="29" s="1"/>
  <c r="E22" i="29" a="1"/>
  <c r="E22" i="29" s="1"/>
  <c r="F22" i="29" a="1"/>
  <c r="F22" i="29" s="1"/>
  <c r="G22" i="29" a="1"/>
  <c r="G22" i="29" s="1"/>
  <c r="H22" i="29" a="1"/>
  <c r="H22" i="29" s="1"/>
  <c r="I22" i="29" a="1"/>
  <c r="I22" i="29" s="1"/>
  <c r="J22" i="29" a="1"/>
  <c r="J22" i="29" s="1"/>
  <c r="K22" i="29" a="1"/>
  <c r="K22" i="29" s="1"/>
  <c r="L22" i="29" a="1"/>
  <c r="L22" i="29" s="1"/>
  <c r="M22" i="29" a="1"/>
  <c r="M22" i="29" s="1"/>
  <c r="N22" i="29" a="1"/>
  <c r="N22" i="29" s="1"/>
  <c r="O22" i="29" a="1"/>
  <c r="O22" i="29" s="1"/>
  <c r="P22" i="29" a="1"/>
  <c r="P22" i="29" s="1"/>
  <c r="Q22" i="29" a="1"/>
  <c r="Q22" i="29" s="1"/>
  <c r="R22" i="29" a="1"/>
  <c r="R22" i="29" s="1"/>
  <c r="S22" i="29" a="1"/>
  <c r="S22" i="29" s="1"/>
  <c r="T22" i="29" a="1"/>
  <c r="T22" i="29" s="1"/>
  <c r="U22" i="29" a="1"/>
  <c r="U22" i="29" s="1"/>
  <c r="V22" i="29" a="1"/>
  <c r="V22" i="29" s="1"/>
  <c r="W22" i="29" a="1"/>
  <c r="W22" i="29" s="1"/>
  <c r="X22" i="29" a="1"/>
  <c r="X22" i="29" s="1"/>
  <c r="Y22" i="29" a="1"/>
  <c r="Y22" i="29" s="1"/>
  <c r="Z22" i="29" a="1"/>
  <c r="Z22" i="29" s="1"/>
  <c r="AA22" i="29" a="1"/>
  <c r="AA22" i="29" s="1"/>
  <c r="B22" i="29" a="1"/>
  <c r="B22" i="29" s="1"/>
  <c r="A3" i="27"/>
  <c r="A4" i="27"/>
  <c r="A5" i="27"/>
  <c r="A6" i="27"/>
  <c r="A7" i="27"/>
  <c r="A8" i="27"/>
  <c r="A9" i="27"/>
  <c r="A10" i="27"/>
  <c r="A11" i="27"/>
  <c r="A12" i="27"/>
  <c r="A13" i="27"/>
  <c r="A14" i="27"/>
  <c r="A15" i="27"/>
  <c r="A16" i="27"/>
  <c r="A17" i="27"/>
  <c r="A18" i="27"/>
  <c r="A19" i="27"/>
  <c r="A20" i="27"/>
  <c r="A21" i="27"/>
  <c r="A22" i="27"/>
  <c r="A23" i="27"/>
  <c r="A24" i="27"/>
  <c r="A25" i="27"/>
  <c r="A26" i="27"/>
  <c r="A27" i="27"/>
  <c r="A28" i="27"/>
  <c r="A29" i="27"/>
  <c r="A30" i="27"/>
  <c r="A31" i="27"/>
  <c r="A32" i="27"/>
  <c r="A33" i="27"/>
  <c r="A34" i="27"/>
  <c r="A35" i="27"/>
  <c r="A36" i="27"/>
  <c r="A37" i="27"/>
  <c r="A38" i="27"/>
  <c r="A39" i="27"/>
  <c r="A40" i="27"/>
  <c r="A41" i="27"/>
  <c r="A42" i="27"/>
  <c r="A43" i="27"/>
  <c r="A44" i="27"/>
  <c r="A45" i="27"/>
  <c r="A46" i="27"/>
  <c r="A47" i="27"/>
  <c r="A48" i="27"/>
  <c r="A49" i="27"/>
  <c r="A50" i="27"/>
  <c r="A51" i="27"/>
  <c r="A52" i="27"/>
  <c r="A53" i="27"/>
  <c r="A54" i="27"/>
  <c r="A55" i="27"/>
  <c r="A56" i="27"/>
  <c r="A57" i="27"/>
  <c r="A58" i="27"/>
  <c r="A59" i="27"/>
  <c r="A60" i="27"/>
  <c r="A61" i="27"/>
  <c r="A62" i="27"/>
  <c r="A63" i="27"/>
  <c r="A64" i="27"/>
  <c r="A65" i="27"/>
  <c r="A66" i="27"/>
  <c r="A67" i="27"/>
  <c r="A68" i="27"/>
  <c r="A69" i="27"/>
  <c r="A70" i="27"/>
  <c r="A71" i="27"/>
  <c r="A72" i="27"/>
  <c r="A73" i="27"/>
  <c r="A74" i="27"/>
  <c r="A75" i="27"/>
  <c r="A76" i="27"/>
  <c r="A77" i="27"/>
  <c r="A78" i="27"/>
  <c r="A79" i="27"/>
  <c r="A80" i="27"/>
  <c r="A81" i="27"/>
  <c r="A82" i="27"/>
  <c r="A83" i="27"/>
  <c r="A84" i="27"/>
  <c r="A85" i="27"/>
  <c r="A86" i="27"/>
  <c r="A87" i="27"/>
  <c r="A88" i="27"/>
  <c r="A89" i="27"/>
  <c r="A90" i="27"/>
  <c r="A91" i="27"/>
  <c r="A92" i="27"/>
  <c r="A93" i="27"/>
  <c r="A94" i="27"/>
  <c r="A95" i="27"/>
  <c r="A96" i="27"/>
  <c r="A97" i="27"/>
  <c r="A98" i="27"/>
  <c r="A99" i="27"/>
  <c r="A100" i="27"/>
  <c r="A101" i="27"/>
  <c r="A102" i="27"/>
  <c r="A103" i="27"/>
  <c r="A104" i="27"/>
  <c r="A105" i="27"/>
  <c r="A106" i="27"/>
  <c r="A107" i="27"/>
  <c r="A108" i="27"/>
  <c r="A109" i="27"/>
  <c r="A110" i="27"/>
  <c r="A111" i="27"/>
  <c r="A112" i="27"/>
  <c r="A113" i="27"/>
  <c r="A114" i="27"/>
  <c r="A115" i="27"/>
  <c r="A116" i="27"/>
  <c r="A117" i="27"/>
  <c r="A118" i="27"/>
  <c r="A119" i="27"/>
  <c r="A120" i="27"/>
  <c r="A121" i="27"/>
  <c r="A122" i="27"/>
  <c r="A123" i="27"/>
  <c r="A124" i="27"/>
  <c r="A125" i="27"/>
  <c r="A126" i="27"/>
  <c r="A127" i="27"/>
  <c r="A128" i="27"/>
  <c r="A129" i="27"/>
  <c r="A130" i="27"/>
  <c r="A131" i="27"/>
  <c r="A132" i="27"/>
  <c r="A133" i="27"/>
  <c r="A134" i="27"/>
  <c r="A135" i="27"/>
  <c r="A136" i="27"/>
  <c r="A137" i="27"/>
  <c r="A138" i="27"/>
  <c r="A139" i="27"/>
  <c r="A140" i="27"/>
  <c r="A141" i="27"/>
  <c r="A142" i="27"/>
  <c r="A143" i="27"/>
  <c r="A144" i="27"/>
  <c r="A145" i="27"/>
  <c r="A146" i="27"/>
  <c r="A147" i="27"/>
  <c r="A148" i="27"/>
  <c r="A149" i="27"/>
  <c r="A150" i="27"/>
  <c r="A151" i="27"/>
  <c r="A152" i="27"/>
  <c r="A153" i="27"/>
  <c r="A154" i="27"/>
  <c r="A155" i="27"/>
  <c r="A156" i="27"/>
  <c r="A157" i="27"/>
  <c r="A158" i="27"/>
  <c r="A159" i="27"/>
  <c r="A160" i="27"/>
  <c r="A161" i="27"/>
  <c r="A162" i="27"/>
  <c r="A163" i="27"/>
  <c r="A164" i="27"/>
  <c r="A165" i="27"/>
  <c r="A166" i="27"/>
  <c r="A167" i="27"/>
  <c r="A168" i="27"/>
  <c r="A169" i="27"/>
  <c r="A170" i="27"/>
  <c r="A171" i="27"/>
  <c r="A172" i="27"/>
  <c r="A173" i="27"/>
  <c r="A174" i="27"/>
  <c r="A175" i="27"/>
  <c r="A176" i="27"/>
  <c r="A177" i="27"/>
  <c r="A178" i="27"/>
  <c r="A179" i="27"/>
  <c r="A180" i="27"/>
  <c r="A181" i="27"/>
  <c r="A182" i="27"/>
  <c r="A183" i="27"/>
  <c r="A184" i="27"/>
  <c r="A185" i="27"/>
  <c r="A186" i="27"/>
  <c r="A187" i="27"/>
  <c r="A188" i="27"/>
  <c r="A189" i="27"/>
  <c r="A190" i="27"/>
  <c r="A191" i="27"/>
  <c r="A192" i="27"/>
  <c r="A193" i="27"/>
  <c r="A194" i="27"/>
  <c r="A195" i="27"/>
  <c r="A196" i="27"/>
  <c r="A197" i="27"/>
  <c r="A198" i="27"/>
  <c r="A199" i="27"/>
  <c r="A200" i="27"/>
  <c r="A201" i="27"/>
  <c r="A202" i="27"/>
  <c r="A203" i="27"/>
  <c r="A204" i="27"/>
  <c r="A205" i="27"/>
  <c r="A206" i="27"/>
  <c r="A207" i="27"/>
  <c r="A208" i="27"/>
  <c r="A209" i="27"/>
  <c r="A210" i="27"/>
  <c r="A211" i="27"/>
  <c r="A212" i="27"/>
  <c r="A213" i="27"/>
  <c r="A214" i="27"/>
  <c r="A215" i="27"/>
  <c r="A216" i="27"/>
  <c r="A217" i="27"/>
  <c r="A218" i="27"/>
  <c r="A219" i="27"/>
  <c r="A220" i="27"/>
  <c r="A221" i="27"/>
  <c r="A222" i="27"/>
  <c r="A223" i="27"/>
  <c r="A224" i="27"/>
  <c r="A225" i="27"/>
  <c r="A226" i="27"/>
  <c r="A227" i="27"/>
  <c r="A228" i="27"/>
  <c r="A229" i="27"/>
  <c r="A230" i="27"/>
  <c r="A231" i="27"/>
  <c r="A232" i="27"/>
  <c r="A233" i="27"/>
  <c r="A234" i="27"/>
  <c r="A235" i="27"/>
  <c r="A236" i="27"/>
  <c r="A237" i="27"/>
  <c r="A238" i="27"/>
  <c r="A239" i="27"/>
  <c r="A240" i="27"/>
  <c r="A241" i="27"/>
  <c r="A242" i="27"/>
  <c r="A243" i="27"/>
  <c r="A244" i="27"/>
  <c r="A245" i="27"/>
  <c r="A246" i="27"/>
  <c r="A247" i="27"/>
  <c r="A248" i="27"/>
  <c r="A249" i="27"/>
  <c r="A250" i="27"/>
  <c r="A251" i="27"/>
  <c r="A252" i="27"/>
  <c r="A253" i="27"/>
  <c r="A254" i="27"/>
  <c r="A255" i="27"/>
  <c r="A256" i="27"/>
  <c r="A257" i="27"/>
  <c r="A258" i="27"/>
  <c r="A259" i="27"/>
  <c r="A260" i="27"/>
  <c r="A261" i="27"/>
  <c r="A262" i="27"/>
  <c r="A263" i="27"/>
  <c r="A264" i="27"/>
  <c r="A265" i="27"/>
  <c r="A266" i="27"/>
  <c r="A267" i="27"/>
  <c r="A268" i="27"/>
  <c r="A269" i="27"/>
  <c r="A270" i="27"/>
  <c r="A271" i="27"/>
  <c r="A272" i="27"/>
  <c r="A273" i="27"/>
  <c r="A274" i="27"/>
  <c r="A275" i="27"/>
  <c r="A276" i="27"/>
  <c r="A277" i="27"/>
  <c r="A278" i="27"/>
  <c r="A279" i="27"/>
  <c r="A280" i="27"/>
  <c r="A281" i="27"/>
  <c r="A282" i="27"/>
  <c r="A283" i="27"/>
  <c r="A284" i="27"/>
  <c r="A285" i="27"/>
  <c r="A286" i="27"/>
  <c r="A287" i="27"/>
  <c r="A288" i="27"/>
  <c r="A289" i="27"/>
  <c r="A290" i="27"/>
  <c r="A291" i="27"/>
  <c r="A292" i="27"/>
  <c r="A293" i="27"/>
  <c r="A294" i="27"/>
  <c r="A295" i="27"/>
  <c r="A296" i="27"/>
  <c r="A297" i="27"/>
  <c r="A298" i="27"/>
  <c r="A299" i="27"/>
  <c r="A300" i="27"/>
  <c r="A301" i="27"/>
  <c r="A302" i="27"/>
  <c r="A303" i="27"/>
  <c r="A304" i="27"/>
  <c r="A305" i="27"/>
  <c r="A306" i="27"/>
  <c r="A307" i="27"/>
  <c r="A308" i="27"/>
  <c r="A309" i="27"/>
  <c r="A310" i="27"/>
  <c r="A311" i="27"/>
  <c r="A312" i="27"/>
  <c r="A313" i="27"/>
  <c r="A314" i="27"/>
  <c r="A315" i="27"/>
  <c r="A316" i="27"/>
  <c r="A317" i="27"/>
  <c r="A318" i="27"/>
  <c r="A319" i="27"/>
  <c r="A320" i="27"/>
  <c r="A321" i="27"/>
  <c r="A322" i="27"/>
  <c r="A323" i="27"/>
  <c r="A324" i="27"/>
  <c r="A325" i="27"/>
  <c r="A326" i="27"/>
  <c r="A327" i="27"/>
  <c r="A328" i="27"/>
  <c r="A329" i="27"/>
  <c r="A330" i="27"/>
  <c r="A331" i="27"/>
  <c r="A332" i="27"/>
  <c r="A333" i="27"/>
  <c r="A334" i="27"/>
  <c r="A335" i="27"/>
  <c r="A336" i="27"/>
  <c r="A337" i="27"/>
  <c r="A338" i="27"/>
  <c r="A339" i="27"/>
  <c r="A340" i="27"/>
  <c r="A341" i="27"/>
  <c r="A342" i="27"/>
  <c r="A343" i="27"/>
  <c r="A344" i="27"/>
  <c r="A345" i="27"/>
  <c r="A346" i="27"/>
  <c r="A347" i="27"/>
  <c r="A348" i="27"/>
  <c r="A349" i="27"/>
  <c r="A350" i="27"/>
  <c r="A351" i="27"/>
  <c r="A352" i="27"/>
  <c r="A353" i="27"/>
  <c r="A354" i="27"/>
  <c r="A355" i="27"/>
  <c r="A356" i="27"/>
  <c r="A357" i="27"/>
  <c r="A358" i="27"/>
  <c r="A359" i="27"/>
  <c r="A360" i="27"/>
  <c r="A361" i="27"/>
  <c r="A362" i="27"/>
  <c r="A363" i="27"/>
  <c r="A364" i="27"/>
  <c r="A365" i="27"/>
  <c r="A366" i="27"/>
  <c r="A367" i="27"/>
  <c r="A368" i="27"/>
  <c r="A369" i="27"/>
  <c r="A370" i="27"/>
  <c r="A371" i="27"/>
  <c r="A372" i="27"/>
  <c r="A373" i="27"/>
  <c r="A374" i="27"/>
  <c r="A375" i="27"/>
  <c r="A376" i="27"/>
  <c r="A377" i="27"/>
  <c r="A378" i="27"/>
  <c r="A379" i="27"/>
  <c r="A380" i="27"/>
  <c r="A381" i="27"/>
  <c r="A382" i="27"/>
  <c r="A383" i="27"/>
  <c r="A384" i="27"/>
  <c r="A385" i="27"/>
  <c r="A386" i="27"/>
  <c r="A387" i="27"/>
  <c r="A388" i="27"/>
  <c r="A389" i="27"/>
  <c r="A390" i="27"/>
  <c r="A391" i="27"/>
  <c r="A392" i="27"/>
  <c r="A393" i="27"/>
  <c r="A394" i="27"/>
  <c r="A395" i="27"/>
  <c r="A396" i="27"/>
  <c r="A397" i="27"/>
  <c r="A398" i="27"/>
  <c r="A399" i="27"/>
  <c r="A400" i="27"/>
  <c r="A401" i="27"/>
  <c r="A402" i="27"/>
  <c r="A403" i="27"/>
  <c r="A404" i="27"/>
  <c r="A405" i="27"/>
  <c r="A406" i="27"/>
  <c r="A407" i="27"/>
  <c r="A408" i="27"/>
  <c r="A409" i="27"/>
  <c r="A410" i="27"/>
  <c r="A411" i="27"/>
  <c r="A412" i="27"/>
  <c r="A413" i="27"/>
  <c r="A414" i="27"/>
  <c r="A415" i="27"/>
  <c r="A416" i="27"/>
  <c r="A417" i="27"/>
  <c r="A418" i="27"/>
  <c r="A419" i="27"/>
  <c r="A420" i="27"/>
  <c r="A421" i="27"/>
  <c r="A422" i="27"/>
  <c r="A423" i="27"/>
  <c r="A424" i="27"/>
  <c r="A425" i="27"/>
  <c r="A426" i="27"/>
  <c r="A427" i="27"/>
  <c r="A428" i="27"/>
  <c r="A429" i="27"/>
  <c r="A430" i="27"/>
  <c r="A431" i="27"/>
  <c r="A432" i="27"/>
  <c r="A433" i="27"/>
  <c r="A434" i="27"/>
  <c r="A435" i="27"/>
  <c r="A436" i="27"/>
  <c r="A437" i="27"/>
  <c r="A438" i="27"/>
  <c r="A439" i="27"/>
  <c r="A440" i="27"/>
  <c r="A441" i="27"/>
  <c r="A442" i="27"/>
  <c r="A443" i="27"/>
  <c r="A444" i="27"/>
  <c r="A445" i="27"/>
  <c r="A446" i="27"/>
  <c r="A447" i="27"/>
  <c r="A448" i="27"/>
  <c r="A449" i="27"/>
  <c r="A450" i="27"/>
  <c r="A451" i="27"/>
  <c r="A452" i="27"/>
  <c r="A453" i="27"/>
  <c r="A454" i="27"/>
  <c r="A455" i="27"/>
  <c r="A456" i="27"/>
  <c r="A457" i="27"/>
  <c r="A458" i="27"/>
  <c r="A459" i="27"/>
  <c r="A460" i="27"/>
  <c r="A461" i="27"/>
  <c r="A462" i="27"/>
  <c r="A463" i="27"/>
  <c r="A464" i="27"/>
  <c r="A465" i="27"/>
  <c r="A466" i="27"/>
  <c r="A467" i="27"/>
  <c r="A468" i="27"/>
  <c r="A469" i="27"/>
  <c r="A470" i="27"/>
  <c r="A471" i="27"/>
  <c r="A472" i="27"/>
  <c r="A473" i="27"/>
  <c r="A474" i="27"/>
  <c r="A475" i="27"/>
  <c r="A476" i="27"/>
  <c r="A477" i="27"/>
  <c r="A478" i="27"/>
  <c r="A479" i="27"/>
  <c r="A480" i="27"/>
  <c r="A481" i="27"/>
  <c r="A482" i="27"/>
  <c r="A483" i="27"/>
  <c r="A484" i="27"/>
  <c r="A485" i="27"/>
  <c r="A486" i="27"/>
  <c r="A487" i="27"/>
  <c r="A488" i="27"/>
  <c r="A489" i="27"/>
  <c r="A490" i="27"/>
  <c r="A491" i="27"/>
  <c r="A492" i="27"/>
  <c r="A493" i="27"/>
  <c r="A494" i="27"/>
  <c r="A495" i="27"/>
  <c r="A496" i="27"/>
  <c r="A497" i="27"/>
  <c r="A498" i="27"/>
  <c r="A499" i="27"/>
  <c r="A500" i="27"/>
  <c r="A501" i="27"/>
  <c r="A502" i="27"/>
  <c r="A503" i="27"/>
  <c r="A504" i="27"/>
  <c r="A505" i="27"/>
  <c r="A506" i="27"/>
  <c r="A507" i="27"/>
  <c r="A508" i="27"/>
  <c r="A509" i="27"/>
  <c r="A510" i="27"/>
  <c r="A511" i="27"/>
  <c r="A512" i="27"/>
  <c r="A513" i="27"/>
  <c r="A514" i="27"/>
  <c r="A515" i="27"/>
  <c r="A516" i="27"/>
  <c r="A517" i="27"/>
  <c r="A518" i="27"/>
  <c r="A519" i="27"/>
  <c r="A520" i="27"/>
  <c r="A521" i="27"/>
  <c r="A522" i="27"/>
  <c r="A523" i="27"/>
  <c r="A524" i="27"/>
  <c r="A525" i="27"/>
  <c r="A526" i="27"/>
  <c r="A527" i="27"/>
  <c r="A528" i="27"/>
  <c r="A529" i="27"/>
  <c r="A530" i="27"/>
  <c r="A531" i="27"/>
  <c r="A532" i="27"/>
  <c r="A533" i="27"/>
  <c r="A2" i="27"/>
  <c r="A23" i="29"/>
  <c r="A24" i="29"/>
  <c r="A25" i="29"/>
  <c r="A26" i="29"/>
  <c r="A27" i="29"/>
  <c r="A28" i="29"/>
  <c r="A29" i="29"/>
  <c r="A30" i="29"/>
  <c r="A31" i="29"/>
  <c r="A32" i="29"/>
  <c r="A33" i="29"/>
  <c r="A34" i="29"/>
  <c r="A35" i="29"/>
  <c r="A36" i="29"/>
  <c r="A37" i="29"/>
  <c r="A22" i="29"/>
  <c r="C3" i="28" a="1"/>
  <c r="C3" i="28" s="1"/>
  <c r="D3" i="28" a="1"/>
  <c r="D3" i="28" s="1"/>
  <c r="E3" i="28" a="1"/>
  <c r="E3" i="28" s="1"/>
  <c r="F3" i="28" a="1"/>
  <c r="F3" i="28" s="1"/>
  <c r="G3" i="28" a="1"/>
  <c r="G3" i="28" s="1"/>
  <c r="H3" i="28" a="1"/>
  <c r="H3" i="28" s="1"/>
  <c r="I3" i="28" a="1"/>
  <c r="I3" i="28" s="1"/>
  <c r="C4" i="28" a="1"/>
  <c r="C4" i="28" s="1"/>
  <c r="D4" i="28" a="1"/>
  <c r="D4" i="28" s="1"/>
  <c r="E4" i="28" a="1"/>
  <c r="E4" i="28" s="1"/>
  <c r="F4" i="28" a="1"/>
  <c r="F4" i="28" s="1"/>
  <c r="G4" i="28" a="1"/>
  <c r="G4" i="28" s="1"/>
  <c r="H4" i="28" a="1"/>
  <c r="H4" i="28" s="1"/>
  <c r="I4" i="28" a="1"/>
  <c r="I4" i="28" s="1"/>
  <c r="C5" i="28" a="1"/>
  <c r="C5" i="28" s="1"/>
  <c r="D5" i="28" a="1"/>
  <c r="D5" i="28" s="1"/>
  <c r="E5" i="28" a="1"/>
  <c r="E5" i="28" s="1"/>
  <c r="F5" i="28" a="1"/>
  <c r="F5" i="28" s="1"/>
  <c r="G5" i="28" a="1"/>
  <c r="G5" i="28" s="1"/>
  <c r="H5" i="28" a="1"/>
  <c r="H5" i="28" s="1"/>
  <c r="I5" i="28" a="1"/>
  <c r="I5" i="28" s="1"/>
  <c r="C6" i="28" a="1"/>
  <c r="C6" i="28" s="1"/>
  <c r="D6" i="28" a="1"/>
  <c r="D6" i="28" s="1"/>
  <c r="E6" i="28" a="1"/>
  <c r="E6" i="28" s="1"/>
  <c r="F6" i="28" a="1"/>
  <c r="F6" i="28" s="1"/>
  <c r="G6" i="28" a="1"/>
  <c r="G6" i="28" s="1"/>
  <c r="H6" i="28" a="1"/>
  <c r="H6" i="28" s="1"/>
  <c r="I6" i="28" a="1"/>
  <c r="I6" i="28" s="1"/>
  <c r="C7" i="28" a="1"/>
  <c r="C7" i="28" s="1"/>
  <c r="D7" i="28" a="1"/>
  <c r="D7" i="28" s="1"/>
  <c r="E7" i="28" a="1"/>
  <c r="E7" i="28" s="1"/>
  <c r="F7" i="28" a="1"/>
  <c r="F7" i="28" s="1"/>
  <c r="G7" i="28" a="1"/>
  <c r="G7" i="28" s="1"/>
  <c r="H7" i="28" a="1"/>
  <c r="H7" i="28" s="1"/>
  <c r="I7" i="28" a="1"/>
  <c r="I7" i="28" s="1"/>
  <c r="C8" i="28" a="1"/>
  <c r="C8" i="28" s="1"/>
  <c r="D8" i="28" a="1"/>
  <c r="D8" i="28" s="1"/>
  <c r="E8" i="28" a="1"/>
  <c r="E8" i="28" s="1"/>
  <c r="F8" i="28" a="1"/>
  <c r="F8" i="28" s="1"/>
  <c r="G8" i="28" a="1"/>
  <c r="G8" i="28" s="1"/>
  <c r="H8" i="28" a="1"/>
  <c r="H8" i="28" s="1"/>
  <c r="I8" i="28" a="1"/>
  <c r="I8" i="28" s="1"/>
  <c r="C9" i="28" a="1"/>
  <c r="C9" i="28" s="1"/>
  <c r="D9" i="28" a="1"/>
  <c r="D9" i="28" s="1"/>
  <c r="E9" i="28" a="1"/>
  <c r="E9" i="28" s="1"/>
  <c r="F9" i="28" a="1"/>
  <c r="F9" i="28" s="1"/>
  <c r="G9" i="28" a="1"/>
  <c r="G9" i="28" s="1"/>
  <c r="H9" i="28" a="1"/>
  <c r="H9" i="28" s="1"/>
  <c r="I9" i="28" a="1"/>
  <c r="I9" i="28" s="1"/>
  <c r="C10" i="28" a="1"/>
  <c r="C10" i="28" s="1"/>
  <c r="D10" i="28" a="1"/>
  <c r="D10" i="28" s="1"/>
  <c r="E10" i="28" a="1"/>
  <c r="E10" i="28" s="1"/>
  <c r="F10" i="28" a="1"/>
  <c r="F10" i="28" s="1"/>
  <c r="G10" i="28" a="1"/>
  <c r="G10" i="28" s="1"/>
  <c r="H10" i="28" a="1"/>
  <c r="H10" i="28" s="1"/>
  <c r="I10" i="28" a="1"/>
  <c r="I10" i="28" s="1"/>
  <c r="C11" i="28" a="1"/>
  <c r="C11" i="28" s="1"/>
  <c r="D11" i="28" a="1"/>
  <c r="D11" i="28" s="1"/>
  <c r="E11" i="28" a="1"/>
  <c r="E11" i="28" s="1"/>
  <c r="F11" i="28" a="1"/>
  <c r="F11" i="28" s="1"/>
  <c r="G11" i="28" a="1"/>
  <c r="G11" i="28" s="1"/>
  <c r="H11" i="28" a="1"/>
  <c r="H11" i="28" s="1"/>
  <c r="I11" i="28" a="1"/>
  <c r="I11" i="28" s="1"/>
  <c r="C12" i="28" a="1"/>
  <c r="C12" i="28" s="1"/>
  <c r="D12" i="28" a="1"/>
  <c r="D12" i="28" s="1"/>
  <c r="E12" i="28" a="1"/>
  <c r="E12" i="28" s="1"/>
  <c r="F12" i="28" a="1"/>
  <c r="F12" i="28" s="1"/>
  <c r="G12" i="28" a="1"/>
  <c r="G12" i="28" s="1"/>
  <c r="H12" i="28" a="1"/>
  <c r="H12" i="28" s="1"/>
  <c r="I12" i="28" a="1"/>
  <c r="I12" i="28" s="1"/>
  <c r="C13" i="28" a="1"/>
  <c r="C13" i="28" s="1"/>
  <c r="D13" i="28" a="1"/>
  <c r="D13" i="28" s="1"/>
  <c r="E13" i="28" a="1"/>
  <c r="E13" i="28" s="1"/>
  <c r="F13" i="28" a="1"/>
  <c r="F13" i="28" s="1"/>
  <c r="G13" i="28" a="1"/>
  <c r="G13" i="28" s="1"/>
  <c r="H13" i="28" a="1"/>
  <c r="H13" i="28" s="1"/>
  <c r="I13" i="28" a="1"/>
  <c r="I13" i="28" s="1"/>
  <c r="C14" i="28" a="1"/>
  <c r="C14" i="28" s="1"/>
  <c r="D14" i="28" a="1"/>
  <c r="D14" i="28" s="1"/>
  <c r="E14" i="28" a="1"/>
  <c r="E14" i="28" s="1"/>
  <c r="F14" i="28" a="1"/>
  <c r="F14" i="28" s="1"/>
  <c r="G14" i="28" a="1"/>
  <c r="G14" i="28" s="1"/>
  <c r="H14" i="28" a="1"/>
  <c r="H14" i="28" s="1"/>
  <c r="I14" i="28" a="1"/>
  <c r="I14" i="28" s="1"/>
  <c r="C15" i="28" a="1"/>
  <c r="C15" i="28" s="1"/>
  <c r="D15" i="28" a="1"/>
  <c r="D15" i="28" s="1"/>
  <c r="E15" i="28" a="1"/>
  <c r="E15" i="28" s="1"/>
  <c r="F15" i="28" a="1"/>
  <c r="F15" i="28" s="1"/>
  <c r="G15" i="28" a="1"/>
  <c r="G15" i="28" s="1"/>
  <c r="H15" i="28" a="1"/>
  <c r="H15" i="28" s="1"/>
  <c r="I15" i="28" a="1"/>
  <c r="I15" i="28" s="1"/>
  <c r="C16" i="28" a="1"/>
  <c r="C16" i="28" s="1"/>
  <c r="D16" i="28" a="1"/>
  <c r="D16" i="28" s="1"/>
  <c r="E16" i="28" a="1"/>
  <c r="E16" i="28" s="1"/>
  <c r="F16" i="28" a="1"/>
  <c r="F16" i="28" s="1"/>
  <c r="G16" i="28" a="1"/>
  <c r="G16" i="28" s="1"/>
  <c r="H16" i="28" a="1"/>
  <c r="H16" i="28" s="1"/>
  <c r="I16" i="28" a="1"/>
  <c r="I16" i="28" s="1"/>
  <c r="C17" i="28" a="1"/>
  <c r="C17" i="28" s="1"/>
  <c r="D17" i="28" a="1"/>
  <c r="D17" i="28" s="1"/>
  <c r="E17" i="28" a="1"/>
  <c r="E17" i="28" s="1"/>
  <c r="F17" i="28" a="1"/>
  <c r="F17" i="28" s="1"/>
  <c r="G17" i="28" a="1"/>
  <c r="G17" i="28" s="1"/>
  <c r="H17" i="28" a="1"/>
  <c r="H17" i="28" s="1"/>
  <c r="I17" i="28" a="1"/>
  <c r="I17" i="28" s="1"/>
  <c r="C18" i="28" a="1"/>
  <c r="C18" i="28" s="1"/>
  <c r="D18" i="28" a="1"/>
  <c r="D18" i="28" s="1"/>
  <c r="E18" i="28" a="1"/>
  <c r="E18" i="28" s="1"/>
  <c r="F18" i="28" a="1"/>
  <c r="F18" i="28" s="1"/>
  <c r="G18" i="28" a="1"/>
  <c r="G18" i="28" s="1"/>
  <c r="H18" i="28" a="1"/>
  <c r="H18" i="28" s="1"/>
  <c r="I18" i="28" a="1"/>
  <c r="I18" i="28" s="1"/>
  <c r="B4" i="28" a="1"/>
  <c r="B4" i="28" s="1"/>
  <c r="B5" i="28" a="1"/>
  <c r="B5" i="28" s="1"/>
  <c r="B6" i="28" a="1"/>
  <c r="B6" i="28" s="1"/>
  <c r="B7" i="28" a="1"/>
  <c r="B7" i="28" s="1"/>
  <c r="B8" i="28" a="1"/>
  <c r="B8" i="28" s="1"/>
  <c r="B9" i="28" a="1"/>
  <c r="B9" i="28" s="1"/>
  <c r="B10" i="28" a="1"/>
  <c r="B10" i="28" s="1"/>
  <c r="B11" i="28" a="1"/>
  <c r="B11" i="28" s="1"/>
  <c r="B12" i="28" a="1"/>
  <c r="B12" i="28" s="1"/>
  <c r="B13" i="28" a="1"/>
  <c r="B13" i="28" s="1"/>
  <c r="B14" i="28" a="1"/>
  <c r="B14" i="28" s="1"/>
  <c r="B15" i="28" a="1"/>
  <c r="B15" i="28" s="1"/>
  <c r="B16" i="28" a="1"/>
  <c r="B16" i="28" s="1"/>
  <c r="B17" i="28" a="1"/>
  <c r="B17" i="28" s="1"/>
  <c r="B18" i="28" a="1"/>
  <c r="B18" i="28" s="1"/>
  <c r="B3" i="28" a="1"/>
  <c r="B3" i="28" s="1"/>
  <c r="B3" i="27"/>
  <c r="B4" i="27"/>
  <c r="B5" i="27"/>
  <c r="B6" i="27"/>
  <c r="B7" i="27"/>
  <c r="B8" i="27"/>
  <c r="B9" i="27"/>
  <c r="B10" i="27"/>
  <c r="B11" i="27"/>
  <c r="B12" i="27"/>
  <c r="B13" i="27"/>
  <c r="B14" i="27"/>
  <c r="B15" i="27"/>
  <c r="B16" i="27"/>
  <c r="B17" i="27"/>
  <c r="B18" i="27"/>
  <c r="B19" i="27"/>
  <c r="B20" i="27"/>
  <c r="B21" i="27"/>
  <c r="B22" i="27"/>
  <c r="B23" i="27"/>
  <c r="B24" i="27"/>
  <c r="B25" i="27"/>
  <c r="B26" i="27"/>
  <c r="B27" i="27"/>
  <c r="B28" i="27"/>
  <c r="B29" i="27"/>
  <c r="B30" i="27"/>
  <c r="B31" i="27"/>
  <c r="B32" i="27"/>
  <c r="B33" i="27"/>
  <c r="B34" i="27"/>
  <c r="B35" i="27"/>
  <c r="B36" i="27"/>
  <c r="B37" i="27"/>
  <c r="B38" i="27"/>
  <c r="B39" i="27"/>
  <c r="B40" i="27"/>
  <c r="B41" i="27"/>
  <c r="B42" i="27"/>
  <c r="B43" i="27"/>
  <c r="B44" i="27"/>
  <c r="B45" i="27"/>
  <c r="B46" i="27"/>
  <c r="B47" i="27"/>
  <c r="B48" i="27"/>
  <c r="B49" i="27"/>
  <c r="B50" i="27"/>
  <c r="B51" i="27"/>
  <c r="B52" i="27"/>
  <c r="B53" i="27"/>
  <c r="B54" i="27"/>
  <c r="B55" i="27"/>
  <c r="B56" i="27"/>
  <c r="B57" i="27"/>
  <c r="B58" i="27"/>
  <c r="B59" i="27"/>
  <c r="B60" i="27"/>
  <c r="B61" i="27"/>
  <c r="B62" i="27"/>
  <c r="B63" i="27"/>
  <c r="B64" i="27"/>
  <c r="B65" i="27"/>
  <c r="B66" i="27"/>
  <c r="B67" i="27"/>
  <c r="B68" i="27"/>
  <c r="B69" i="27"/>
  <c r="B70" i="27"/>
  <c r="B71" i="27"/>
  <c r="B72" i="27"/>
  <c r="B73" i="27"/>
  <c r="B74" i="27"/>
  <c r="B75" i="27"/>
  <c r="B76" i="27"/>
  <c r="B77" i="27"/>
  <c r="B78" i="27"/>
  <c r="B79" i="27"/>
  <c r="B80" i="27"/>
  <c r="B81" i="27"/>
  <c r="B82" i="27"/>
  <c r="B83" i="27"/>
  <c r="B84" i="27"/>
  <c r="B85" i="27"/>
  <c r="B86" i="27"/>
  <c r="B87" i="27"/>
  <c r="B88" i="27"/>
  <c r="B89" i="27"/>
  <c r="B90" i="27"/>
  <c r="B91" i="27"/>
  <c r="B92" i="27"/>
  <c r="B93" i="27"/>
  <c r="B94" i="27"/>
  <c r="B95" i="27"/>
  <c r="B96" i="27"/>
  <c r="B97" i="27"/>
  <c r="B98" i="27"/>
  <c r="B99" i="27"/>
  <c r="B100" i="27"/>
  <c r="B101" i="27"/>
  <c r="B102" i="27"/>
  <c r="B103" i="27"/>
  <c r="B104" i="27"/>
  <c r="B105" i="27"/>
  <c r="B106" i="27"/>
  <c r="B107" i="27"/>
  <c r="B108" i="27"/>
  <c r="B109" i="27"/>
  <c r="B110" i="27"/>
  <c r="B111" i="27"/>
  <c r="B112" i="27"/>
  <c r="B113" i="27"/>
  <c r="B114" i="27"/>
  <c r="B115" i="27"/>
  <c r="B116" i="27"/>
  <c r="B117" i="27"/>
  <c r="B118" i="27"/>
  <c r="B119" i="27"/>
  <c r="B120" i="27"/>
  <c r="B121" i="27"/>
  <c r="B122" i="27"/>
  <c r="B123" i="27"/>
  <c r="B124" i="27"/>
  <c r="B125" i="27"/>
  <c r="B126" i="27"/>
  <c r="B127" i="27"/>
  <c r="B128" i="27"/>
  <c r="B129" i="27"/>
  <c r="B130" i="27"/>
  <c r="B131" i="27"/>
  <c r="B132" i="27"/>
  <c r="B133" i="27"/>
  <c r="B134" i="27"/>
  <c r="B135" i="27"/>
  <c r="B136" i="27"/>
  <c r="B137" i="27"/>
  <c r="B138" i="27"/>
  <c r="B139" i="27"/>
  <c r="B140" i="27"/>
  <c r="B141" i="27"/>
  <c r="B142" i="27"/>
  <c r="B143" i="27"/>
  <c r="B144" i="27"/>
  <c r="B145" i="27"/>
  <c r="B146" i="27"/>
  <c r="B147" i="27"/>
  <c r="B148" i="27"/>
  <c r="B149" i="27"/>
  <c r="B150" i="27"/>
  <c r="B151" i="27"/>
  <c r="B152" i="27"/>
  <c r="B153" i="27"/>
  <c r="B154" i="27"/>
  <c r="B155" i="27"/>
  <c r="B156" i="27"/>
  <c r="B157" i="27"/>
  <c r="B158" i="27"/>
  <c r="B159" i="27"/>
  <c r="B160" i="27"/>
  <c r="B161" i="27"/>
  <c r="B162" i="27"/>
  <c r="B163" i="27"/>
  <c r="B164" i="27"/>
  <c r="B165" i="27"/>
  <c r="B166" i="27"/>
  <c r="B167" i="27"/>
  <c r="B168" i="27"/>
  <c r="B169" i="27"/>
  <c r="B170" i="27"/>
  <c r="B171" i="27"/>
  <c r="B172" i="27"/>
  <c r="B173" i="27"/>
  <c r="B174" i="27"/>
  <c r="B175" i="27"/>
  <c r="B176" i="27"/>
  <c r="B177" i="27"/>
  <c r="B178" i="27"/>
  <c r="B179" i="27"/>
  <c r="B180" i="27"/>
  <c r="B181" i="27"/>
  <c r="B182" i="27"/>
  <c r="B183" i="27"/>
  <c r="B184" i="27"/>
  <c r="B185" i="27"/>
  <c r="B186" i="27"/>
  <c r="B187" i="27"/>
  <c r="B188" i="27"/>
  <c r="B189" i="27"/>
  <c r="B190" i="27"/>
  <c r="B191" i="27"/>
  <c r="B192" i="27"/>
  <c r="B193" i="27"/>
  <c r="B194" i="27"/>
  <c r="B195" i="27"/>
  <c r="B196" i="27"/>
  <c r="B197" i="27"/>
  <c r="B198" i="27"/>
  <c r="B199" i="27"/>
  <c r="B200" i="27"/>
  <c r="B201" i="27"/>
  <c r="B202" i="27"/>
  <c r="B203" i="27"/>
  <c r="B204" i="27"/>
  <c r="B205" i="27"/>
  <c r="B206" i="27"/>
  <c r="B207" i="27"/>
  <c r="B208" i="27"/>
  <c r="B209" i="27"/>
  <c r="B210" i="27"/>
  <c r="B211" i="27"/>
  <c r="B212" i="27"/>
  <c r="B213" i="27"/>
  <c r="B214" i="27"/>
  <c r="B215" i="27"/>
  <c r="B216" i="27"/>
  <c r="B217" i="27"/>
  <c r="B218" i="27"/>
  <c r="B219" i="27"/>
  <c r="B220" i="27"/>
  <c r="B221" i="27"/>
  <c r="B222" i="27"/>
  <c r="B223" i="27"/>
  <c r="B224" i="27"/>
  <c r="B225" i="27"/>
  <c r="B226" i="27"/>
  <c r="B227" i="27"/>
  <c r="B228" i="27"/>
  <c r="B229" i="27"/>
  <c r="B230" i="27"/>
  <c r="B231" i="27"/>
  <c r="B232" i="27"/>
  <c r="B233" i="27"/>
  <c r="B234" i="27"/>
  <c r="B235" i="27"/>
  <c r="B236" i="27"/>
  <c r="B237" i="27"/>
  <c r="B238" i="27"/>
  <c r="B239" i="27"/>
  <c r="B240" i="27"/>
  <c r="B241" i="27"/>
  <c r="B242" i="27"/>
  <c r="B243" i="27"/>
  <c r="B244" i="27"/>
  <c r="B245" i="27"/>
  <c r="B246" i="27"/>
  <c r="B247" i="27"/>
  <c r="B248" i="27"/>
  <c r="B249" i="27"/>
  <c r="B250" i="27"/>
  <c r="B251" i="27"/>
  <c r="B252" i="27"/>
  <c r="B253" i="27"/>
  <c r="B254" i="27"/>
  <c r="B255" i="27"/>
  <c r="B256" i="27"/>
  <c r="B257" i="27"/>
  <c r="B258" i="27"/>
  <c r="B259" i="27"/>
  <c r="B260" i="27"/>
  <c r="B261" i="27"/>
  <c r="B262" i="27"/>
  <c r="B263" i="27"/>
  <c r="B264" i="27"/>
  <c r="B265" i="27"/>
  <c r="B266" i="27"/>
  <c r="B267" i="27"/>
  <c r="B268" i="27"/>
  <c r="B269" i="27"/>
  <c r="B270" i="27"/>
  <c r="B271" i="27"/>
  <c r="B272" i="27"/>
  <c r="B273" i="27"/>
  <c r="B274" i="27"/>
  <c r="B275" i="27"/>
  <c r="B276" i="27"/>
  <c r="B277" i="27"/>
  <c r="B278" i="27"/>
  <c r="B279" i="27"/>
  <c r="B280" i="27"/>
  <c r="B281" i="27"/>
  <c r="B282" i="27"/>
  <c r="B283" i="27"/>
  <c r="B284" i="27"/>
  <c r="B285" i="27"/>
  <c r="B286" i="27"/>
  <c r="B287" i="27"/>
  <c r="B288" i="27"/>
  <c r="B289" i="27"/>
  <c r="B290" i="27"/>
  <c r="B291" i="27"/>
  <c r="B292" i="27"/>
  <c r="B293" i="27"/>
  <c r="B294" i="27"/>
  <c r="B295" i="27"/>
  <c r="B296" i="27"/>
  <c r="B297" i="27"/>
  <c r="B298" i="27"/>
  <c r="B299" i="27"/>
  <c r="B300" i="27"/>
  <c r="B301" i="27"/>
  <c r="B302" i="27"/>
  <c r="B303" i="27"/>
  <c r="B304" i="27"/>
  <c r="B305" i="27"/>
  <c r="B306" i="27"/>
  <c r="B307" i="27"/>
  <c r="B308" i="27"/>
  <c r="B309" i="27"/>
  <c r="B310" i="27"/>
  <c r="B311" i="27"/>
  <c r="B312" i="27"/>
  <c r="B313" i="27"/>
  <c r="B314" i="27"/>
  <c r="B315" i="27"/>
  <c r="B316" i="27"/>
  <c r="B317" i="27"/>
  <c r="B318" i="27"/>
  <c r="B319" i="27"/>
  <c r="B320" i="27"/>
  <c r="B321" i="27"/>
  <c r="B322" i="27"/>
  <c r="B323" i="27"/>
  <c r="B324" i="27"/>
  <c r="B325" i="27"/>
  <c r="B326" i="27"/>
  <c r="B327" i="27"/>
  <c r="B328" i="27"/>
  <c r="B329" i="27"/>
  <c r="B330" i="27"/>
  <c r="B331" i="27"/>
  <c r="B332" i="27"/>
  <c r="B333" i="27"/>
  <c r="B334" i="27"/>
  <c r="B335" i="27"/>
  <c r="B336" i="27"/>
  <c r="B337" i="27"/>
  <c r="B338" i="27"/>
  <c r="B339" i="27"/>
  <c r="B340" i="27"/>
  <c r="B341" i="27"/>
  <c r="B342" i="27"/>
  <c r="B343" i="27"/>
  <c r="B344" i="27"/>
  <c r="B345" i="27"/>
  <c r="B346" i="27"/>
  <c r="B347" i="27"/>
  <c r="B348" i="27"/>
  <c r="B349" i="27"/>
  <c r="B350" i="27"/>
  <c r="B351" i="27"/>
  <c r="B352" i="27"/>
  <c r="B353" i="27"/>
  <c r="B354" i="27"/>
  <c r="B355" i="27"/>
  <c r="B356" i="27"/>
  <c r="B357" i="27"/>
  <c r="B358" i="27"/>
  <c r="B359" i="27"/>
  <c r="B360" i="27"/>
  <c r="B361" i="27"/>
  <c r="B362" i="27"/>
  <c r="B363" i="27"/>
  <c r="B364" i="27"/>
  <c r="B365" i="27"/>
  <c r="B366" i="27"/>
  <c r="B367" i="27"/>
  <c r="B368" i="27"/>
  <c r="B369" i="27"/>
  <c r="B370" i="27"/>
  <c r="B371" i="27"/>
  <c r="B372" i="27"/>
  <c r="B373" i="27"/>
  <c r="B374" i="27"/>
  <c r="B375" i="27"/>
  <c r="B376" i="27"/>
  <c r="B377" i="27"/>
  <c r="B378" i="27"/>
  <c r="B379" i="27"/>
  <c r="B380" i="27"/>
  <c r="B381" i="27"/>
  <c r="B382" i="27"/>
  <c r="B383" i="27"/>
  <c r="B384" i="27"/>
  <c r="B385" i="27"/>
  <c r="B386" i="27"/>
  <c r="B387" i="27"/>
  <c r="B388" i="27"/>
  <c r="B389" i="27"/>
  <c r="B390" i="27"/>
  <c r="B391" i="27"/>
  <c r="B392" i="27"/>
  <c r="B393" i="27"/>
  <c r="B394" i="27"/>
  <c r="B395" i="27"/>
  <c r="B396" i="27"/>
  <c r="B397" i="27"/>
  <c r="B398" i="27"/>
  <c r="B399" i="27"/>
  <c r="B400" i="27"/>
  <c r="B401" i="27"/>
  <c r="B402" i="27"/>
  <c r="B403" i="27"/>
  <c r="B404" i="27"/>
  <c r="B405" i="27"/>
  <c r="B406" i="27"/>
  <c r="B407" i="27"/>
  <c r="B408" i="27"/>
  <c r="B409" i="27"/>
  <c r="B410" i="27"/>
  <c r="B411" i="27"/>
  <c r="B412" i="27"/>
  <c r="B413" i="27"/>
  <c r="B414" i="27"/>
  <c r="B415" i="27"/>
  <c r="B416" i="27"/>
  <c r="B417" i="27"/>
  <c r="B418" i="27"/>
  <c r="B419" i="27"/>
  <c r="B420" i="27"/>
  <c r="B421" i="27"/>
  <c r="B422" i="27"/>
  <c r="B423" i="27"/>
  <c r="B424" i="27"/>
  <c r="B425" i="27"/>
  <c r="B426" i="27"/>
  <c r="B427" i="27"/>
  <c r="B428" i="27"/>
  <c r="B429" i="27"/>
  <c r="B430" i="27"/>
  <c r="B431" i="27"/>
  <c r="B432" i="27"/>
  <c r="B433" i="27"/>
  <c r="B434" i="27"/>
  <c r="B435" i="27"/>
  <c r="B436" i="27"/>
  <c r="B437" i="27"/>
  <c r="B438" i="27"/>
  <c r="B439" i="27"/>
  <c r="B440" i="27"/>
  <c r="B441" i="27"/>
  <c r="B442" i="27"/>
  <c r="B443" i="27"/>
  <c r="B444" i="27"/>
  <c r="B445" i="27"/>
  <c r="B446" i="27"/>
  <c r="B447" i="27"/>
  <c r="B448" i="27"/>
  <c r="B449" i="27"/>
  <c r="B450" i="27"/>
  <c r="B451" i="27"/>
  <c r="B452" i="27"/>
  <c r="B453" i="27"/>
  <c r="B454" i="27"/>
  <c r="B455" i="27"/>
  <c r="B456" i="27"/>
  <c r="B457" i="27"/>
  <c r="B458" i="27"/>
  <c r="B459" i="27"/>
  <c r="B460" i="27"/>
  <c r="B461" i="27"/>
  <c r="B462" i="27"/>
  <c r="B463" i="27"/>
  <c r="B464" i="27"/>
  <c r="B465" i="27"/>
  <c r="B466" i="27"/>
  <c r="B467" i="27"/>
  <c r="B468" i="27"/>
  <c r="B469" i="27"/>
  <c r="B470" i="27"/>
  <c r="B471" i="27"/>
  <c r="B472" i="27"/>
  <c r="B473" i="27"/>
  <c r="B474" i="27"/>
  <c r="B475" i="27"/>
  <c r="B476" i="27"/>
  <c r="B477" i="27"/>
  <c r="B478" i="27"/>
  <c r="B479" i="27"/>
  <c r="B480" i="27"/>
  <c r="B481" i="27"/>
  <c r="B482" i="27"/>
  <c r="B483" i="27"/>
  <c r="B484" i="27"/>
  <c r="B485" i="27"/>
  <c r="B486" i="27"/>
  <c r="B487" i="27"/>
  <c r="B488" i="27"/>
  <c r="B489" i="27"/>
  <c r="B490" i="27"/>
  <c r="B491" i="27"/>
  <c r="B492" i="27"/>
  <c r="B493" i="27"/>
  <c r="B494" i="27"/>
  <c r="B495" i="27"/>
  <c r="B496" i="27"/>
  <c r="B497" i="27"/>
  <c r="B498" i="27"/>
  <c r="B499" i="27"/>
  <c r="B500" i="27"/>
  <c r="B501" i="27"/>
  <c r="B502" i="27"/>
  <c r="B503" i="27"/>
  <c r="B504" i="27"/>
  <c r="B505" i="27"/>
  <c r="B506" i="27"/>
  <c r="B507" i="27"/>
  <c r="B508" i="27"/>
  <c r="B509" i="27"/>
  <c r="B510" i="27"/>
  <c r="B511" i="27"/>
  <c r="B512" i="27"/>
  <c r="B513" i="27"/>
  <c r="B514" i="27"/>
  <c r="B515" i="27"/>
  <c r="B516" i="27"/>
  <c r="B517" i="27"/>
  <c r="B518" i="27"/>
  <c r="B519" i="27"/>
  <c r="B520" i="27"/>
  <c r="B521" i="27"/>
  <c r="B522" i="27"/>
  <c r="B523" i="27"/>
  <c r="B524" i="27"/>
  <c r="B525" i="27"/>
  <c r="B526" i="27"/>
  <c r="B527" i="27"/>
  <c r="B528" i="27"/>
  <c r="B529" i="27"/>
  <c r="B530" i="27"/>
  <c r="B531" i="27"/>
  <c r="B532" i="27"/>
  <c r="B533" i="27"/>
  <c r="B2" i="27"/>
  <c r="A4" i="28"/>
  <c r="A5" i="28"/>
  <c r="A6" i="28"/>
  <c r="A7" i="28"/>
  <c r="A8" i="28"/>
  <c r="A9" i="28"/>
  <c r="A10" i="28"/>
  <c r="A11" i="28"/>
  <c r="A12" i="28"/>
  <c r="A13" i="28"/>
  <c r="A14" i="28"/>
  <c r="A15" i="28"/>
  <c r="A16" i="28"/>
  <c r="A17" i="28"/>
  <c r="A18" i="28"/>
  <c r="A3" i="28"/>
  <c r="F2" i="27"/>
  <c r="F3" i="27"/>
  <c r="F4" i="27"/>
  <c r="F5" i="27"/>
  <c r="F6" i="27"/>
  <c r="F7" i="27"/>
  <c r="F8" i="27"/>
  <c r="F9" i="27"/>
  <c r="F10" i="27"/>
  <c r="F11" i="27"/>
  <c r="F12" i="27"/>
  <c r="F13" i="27"/>
  <c r="F14" i="27"/>
  <c r="F15" i="27"/>
  <c r="F16" i="27"/>
  <c r="F17" i="27"/>
  <c r="F18" i="27"/>
  <c r="F19" i="27"/>
  <c r="F20" i="27"/>
  <c r="F21" i="27"/>
  <c r="F22" i="27"/>
  <c r="F23" i="27"/>
  <c r="F24" i="27"/>
  <c r="F25" i="27"/>
  <c r="F26" i="27"/>
  <c r="F27" i="27"/>
  <c r="F28" i="27"/>
  <c r="F29" i="27"/>
  <c r="F30" i="27"/>
  <c r="F31" i="27"/>
  <c r="F32" i="27"/>
  <c r="F33" i="27"/>
  <c r="F34" i="27"/>
  <c r="F35" i="27"/>
  <c r="F36" i="27"/>
  <c r="F37" i="27"/>
  <c r="F38" i="27"/>
  <c r="F39" i="27"/>
  <c r="F40" i="27"/>
  <c r="F41" i="27"/>
  <c r="F42" i="27"/>
  <c r="F43" i="27"/>
  <c r="F44" i="27"/>
  <c r="F45" i="27"/>
  <c r="F46" i="27"/>
  <c r="F47" i="27"/>
  <c r="F48" i="27"/>
  <c r="F49" i="27"/>
  <c r="F50" i="27"/>
  <c r="F51" i="27"/>
  <c r="F52" i="27"/>
  <c r="F53" i="27"/>
  <c r="F54" i="27"/>
  <c r="F55" i="27"/>
  <c r="F56" i="27"/>
  <c r="F57" i="27"/>
  <c r="F58" i="27"/>
  <c r="F59" i="27"/>
  <c r="F60" i="27"/>
  <c r="F61" i="27"/>
  <c r="F62" i="27"/>
  <c r="F63" i="27"/>
  <c r="F64" i="27"/>
  <c r="F65" i="27"/>
  <c r="F66" i="27"/>
  <c r="F67" i="27"/>
  <c r="F68" i="27"/>
  <c r="F69" i="27"/>
  <c r="F70" i="27"/>
  <c r="F71" i="27"/>
  <c r="F72" i="27"/>
  <c r="F73" i="27"/>
  <c r="F74" i="27"/>
  <c r="F75" i="27"/>
  <c r="F76" i="27"/>
  <c r="F77" i="27"/>
  <c r="F78" i="27"/>
  <c r="F79" i="27"/>
  <c r="F80" i="27"/>
  <c r="F81" i="27"/>
  <c r="F82" i="27"/>
  <c r="F83" i="27"/>
  <c r="F84" i="27"/>
  <c r="F85" i="27"/>
  <c r="F86" i="27"/>
  <c r="F87" i="27"/>
  <c r="F88" i="27"/>
  <c r="F89" i="27"/>
  <c r="F90" i="27"/>
  <c r="F91" i="27"/>
  <c r="F92" i="27"/>
  <c r="F93" i="27"/>
  <c r="F94" i="27"/>
  <c r="F95" i="27"/>
  <c r="F96" i="27"/>
  <c r="F97" i="27"/>
  <c r="F98" i="27"/>
  <c r="F99" i="27"/>
  <c r="F100" i="27"/>
  <c r="F101" i="27"/>
  <c r="F102" i="27"/>
  <c r="F103" i="27"/>
  <c r="F104" i="27"/>
  <c r="F105" i="27"/>
  <c r="F106" i="27"/>
  <c r="F107" i="27"/>
  <c r="F108" i="27"/>
  <c r="F109" i="27"/>
  <c r="F110" i="27"/>
  <c r="F111" i="27"/>
  <c r="F112" i="27"/>
  <c r="F113" i="27"/>
  <c r="F114" i="27"/>
  <c r="F115" i="27"/>
  <c r="F116" i="27"/>
  <c r="F117" i="27"/>
  <c r="F118" i="27"/>
  <c r="F119" i="27"/>
  <c r="F120" i="27"/>
  <c r="F121" i="27"/>
  <c r="F122" i="27"/>
  <c r="F123" i="27"/>
  <c r="F124" i="27"/>
  <c r="F125" i="27"/>
  <c r="F126" i="27"/>
  <c r="F127" i="27"/>
  <c r="F128" i="27"/>
  <c r="F129" i="27"/>
  <c r="F130" i="27"/>
  <c r="F131" i="27"/>
  <c r="F132" i="27"/>
  <c r="F133" i="27"/>
  <c r="F134" i="27"/>
  <c r="F135" i="27"/>
  <c r="F136" i="27"/>
  <c r="F137" i="27"/>
  <c r="F138" i="27"/>
  <c r="F139" i="27"/>
  <c r="F140" i="27"/>
  <c r="F141" i="27"/>
  <c r="F142" i="27"/>
  <c r="F143" i="27"/>
  <c r="F144" i="27"/>
  <c r="F145" i="27"/>
  <c r="F146" i="27"/>
  <c r="F147" i="27"/>
  <c r="F148" i="27"/>
  <c r="F149" i="27"/>
  <c r="F150" i="27"/>
  <c r="F151" i="27"/>
  <c r="F152" i="27"/>
  <c r="F153" i="27"/>
  <c r="F154" i="27"/>
  <c r="F155" i="27"/>
  <c r="F156" i="27"/>
  <c r="F157" i="27"/>
  <c r="F158" i="27"/>
  <c r="F159" i="27"/>
  <c r="F160" i="27"/>
  <c r="F161" i="27"/>
  <c r="F162" i="27"/>
  <c r="F163" i="27"/>
  <c r="F164" i="27"/>
  <c r="F165" i="27"/>
  <c r="F166" i="27"/>
  <c r="F167" i="27"/>
  <c r="F168" i="27"/>
  <c r="F169" i="27"/>
  <c r="F170" i="27"/>
  <c r="F171" i="27"/>
  <c r="F172" i="27"/>
  <c r="F173" i="27"/>
  <c r="F174" i="27"/>
  <c r="F175" i="27"/>
  <c r="F176" i="27"/>
  <c r="F177" i="27"/>
  <c r="F178" i="27"/>
  <c r="F179" i="27"/>
  <c r="F180" i="27"/>
  <c r="F181" i="27"/>
  <c r="F182" i="27"/>
  <c r="F183" i="27"/>
  <c r="F184" i="27"/>
  <c r="F185" i="27"/>
  <c r="F186" i="27"/>
  <c r="F187" i="27"/>
  <c r="F188" i="27"/>
  <c r="F189" i="27"/>
  <c r="F190" i="27"/>
  <c r="F191" i="27"/>
  <c r="F192" i="27"/>
  <c r="F193" i="27"/>
  <c r="F194" i="27"/>
  <c r="F195" i="27"/>
  <c r="F196" i="27"/>
  <c r="F197" i="27"/>
  <c r="F198" i="27"/>
  <c r="F199" i="27"/>
  <c r="F200" i="27"/>
  <c r="F201" i="27"/>
  <c r="F202" i="27"/>
  <c r="F203" i="27"/>
  <c r="F204" i="27"/>
  <c r="F205" i="27"/>
  <c r="F206" i="27"/>
  <c r="F207" i="27"/>
  <c r="F208" i="27"/>
  <c r="F209" i="27"/>
  <c r="F210" i="27"/>
  <c r="F211" i="27"/>
  <c r="F212" i="27"/>
  <c r="F213" i="27"/>
  <c r="F214" i="27"/>
  <c r="F215" i="27"/>
  <c r="F216" i="27"/>
  <c r="F217" i="27"/>
  <c r="F218" i="27"/>
  <c r="F219" i="27"/>
  <c r="F220" i="27"/>
  <c r="F221" i="27"/>
  <c r="F222" i="27"/>
  <c r="F223" i="27"/>
  <c r="F224" i="27"/>
  <c r="F225" i="27"/>
  <c r="F226" i="27"/>
  <c r="F227" i="27"/>
  <c r="F228" i="27"/>
  <c r="F229" i="27"/>
  <c r="F230" i="27"/>
  <c r="F231" i="27"/>
  <c r="F232" i="27"/>
  <c r="F233" i="27"/>
  <c r="F234" i="27"/>
  <c r="F235" i="27"/>
  <c r="F236" i="27"/>
  <c r="F237" i="27"/>
  <c r="F238" i="27"/>
  <c r="F239" i="27"/>
  <c r="F240" i="27"/>
  <c r="F241" i="27"/>
  <c r="F242" i="27"/>
  <c r="F243" i="27"/>
  <c r="F244" i="27"/>
  <c r="F245" i="27"/>
  <c r="F246" i="27"/>
  <c r="F247" i="27"/>
  <c r="F248" i="27"/>
  <c r="F249" i="27"/>
  <c r="F250" i="27"/>
  <c r="F251" i="27"/>
  <c r="F252" i="27"/>
  <c r="F253" i="27"/>
  <c r="F254" i="27"/>
  <c r="F255" i="27"/>
  <c r="F256" i="27"/>
  <c r="F257" i="27"/>
  <c r="F258" i="27"/>
  <c r="F259" i="27"/>
  <c r="F260" i="27"/>
  <c r="F261" i="27"/>
  <c r="F262" i="27"/>
  <c r="F263" i="27"/>
  <c r="F264" i="27"/>
  <c r="F265" i="27"/>
  <c r="F266" i="27"/>
  <c r="F267" i="27"/>
  <c r="F268" i="27"/>
  <c r="F269" i="27"/>
  <c r="F270" i="27"/>
  <c r="F271" i="27"/>
  <c r="F272" i="27"/>
  <c r="F273" i="27"/>
  <c r="F274" i="27"/>
  <c r="F275" i="27"/>
  <c r="F276" i="27"/>
  <c r="F277" i="27"/>
  <c r="F278" i="27"/>
  <c r="F279" i="27"/>
  <c r="F280" i="27"/>
  <c r="F281" i="27"/>
  <c r="F282" i="27"/>
  <c r="F283" i="27"/>
  <c r="F284" i="27"/>
  <c r="F285" i="27"/>
  <c r="F286" i="27"/>
  <c r="F287" i="27"/>
  <c r="F288" i="27"/>
  <c r="F289" i="27"/>
  <c r="F290" i="27"/>
  <c r="F291" i="27"/>
  <c r="F292" i="27"/>
  <c r="F293" i="27"/>
  <c r="F294" i="27"/>
  <c r="F295" i="27"/>
  <c r="F296" i="27"/>
  <c r="F297" i="27"/>
  <c r="F298" i="27"/>
  <c r="F299" i="27"/>
  <c r="F300" i="27"/>
  <c r="F301" i="27"/>
  <c r="F302" i="27"/>
  <c r="F303" i="27"/>
  <c r="F304" i="27"/>
  <c r="F305" i="27"/>
  <c r="F306" i="27"/>
  <c r="F307" i="27"/>
  <c r="F308" i="27"/>
  <c r="F309" i="27"/>
  <c r="F310" i="27"/>
  <c r="F311" i="27"/>
  <c r="F312" i="27"/>
  <c r="F313" i="27"/>
  <c r="F314" i="27"/>
  <c r="F315" i="27"/>
  <c r="F316" i="27"/>
  <c r="F317" i="27"/>
  <c r="F318" i="27"/>
  <c r="F319" i="27"/>
  <c r="F320" i="27"/>
  <c r="F321" i="27"/>
  <c r="F322" i="27"/>
  <c r="F323" i="27"/>
  <c r="F324" i="27"/>
  <c r="F325" i="27"/>
  <c r="F326" i="27"/>
  <c r="F327" i="27"/>
  <c r="F328" i="27"/>
  <c r="F329" i="27"/>
  <c r="F330" i="27"/>
  <c r="F331" i="27"/>
  <c r="F332" i="27"/>
  <c r="F333" i="27"/>
  <c r="F334" i="27"/>
  <c r="F335" i="27"/>
  <c r="F336" i="27"/>
  <c r="F337" i="27"/>
  <c r="F338" i="27"/>
  <c r="F339" i="27"/>
  <c r="F340" i="27"/>
  <c r="F341" i="27"/>
  <c r="F342" i="27"/>
  <c r="F343" i="27"/>
  <c r="F344" i="27"/>
  <c r="F345" i="27"/>
  <c r="F346" i="27"/>
  <c r="F347" i="27"/>
  <c r="F348" i="27"/>
  <c r="F349" i="27"/>
  <c r="F350" i="27"/>
  <c r="F351" i="27"/>
  <c r="F352" i="27"/>
  <c r="F353" i="27"/>
  <c r="F354" i="27"/>
  <c r="F355" i="27"/>
  <c r="F356" i="27"/>
  <c r="F357" i="27"/>
  <c r="F358" i="27"/>
  <c r="F359" i="27"/>
  <c r="F360" i="27"/>
  <c r="F361" i="27"/>
  <c r="F362" i="27"/>
  <c r="F363" i="27"/>
  <c r="F364" i="27"/>
  <c r="F365" i="27"/>
  <c r="F366" i="27"/>
  <c r="F367" i="27"/>
  <c r="F368" i="27"/>
  <c r="F369" i="27"/>
  <c r="F370" i="27"/>
  <c r="F371" i="27"/>
  <c r="F372" i="27"/>
  <c r="F373" i="27"/>
  <c r="F374" i="27"/>
  <c r="F375" i="27"/>
  <c r="F376" i="27"/>
  <c r="F377" i="27"/>
  <c r="F378" i="27"/>
  <c r="F379" i="27"/>
  <c r="F380" i="27"/>
  <c r="F381" i="27"/>
  <c r="F382" i="27"/>
  <c r="F383" i="27"/>
  <c r="F384" i="27"/>
  <c r="F385" i="27"/>
  <c r="F386" i="27"/>
  <c r="F387" i="27"/>
  <c r="F388" i="27"/>
  <c r="F389" i="27"/>
  <c r="F390" i="27"/>
  <c r="F391" i="27"/>
  <c r="F392" i="27"/>
  <c r="F393" i="27"/>
  <c r="F394" i="27"/>
  <c r="F395" i="27"/>
  <c r="F396" i="27"/>
  <c r="F397" i="27"/>
  <c r="F398" i="27"/>
  <c r="F399" i="27"/>
  <c r="F400" i="27"/>
  <c r="F401" i="27"/>
  <c r="F402" i="27"/>
  <c r="F403" i="27"/>
  <c r="F404" i="27"/>
  <c r="F405" i="27"/>
  <c r="F406" i="27"/>
  <c r="F407" i="27"/>
  <c r="F408" i="27"/>
  <c r="F409" i="27"/>
  <c r="F410" i="27"/>
  <c r="F411" i="27"/>
  <c r="F412" i="27"/>
  <c r="F413" i="27"/>
  <c r="F414" i="27"/>
  <c r="F415" i="27"/>
  <c r="F416" i="27"/>
  <c r="F417" i="27"/>
  <c r="F418" i="27"/>
  <c r="F419" i="27"/>
  <c r="F420" i="27"/>
  <c r="F421" i="27"/>
  <c r="F422" i="27"/>
  <c r="F423" i="27"/>
  <c r="F424" i="27"/>
  <c r="F425" i="27"/>
  <c r="F426" i="27"/>
  <c r="F427" i="27"/>
  <c r="F428" i="27"/>
  <c r="F429" i="27"/>
  <c r="F430" i="27"/>
  <c r="F431" i="27"/>
  <c r="F432" i="27"/>
  <c r="F433" i="27"/>
  <c r="F434" i="27"/>
  <c r="F435" i="27"/>
  <c r="F436" i="27"/>
  <c r="F437" i="27"/>
  <c r="F438" i="27"/>
  <c r="F439" i="27"/>
  <c r="F440" i="27"/>
  <c r="F441" i="27"/>
  <c r="F442" i="27"/>
  <c r="F443" i="27"/>
  <c r="F444" i="27"/>
  <c r="F445" i="27"/>
  <c r="F446" i="27"/>
  <c r="F447" i="27"/>
  <c r="F448" i="27"/>
  <c r="F449" i="27"/>
  <c r="F450" i="27"/>
  <c r="F451" i="27"/>
  <c r="F452" i="27"/>
  <c r="F453" i="27"/>
  <c r="F454" i="27"/>
  <c r="F455" i="27"/>
  <c r="F456" i="27"/>
  <c r="F457" i="27"/>
  <c r="F458" i="27"/>
  <c r="F459" i="27"/>
  <c r="F460" i="27"/>
  <c r="F461" i="27"/>
  <c r="F462" i="27"/>
  <c r="F463" i="27"/>
  <c r="F464" i="27"/>
  <c r="F465" i="27"/>
  <c r="F466" i="27"/>
  <c r="F467" i="27"/>
  <c r="F468" i="27"/>
  <c r="F469" i="27"/>
  <c r="F470" i="27"/>
  <c r="F471" i="27"/>
  <c r="F472" i="27"/>
  <c r="F473" i="27"/>
  <c r="F474" i="27"/>
  <c r="F475" i="27"/>
  <c r="F476" i="27"/>
  <c r="F477" i="27"/>
  <c r="F478" i="27"/>
  <c r="F479" i="27"/>
  <c r="F480" i="27"/>
  <c r="F481" i="27"/>
  <c r="F482" i="27"/>
  <c r="F483" i="27"/>
  <c r="F484" i="27"/>
  <c r="F485" i="27"/>
  <c r="F486" i="27"/>
  <c r="F487" i="27"/>
  <c r="F488" i="27"/>
  <c r="F489" i="27"/>
  <c r="F490" i="27"/>
  <c r="F491" i="27"/>
  <c r="F492" i="27"/>
  <c r="F493" i="27"/>
  <c r="F494" i="27"/>
  <c r="F495" i="27"/>
  <c r="F496" i="27"/>
  <c r="F497" i="27"/>
  <c r="F498" i="27"/>
  <c r="F499" i="27"/>
  <c r="F500" i="27"/>
  <c r="F501" i="27"/>
  <c r="F502" i="27"/>
  <c r="F503" i="27"/>
  <c r="F504" i="27"/>
  <c r="F505" i="27"/>
  <c r="F506" i="27"/>
  <c r="F507" i="27"/>
  <c r="F508" i="27"/>
  <c r="F509" i="27"/>
  <c r="F510" i="27"/>
  <c r="F511" i="27"/>
  <c r="F512" i="27"/>
  <c r="F513" i="27"/>
  <c r="F514" i="27"/>
  <c r="F515" i="27"/>
  <c r="F516" i="27"/>
  <c r="F517" i="27"/>
  <c r="F518" i="27"/>
  <c r="F519" i="27"/>
  <c r="F520" i="27"/>
  <c r="F521" i="27"/>
  <c r="F522" i="27"/>
  <c r="F523" i="27"/>
  <c r="F524" i="27"/>
  <c r="F525" i="27"/>
  <c r="F526" i="27"/>
  <c r="F527" i="27"/>
  <c r="F528" i="27"/>
  <c r="F529" i="27"/>
  <c r="F530" i="27"/>
  <c r="F531" i="27"/>
  <c r="F532" i="27"/>
  <c r="F533" i="27"/>
  <c r="F3" i="25"/>
  <c r="F4" i="25" s="1"/>
  <c r="F5" i="25" s="1"/>
  <c r="F6" i="25" s="1"/>
  <c r="F7" i="25" s="1"/>
  <c r="F8" i="25" s="1"/>
  <c r="F9" i="25" s="1"/>
  <c r="F10" i="25" s="1"/>
  <c r="F11" i="25" s="1"/>
  <c r="F12" i="25" s="1"/>
  <c r="F13" i="25" s="1"/>
  <c r="F14" i="25" s="1"/>
  <c r="F15" i="25" s="1"/>
  <c r="F16" i="25" s="1"/>
  <c r="F17" i="25" s="1"/>
  <c r="F18" i="25" s="1"/>
  <c r="F19" i="25" s="1"/>
  <c r="F20" i="25" s="1"/>
  <c r="F21" i="25" s="1"/>
  <c r="F22" i="25" s="1"/>
  <c r="F23" i="25" s="1"/>
  <c r="F24" i="25" s="1"/>
  <c r="F25" i="25" s="1"/>
  <c r="F26" i="25" s="1"/>
  <c r="F27" i="25" s="1"/>
  <c r="F28" i="25" s="1"/>
  <c r="F29" i="25" s="1"/>
  <c r="F30" i="25" s="1"/>
  <c r="F31" i="25" s="1"/>
  <c r="F32" i="25" s="1"/>
  <c r="F33" i="25" s="1"/>
  <c r="F34" i="25" s="1"/>
  <c r="F35" i="25" s="1"/>
  <c r="F36" i="25" s="1"/>
  <c r="F37" i="25" s="1"/>
  <c r="F38" i="25" s="1"/>
  <c r="F39" i="25" s="1"/>
  <c r="F40" i="25" s="1"/>
  <c r="F41" i="25" s="1"/>
  <c r="F42" i="25" s="1"/>
  <c r="F43" i="25" s="1"/>
  <c r="F44" i="25" s="1"/>
  <c r="F45" i="25" s="1"/>
  <c r="F46" i="25" s="1"/>
  <c r="F47" i="25" s="1"/>
  <c r="F48" i="25" s="1"/>
  <c r="F49" i="25" s="1"/>
  <c r="F50" i="25" s="1"/>
  <c r="F51" i="25" s="1"/>
  <c r="F52" i="25" s="1"/>
  <c r="F53" i="25" s="1"/>
  <c r="F54" i="25" s="1"/>
  <c r="F55" i="25" s="1"/>
  <c r="F56" i="25" s="1"/>
  <c r="F57" i="25" s="1"/>
  <c r="F58" i="25" s="1"/>
  <c r="F59" i="25" s="1"/>
  <c r="F60" i="25" s="1"/>
  <c r="F61" i="25" s="1"/>
  <c r="F62" i="25" s="1"/>
  <c r="F63" i="25" s="1"/>
  <c r="F64" i="25" s="1"/>
  <c r="F65" i="25" s="1"/>
  <c r="F66" i="25" s="1"/>
  <c r="F67" i="25" s="1"/>
  <c r="F68" i="25" s="1"/>
  <c r="F69" i="25" s="1"/>
  <c r="F70" i="25" s="1"/>
  <c r="F71" i="25" s="1"/>
  <c r="F72" i="25" s="1"/>
  <c r="F73" i="25" s="1"/>
  <c r="F74" i="25" s="1"/>
  <c r="F75" i="25" s="1"/>
  <c r="F76" i="25" s="1"/>
  <c r="F77" i="25" s="1"/>
  <c r="F78" i="25" s="1"/>
  <c r="F79" i="25" s="1"/>
  <c r="F80" i="25" s="1"/>
  <c r="F81" i="25" s="1"/>
  <c r="F82" i="25" s="1"/>
  <c r="F83" i="25" s="1"/>
  <c r="F84" i="25" s="1"/>
  <c r="F85" i="25" s="1"/>
  <c r="F86" i="25" s="1"/>
  <c r="F87" i="25" s="1"/>
  <c r="F88" i="25" s="1"/>
  <c r="F89" i="25" s="1"/>
  <c r="F90" i="25" s="1"/>
  <c r="F91" i="25" s="1"/>
  <c r="F92" i="25" s="1"/>
  <c r="F93" i="25" s="1"/>
  <c r="F94" i="25" s="1"/>
  <c r="F95" i="25" s="1"/>
  <c r="F96" i="25" s="1"/>
  <c r="F97" i="25" s="1"/>
  <c r="F98" i="25" s="1"/>
  <c r="F99" i="25" s="1"/>
  <c r="F100" i="25" s="1"/>
  <c r="F101" i="25" s="1"/>
  <c r="F102" i="25" s="1"/>
  <c r="F103" i="25" s="1"/>
  <c r="F104" i="25" s="1"/>
  <c r="F105" i="25" s="1"/>
  <c r="F106" i="25" s="1"/>
  <c r="F107" i="25" s="1"/>
  <c r="F108" i="25" s="1"/>
  <c r="F109" i="25" s="1"/>
  <c r="F110" i="25" s="1"/>
  <c r="F111" i="25" s="1"/>
  <c r="F112" i="25" s="1"/>
  <c r="F113" i="25" s="1"/>
  <c r="F114" i="25" s="1"/>
  <c r="F115" i="25" s="1"/>
  <c r="F116" i="25" s="1"/>
  <c r="F117" i="25" s="1"/>
  <c r="F118" i="25" s="1"/>
  <c r="F119" i="25" s="1"/>
  <c r="F120" i="25" s="1"/>
  <c r="F121" i="25" s="1"/>
  <c r="F122" i="25" s="1"/>
  <c r="F123" i="25" s="1"/>
  <c r="F124" i="25" s="1"/>
  <c r="F125" i="25" s="1"/>
  <c r="F126" i="25" s="1"/>
  <c r="F127" i="25" s="1"/>
  <c r="F128" i="25" s="1"/>
  <c r="F129" i="25" s="1"/>
  <c r="F130" i="25" s="1"/>
  <c r="F131" i="25" s="1"/>
  <c r="F132" i="25" s="1"/>
  <c r="F133" i="25" s="1"/>
  <c r="F134" i="25" s="1"/>
  <c r="F135" i="25" s="1"/>
  <c r="F136" i="25" s="1"/>
  <c r="F137" i="25" s="1"/>
  <c r="F138" i="25" s="1"/>
  <c r="F139" i="25" s="1"/>
  <c r="F140" i="25" s="1"/>
  <c r="F141" i="25" s="1"/>
  <c r="F142" i="25" s="1"/>
  <c r="F143" i="25" s="1"/>
  <c r="F144" i="25" s="1"/>
  <c r="F145" i="25" s="1"/>
  <c r="F146" i="25" s="1"/>
  <c r="F147" i="25" s="1"/>
  <c r="F148" i="25" s="1"/>
  <c r="F149" i="25" s="1"/>
  <c r="F150" i="25" s="1"/>
  <c r="F151" i="25" s="1"/>
  <c r="F152" i="25" s="1"/>
  <c r="F153" i="25" s="1"/>
  <c r="F154" i="25" s="1"/>
  <c r="F155" i="25" s="1"/>
  <c r="F156" i="25" s="1"/>
  <c r="F157" i="25" s="1"/>
  <c r="F158" i="25" s="1"/>
  <c r="F159" i="25" s="1"/>
  <c r="F160" i="25" s="1"/>
  <c r="F161" i="25" s="1"/>
  <c r="F162" i="25" s="1"/>
  <c r="F163" i="25" s="1"/>
  <c r="F164" i="25" s="1"/>
  <c r="F165" i="25" s="1"/>
  <c r="F166" i="25" s="1"/>
  <c r="F167" i="25" s="1"/>
  <c r="F168" i="25" s="1"/>
  <c r="F169" i="25" s="1"/>
  <c r="F170" i="25" s="1"/>
  <c r="F171" i="25" s="1"/>
  <c r="F172" i="25" s="1"/>
  <c r="F173" i="25" s="1"/>
  <c r="F174" i="25" s="1"/>
  <c r="F175" i="25" s="1"/>
  <c r="F176" i="25" s="1"/>
  <c r="F177" i="25" s="1"/>
  <c r="F178" i="25" s="1"/>
  <c r="F179" i="25" s="1"/>
  <c r="F180" i="25" s="1"/>
  <c r="F181" i="25" s="1"/>
  <c r="F182" i="25" s="1"/>
  <c r="F183" i="25" s="1"/>
  <c r="F184" i="25" s="1"/>
  <c r="F185" i="25" s="1"/>
  <c r="F186" i="25" s="1"/>
  <c r="F187" i="25" s="1"/>
  <c r="F188" i="25" s="1"/>
  <c r="F189" i="25" s="1"/>
  <c r="F190" i="25" s="1"/>
  <c r="F191" i="25" s="1"/>
  <c r="F192" i="25" s="1"/>
  <c r="F193" i="25" s="1"/>
  <c r="F194" i="25" s="1"/>
  <c r="F195" i="25" s="1"/>
  <c r="F196" i="25" s="1"/>
  <c r="F197" i="25" s="1"/>
  <c r="F198" i="25" s="1"/>
  <c r="F199" i="25" s="1"/>
  <c r="F200" i="25" s="1"/>
  <c r="F201" i="25" s="1"/>
  <c r="F202" i="25" s="1"/>
  <c r="E4" i="25"/>
  <c r="E5" i="25"/>
  <c r="E6" i="25"/>
  <c r="E7" i="25"/>
  <c r="E8" i="25"/>
  <c r="E9" i="25"/>
  <c r="E10" i="25"/>
  <c r="E11" i="25"/>
  <c r="E12" i="25"/>
  <c r="E13" i="25"/>
  <c r="E14" i="25"/>
  <c r="E15" i="25"/>
  <c r="E16" i="25"/>
  <c r="E17" i="25"/>
  <c r="E18" i="25"/>
  <c r="E19" i="25"/>
  <c r="E20" i="25"/>
  <c r="E21" i="25"/>
  <c r="E22" i="25"/>
  <c r="E23" i="25"/>
  <c r="E24" i="25"/>
  <c r="E25" i="25"/>
  <c r="E26" i="25"/>
  <c r="E27" i="25"/>
  <c r="E28" i="25"/>
  <c r="E29" i="25"/>
  <c r="E30" i="25"/>
  <c r="E31" i="25"/>
  <c r="E32" i="25"/>
  <c r="E33" i="25"/>
  <c r="E34" i="25"/>
  <c r="E35" i="25"/>
  <c r="E36" i="25"/>
  <c r="E37" i="25"/>
  <c r="E38" i="25"/>
  <c r="E39" i="25"/>
  <c r="E40" i="25"/>
  <c r="E41" i="25"/>
  <c r="E42" i="25"/>
  <c r="E43" i="25"/>
  <c r="E44" i="25"/>
  <c r="E45" i="25"/>
  <c r="E46" i="25"/>
  <c r="E47" i="25"/>
  <c r="E48" i="25"/>
  <c r="E49" i="25"/>
  <c r="E50" i="25"/>
  <c r="E51" i="25"/>
  <c r="E52" i="25"/>
  <c r="E53" i="25"/>
  <c r="E54" i="25"/>
  <c r="E55" i="25"/>
  <c r="E56" i="25"/>
  <c r="E57" i="25"/>
  <c r="E58" i="25"/>
  <c r="E59" i="25"/>
  <c r="E60" i="25"/>
  <c r="E61" i="25"/>
  <c r="E62" i="25"/>
  <c r="E63" i="25"/>
  <c r="E64" i="25"/>
  <c r="E65" i="25"/>
  <c r="E66" i="25"/>
  <c r="E67" i="25"/>
  <c r="E68" i="25"/>
  <c r="E69" i="25"/>
  <c r="E70" i="25"/>
  <c r="E71" i="25"/>
  <c r="E72" i="25"/>
  <c r="E73" i="25"/>
  <c r="E74" i="25"/>
  <c r="E75" i="25"/>
  <c r="E76" i="25"/>
  <c r="E77" i="25"/>
  <c r="E78" i="25"/>
  <c r="E79" i="25"/>
  <c r="E80" i="25"/>
  <c r="E81" i="25"/>
  <c r="E82" i="25"/>
  <c r="E83" i="25"/>
  <c r="E84" i="25"/>
  <c r="E85" i="25"/>
  <c r="E86" i="25"/>
  <c r="E87" i="25"/>
  <c r="E88" i="25"/>
  <c r="E89" i="25"/>
  <c r="E90" i="25"/>
  <c r="E91" i="25"/>
  <c r="E92" i="25"/>
  <c r="E93" i="25"/>
  <c r="E94" i="25"/>
  <c r="E95" i="25"/>
  <c r="E96" i="25"/>
  <c r="E97" i="25"/>
  <c r="E98" i="25"/>
  <c r="E99" i="25"/>
  <c r="E100" i="25"/>
  <c r="E101" i="25"/>
  <c r="E102" i="25"/>
  <c r="E103" i="25"/>
  <c r="E104" i="25"/>
  <c r="E105" i="25"/>
  <c r="E106" i="25"/>
  <c r="E107" i="25"/>
  <c r="E108" i="25"/>
  <c r="E109" i="25"/>
  <c r="E110" i="25"/>
  <c r="E111" i="25"/>
  <c r="E112" i="25"/>
  <c r="E113" i="25"/>
  <c r="E114" i="25"/>
  <c r="E115" i="25"/>
  <c r="E116" i="25"/>
  <c r="E117" i="25"/>
  <c r="E118" i="25"/>
  <c r="E119" i="25"/>
  <c r="E120" i="25"/>
  <c r="E121" i="25"/>
  <c r="E122" i="25"/>
  <c r="E123" i="25"/>
  <c r="E124" i="25"/>
  <c r="E125" i="25"/>
  <c r="E126" i="25"/>
  <c r="E127" i="25"/>
  <c r="E128" i="25"/>
  <c r="E129" i="25"/>
  <c r="E130" i="25"/>
  <c r="E131" i="25"/>
  <c r="E132" i="25"/>
  <c r="E133" i="25"/>
  <c r="E134" i="25"/>
  <c r="E135" i="25"/>
  <c r="E136" i="25"/>
  <c r="E137" i="25"/>
  <c r="E138" i="25"/>
  <c r="E139" i="25"/>
  <c r="E140" i="25"/>
  <c r="E141" i="25"/>
  <c r="E142" i="25"/>
  <c r="E143" i="25"/>
  <c r="E144" i="25"/>
  <c r="E145" i="25"/>
  <c r="E146" i="25"/>
  <c r="E147" i="25"/>
  <c r="E148" i="25"/>
  <c r="E149" i="25"/>
  <c r="E150" i="25"/>
  <c r="E151" i="25"/>
  <c r="E152" i="25"/>
  <c r="E153" i="25"/>
  <c r="E154" i="25"/>
  <c r="E155" i="25"/>
  <c r="E156" i="25"/>
  <c r="E157" i="25"/>
  <c r="E158" i="25"/>
  <c r="E159" i="25"/>
  <c r="E160" i="25"/>
  <c r="E161" i="25"/>
  <c r="E162" i="25"/>
  <c r="E163" i="25"/>
  <c r="E164" i="25"/>
  <c r="E165" i="25"/>
  <c r="E166" i="25"/>
  <c r="E167" i="25"/>
  <c r="E168" i="25"/>
  <c r="E169" i="25"/>
  <c r="E170" i="25"/>
  <c r="E171" i="25"/>
  <c r="E172" i="25"/>
  <c r="E173" i="25"/>
  <c r="E174" i="25"/>
  <c r="E175" i="25"/>
  <c r="E176" i="25"/>
  <c r="E177" i="25"/>
  <c r="E178" i="25"/>
  <c r="E179" i="25"/>
  <c r="E180" i="25"/>
  <c r="E181" i="25"/>
  <c r="E182" i="25"/>
  <c r="E183" i="25"/>
  <c r="E184" i="25"/>
  <c r="E185" i="25"/>
  <c r="E186" i="25"/>
  <c r="E187" i="25"/>
  <c r="E188" i="25"/>
  <c r="E189" i="25"/>
  <c r="E190" i="25"/>
  <c r="E191" i="25"/>
  <c r="E192" i="25"/>
  <c r="E193" i="25"/>
  <c r="E194" i="25"/>
  <c r="E195" i="25"/>
  <c r="E196" i="25"/>
  <c r="E197" i="25"/>
  <c r="E198" i="25"/>
  <c r="E199" i="25"/>
  <c r="E200" i="25"/>
  <c r="E201" i="25"/>
  <c r="E202" i="25"/>
  <c r="E3" i="25"/>
  <c r="D5" i="25"/>
  <c r="D6" i="25" s="1"/>
  <c r="D7" i="25" s="1"/>
  <c r="D8" i="25" s="1"/>
  <c r="D9" i="25" s="1"/>
  <c r="D10" i="25" s="1"/>
  <c r="D11" i="25" s="1"/>
  <c r="D12" i="25" s="1"/>
  <c r="D13" i="25" s="1"/>
  <c r="D14" i="25" s="1"/>
  <c r="D15" i="25" s="1"/>
  <c r="D16" i="25" s="1"/>
  <c r="D17" i="25" s="1"/>
  <c r="D18" i="25" s="1"/>
  <c r="D19" i="25" s="1"/>
  <c r="D20" i="25" s="1"/>
  <c r="D21" i="25" s="1"/>
  <c r="D22" i="25" s="1"/>
  <c r="D23" i="25" s="1"/>
  <c r="D24" i="25" s="1"/>
  <c r="D25" i="25" s="1"/>
  <c r="D26" i="25" s="1"/>
  <c r="D27" i="25" s="1"/>
  <c r="D28" i="25" s="1"/>
  <c r="D29" i="25" s="1"/>
  <c r="D30" i="25" s="1"/>
  <c r="D31" i="25" s="1"/>
  <c r="D32" i="25" s="1"/>
  <c r="D33" i="25" s="1"/>
  <c r="D34" i="25" s="1"/>
  <c r="D35" i="25" s="1"/>
  <c r="D36" i="25" s="1"/>
  <c r="D37" i="25" s="1"/>
  <c r="D38" i="25" s="1"/>
  <c r="D39" i="25" s="1"/>
  <c r="D40" i="25" s="1"/>
  <c r="D41" i="25" s="1"/>
  <c r="D42" i="25" s="1"/>
  <c r="D43" i="25" s="1"/>
  <c r="D44" i="25" s="1"/>
  <c r="D45" i="25" s="1"/>
  <c r="D46" i="25" s="1"/>
  <c r="D47" i="25" s="1"/>
  <c r="D48" i="25" s="1"/>
  <c r="D49" i="25" s="1"/>
  <c r="D50" i="25" s="1"/>
  <c r="D51" i="25" s="1"/>
  <c r="D52" i="25" s="1"/>
  <c r="D53" i="25" s="1"/>
  <c r="D54" i="25" s="1"/>
  <c r="D55" i="25" s="1"/>
  <c r="D56" i="25" s="1"/>
  <c r="D57" i="25" s="1"/>
  <c r="D58" i="25" s="1"/>
  <c r="D59" i="25" s="1"/>
  <c r="D60" i="25" s="1"/>
  <c r="D61" i="25" s="1"/>
  <c r="D62" i="25" s="1"/>
  <c r="D63" i="25" s="1"/>
  <c r="D64" i="25" s="1"/>
  <c r="D65" i="25" s="1"/>
  <c r="D66" i="25" s="1"/>
  <c r="D67" i="25" s="1"/>
  <c r="D68" i="25" s="1"/>
  <c r="D69" i="25" s="1"/>
  <c r="D70" i="25" s="1"/>
  <c r="D71" i="25" s="1"/>
  <c r="D72" i="25" s="1"/>
  <c r="D73" i="25" s="1"/>
  <c r="D74" i="25" s="1"/>
  <c r="D75" i="25" s="1"/>
  <c r="D76" i="25" s="1"/>
  <c r="D77" i="25" s="1"/>
  <c r="D78" i="25" s="1"/>
  <c r="D79" i="25" s="1"/>
  <c r="D80" i="25" s="1"/>
  <c r="D81" i="25" s="1"/>
  <c r="D82" i="25" s="1"/>
  <c r="D83" i="25" s="1"/>
  <c r="D84" i="25" s="1"/>
  <c r="D85" i="25" s="1"/>
  <c r="D86" i="25" s="1"/>
  <c r="D87" i="25" s="1"/>
  <c r="D88" i="25" s="1"/>
  <c r="D89" i="25" s="1"/>
  <c r="D90" i="25" s="1"/>
  <c r="D91" i="25" s="1"/>
  <c r="D92" i="25" s="1"/>
  <c r="D93" i="25" s="1"/>
  <c r="D94" i="25" s="1"/>
  <c r="D95" i="25" s="1"/>
  <c r="D96" i="25" s="1"/>
  <c r="D97" i="25" s="1"/>
  <c r="D98" i="25" s="1"/>
  <c r="D99" i="25" s="1"/>
  <c r="D100" i="25" s="1"/>
  <c r="D101" i="25" s="1"/>
  <c r="D102" i="25" s="1"/>
  <c r="D103" i="25" s="1"/>
  <c r="D104" i="25" s="1"/>
  <c r="D105" i="25" s="1"/>
  <c r="D106" i="25" s="1"/>
  <c r="D107" i="25" s="1"/>
  <c r="D108" i="25" s="1"/>
  <c r="D109" i="25" s="1"/>
  <c r="D110" i="25" s="1"/>
  <c r="D111" i="25" s="1"/>
  <c r="D112" i="25" s="1"/>
  <c r="D113" i="25" s="1"/>
  <c r="D114" i="25" s="1"/>
  <c r="D115" i="25" s="1"/>
  <c r="D116" i="25" s="1"/>
  <c r="D117" i="25" s="1"/>
  <c r="D118" i="25" s="1"/>
  <c r="D119" i="25" s="1"/>
  <c r="D120" i="25" s="1"/>
  <c r="D121" i="25" s="1"/>
  <c r="D122" i="25" s="1"/>
  <c r="D123" i="25" s="1"/>
  <c r="D124" i="25" s="1"/>
  <c r="D125" i="25" s="1"/>
  <c r="D126" i="25" s="1"/>
  <c r="D127" i="25" s="1"/>
  <c r="D128" i="25" s="1"/>
  <c r="D129" i="25" s="1"/>
  <c r="D130" i="25" s="1"/>
  <c r="D131" i="25" s="1"/>
  <c r="D132" i="25" s="1"/>
  <c r="D133" i="25" s="1"/>
  <c r="D134" i="25" s="1"/>
  <c r="D135" i="25" s="1"/>
  <c r="D136" i="25" s="1"/>
  <c r="D137" i="25" s="1"/>
  <c r="D138" i="25" s="1"/>
  <c r="D139" i="25" s="1"/>
  <c r="D140" i="25" s="1"/>
  <c r="D141" i="25" s="1"/>
  <c r="D142" i="25" s="1"/>
  <c r="D143" i="25" s="1"/>
  <c r="D144" i="25" s="1"/>
  <c r="D145" i="25" s="1"/>
  <c r="D146" i="25" s="1"/>
  <c r="D147" i="25" s="1"/>
  <c r="D148" i="25" s="1"/>
  <c r="D149" i="25" s="1"/>
  <c r="D150" i="25" s="1"/>
  <c r="D151" i="25" s="1"/>
  <c r="D152" i="25" s="1"/>
  <c r="D153" i="25" s="1"/>
  <c r="D154" i="25" s="1"/>
  <c r="D155" i="25" s="1"/>
  <c r="D156" i="25" s="1"/>
  <c r="D157" i="25" s="1"/>
  <c r="D158" i="25" s="1"/>
  <c r="D159" i="25" s="1"/>
  <c r="D160" i="25" s="1"/>
  <c r="D161" i="25" s="1"/>
  <c r="D162" i="25" s="1"/>
  <c r="D163" i="25" s="1"/>
  <c r="D164" i="25" s="1"/>
  <c r="D165" i="25" s="1"/>
  <c r="D166" i="25" s="1"/>
  <c r="D167" i="25" s="1"/>
  <c r="D168" i="25" s="1"/>
  <c r="D169" i="25" s="1"/>
  <c r="D170" i="25" s="1"/>
  <c r="D171" i="25" s="1"/>
  <c r="D172" i="25" s="1"/>
  <c r="D173" i="25" s="1"/>
  <c r="D174" i="25" s="1"/>
  <c r="D175" i="25" s="1"/>
  <c r="D176" i="25" s="1"/>
  <c r="D177" i="25" s="1"/>
  <c r="D178" i="25" s="1"/>
  <c r="D179" i="25" s="1"/>
  <c r="D180" i="25" s="1"/>
  <c r="D181" i="25" s="1"/>
  <c r="D182" i="25" s="1"/>
  <c r="D183" i="25" s="1"/>
  <c r="D184" i="25" s="1"/>
  <c r="D185" i="25" s="1"/>
  <c r="D186" i="25" s="1"/>
  <c r="D187" i="25" s="1"/>
  <c r="D188" i="25" s="1"/>
  <c r="D189" i="25" s="1"/>
  <c r="D190" i="25" s="1"/>
  <c r="D191" i="25" s="1"/>
  <c r="D192" i="25" s="1"/>
  <c r="D193" i="25" s="1"/>
  <c r="D194" i="25" s="1"/>
  <c r="D195" i="25" s="1"/>
  <c r="D196" i="25" s="1"/>
  <c r="D197" i="25" s="1"/>
  <c r="D198" i="25" s="1"/>
  <c r="D199" i="25" s="1"/>
  <c r="D200" i="25" s="1"/>
  <c r="D201" i="25" s="1"/>
  <c r="D202" i="25" s="1"/>
  <c r="D4" i="25"/>
  <c r="D3" i="25"/>
  <c r="C33" i="25"/>
  <c r="C73" i="25"/>
  <c r="C4" i="25"/>
  <c r="C68" i="25"/>
  <c r="C14" i="25"/>
  <c r="C17" i="25"/>
  <c r="C59" i="25"/>
  <c r="C36" i="25"/>
  <c r="C3" i="25"/>
  <c r="C32" i="25"/>
  <c r="C10" i="25"/>
  <c r="C63" i="25"/>
  <c r="C74" i="25"/>
  <c r="C62" i="25"/>
  <c r="C35" i="25"/>
  <c r="C72" i="25"/>
  <c r="C71" i="25"/>
  <c r="C65" i="25"/>
  <c r="C75" i="25"/>
  <c r="C31" i="25"/>
  <c r="C67" i="25"/>
  <c r="C38" i="25"/>
  <c r="C44" i="25"/>
  <c r="C19" i="25"/>
  <c r="C70" i="25"/>
  <c r="C111" i="25"/>
  <c r="C57" i="25"/>
  <c r="C41" i="25"/>
  <c r="C69" i="25"/>
  <c r="C20" i="25"/>
  <c r="C40" i="25"/>
  <c r="C21" i="25"/>
  <c r="C22" i="25"/>
  <c r="C43" i="25"/>
  <c r="C66" i="25"/>
  <c r="C5" i="25"/>
  <c r="C60" i="25"/>
  <c r="C28" i="25"/>
  <c r="C54" i="25"/>
  <c r="C58" i="25"/>
  <c r="C55" i="25"/>
  <c r="C53" i="25"/>
  <c r="C49" i="25"/>
  <c r="C26" i="25"/>
  <c r="C42" i="25"/>
  <c r="C37" i="25"/>
  <c r="C27" i="25"/>
  <c r="C30" i="25"/>
  <c r="C51" i="25"/>
  <c r="C25" i="25"/>
  <c r="C7" i="25"/>
  <c r="C9" i="25"/>
  <c r="C52" i="25"/>
  <c r="C45" i="25"/>
  <c r="C47" i="25"/>
  <c r="C29" i="25"/>
  <c r="C46" i="25"/>
  <c r="C39" i="25"/>
  <c r="C23" i="25"/>
  <c r="C48" i="25"/>
  <c r="C34" i="25"/>
  <c r="C56" i="25"/>
  <c r="C6" i="25"/>
  <c r="C50" i="25"/>
  <c r="C11" i="25"/>
  <c r="C24" i="25"/>
  <c r="C8" i="25"/>
  <c r="C12" i="25"/>
  <c r="C13" i="25"/>
  <c r="C16" i="25"/>
  <c r="C61" i="25"/>
  <c r="C15" i="25"/>
  <c r="C18" i="25"/>
  <c r="C112" i="25"/>
  <c r="C83" i="25"/>
  <c r="C115" i="25"/>
  <c r="C106" i="25"/>
  <c r="C99" i="25"/>
  <c r="C110" i="25"/>
  <c r="C116" i="25"/>
  <c r="C202" i="25"/>
  <c r="C117" i="25"/>
  <c r="C195" i="25"/>
  <c r="C101" i="25"/>
  <c r="C113" i="25"/>
  <c r="C114" i="25"/>
  <c r="C118" i="25"/>
  <c r="C121" i="25"/>
  <c r="C133" i="25"/>
  <c r="C145" i="25"/>
  <c r="C157" i="25"/>
  <c r="C168" i="25"/>
  <c r="C180" i="25"/>
  <c r="C192" i="25"/>
  <c r="C193" i="25"/>
  <c r="C194" i="25"/>
  <c r="C196" i="25"/>
  <c r="C197" i="25"/>
  <c r="C198" i="25"/>
  <c r="C199" i="25"/>
  <c r="C200" i="25"/>
  <c r="C201" i="25"/>
  <c r="C76" i="25"/>
  <c r="C77" i="25"/>
  <c r="C78" i="25"/>
  <c r="C79" i="25"/>
  <c r="C80" i="25"/>
  <c r="C81" i="25"/>
  <c r="C82" i="25"/>
  <c r="C84" i="25"/>
  <c r="C85" i="25"/>
  <c r="C86" i="25"/>
  <c r="C87" i="25"/>
  <c r="C88" i="25"/>
  <c r="C89" i="25"/>
  <c r="C90" i="25"/>
  <c r="C91" i="25"/>
  <c r="C92" i="25"/>
  <c r="C93" i="25"/>
  <c r="C94" i="25"/>
  <c r="C95" i="25"/>
  <c r="C96" i="25"/>
  <c r="C97" i="25"/>
  <c r="C98" i="25"/>
  <c r="C100" i="25"/>
  <c r="C102" i="25"/>
  <c r="C103" i="25"/>
  <c r="C104" i="25"/>
  <c r="C105" i="25"/>
  <c r="C107" i="25"/>
  <c r="C108" i="25"/>
  <c r="C109" i="25"/>
  <c r="C119" i="25"/>
  <c r="C120" i="25"/>
  <c r="C122" i="25"/>
  <c r="C123" i="25"/>
  <c r="C124" i="25"/>
  <c r="C125" i="25"/>
  <c r="C126" i="25"/>
  <c r="C127" i="25"/>
  <c r="C128" i="25"/>
  <c r="C129" i="25"/>
  <c r="C130" i="25"/>
  <c r="C131" i="25"/>
  <c r="C132" i="25"/>
  <c r="C134" i="25"/>
  <c r="C135" i="25"/>
  <c r="C136" i="25"/>
  <c r="C137" i="25"/>
  <c r="C138" i="25"/>
  <c r="C139" i="25"/>
  <c r="C140" i="25"/>
  <c r="C141" i="25"/>
  <c r="C142" i="25"/>
  <c r="C143" i="25"/>
  <c r="C144" i="25"/>
  <c r="C146" i="25"/>
  <c r="C147" i="25"/>
  <c r="C148" i="25"/>
  <c r="C149" i="25"/>
  <c r="C150" i="25"/>
  <c r="C151" i="25"/>
  <c r="C152" i="25"/>
  <c r="C153" i="25"/>
  <c r="C154" i="25"/>
  <c r="C155" i="25"/>
  <c r="C156" i="25"/>
  <c r="C158" i="25"/>
  <c r="C159" i="25"/>
  <c r="C160" i="25"/>
  <c r="C161" i="25"/>
  <c r="C162" i="25"/>
  <c r="C163" i="25"/>
  <c r="C164" i="25"/>
  <c r="C165" i="25"/>
  <c r="C166" i="25"/>
  <c r="C167" i="25"/>
  <c r="C169" i="25"/>
  <c r="C170" i="25"/>
  <c r="C171" i="25"/>
  <c r="C172" i="25"/>
  <c r="C173" i="25"/>
  <c r="C174" i="25"/>
  <c r="C175" i="25"/>
  <c r="C176" i="25"/>
  <c r="C177" i="25"/>
  <c r="C178" i="25"/>
  <c r="C179" i="25"/>
  <c r="C181" i="25"/>
  <c r="C182" i="25"/>
  <c r="C183" i="25"/>
  <c r="C184" i="25"/>
  <c r="C185" i="25"/>
  <c r="C186" i="25"/>
  <c r="C187" i="25"/>
  <c r="C188" i="25"/>
  <c r="C189" i="25"/>
  <c r="C190" i="25"/>
  <c r="C191" i="25"/>
  <c r="C64" i="25"/>
  <c r="C3" i="55"/>
  <c r="C4" i="55"/>
  <c r="C5" i="55"/>
  <c r="C6" i="55"/>
  <c r="C7" i="55"/>
  <c r="C8" i="55"/>
  <c r="C9" i="55"/>
  <c r="C10" i="55"/>
  <c r="C11" i="55"/>
  <c r="C12" i="55"/>
  <c r="C13" i="55"/>
  <c r="C14" i="55"/>
  <c r="C15" i="55"/>
  <c r="C16" i="55"/>
  <c r="C17" i="55"/>
  <c r="C18" i="55"/>
  <c r="C19" i="55"/>
  <c r="C20" i="55"/>
  <c r="C21" i="55"/>
  <c r="C22" i="55"/>
  <c r="C23" i="55"/>
  <c r="C24" i="55"/>
  <c r="C25" i="55"/>
  <c r="C26" i="55"/>
  <c r="C27" i="55"/>
  <c r="C28" i="55"/>
  <c r="C29" i="55"/>
  <c r="C30" i="55"/>
  <c r="C31" i="55"/>
  <c r="C32" i="55"/>
  <c r="C33" i="55"/>
  <c r="C34" i="55"/>
  <c r="C35" i="55"/>
  <c r="C36" i="55"/>
  <c r="C37" i="55"/>
  <c r="C38" i="55"/>
  <c r="C39" i="55"/>
  <c r="C40" i="55"/>
  <c r="C41" i="55"/>
  <c r="C42" i="55"/>
  <c r="C43" i="55"/>
  <c r="C44" i="55"/>
  <c r="C45" i="55"/>
  <c r="C46" i="55"/>
  <c r="C47" i="55"/>
  <c r="C48" i="55"/>
  <c r="C49" i="55"/>
  <c r="C50" i="55"/>
  <c r="C51" i="55"/>
  <c r="C52" i="55"/>
  <c r="C53" i="55"/>
  <c r="C54" i="55"/>
  <c r="C55" i="55"/>
  <c r="C56" i="55"/>
  <c r="C57" i="55"/>
  <c r="C58" i="55"/>
  <c r="C59" i="55"/>
  <c r="C60" i="55"/>
  <c r="C61" i="55"/>
  <c r="C62" i="55"/>
  <c r="C63" i="55"/>
  <c r="C64" i="55"/>
  <c r="C65" i="55"/>
  <c r="C66" i="55"/>
  <c r="C67" i="55"/>
  <c r="C68" i="55"/>
  <c r="C69" i="55"/>
  <c r="C70" i="55"/>
  <c r="C71" i="55"/>
  <c r="C72" i="55"/>
  <c r="C73" i="55"/>
  <c r="C74" i="55"/>
  <c r="C75" i="55"/>
  <c r="C76" i="55"/>
  <c r="C77" i="55"/>
  <c r="C78" i="55"/>
  <c r="C79" i="55"/>
  <c r="C80" i="55"/>
  <c r="C81" i="55"/>
  <c r="C82" i="55"/>
  <c r="C83" i="55"/>
  <c r="C84" i="55"/>
  <c r="C85" i="55"/>
  <c r="C86" i="55"/>
  <c r="C87" i="55"/>
  <c r="C88" i="55"/>
  <c r="C89" i="55"/>
  <c r="C90" i="55"/>
  <c r="C91" i="55"/>
  <c r="C92" i="55"/>
  <c r="C93" i="55"/>
  <c r="C94" i="55"/>
  <c r="C95" i="55"/>
  <c r="C96" i="55"/>
  <c r="C97" i="55"/>
  <c r="C98" i="55"/>
  <c r="C99" i="55"/>
  <c r="C100" i="55"/>
  <c r="C101" i="55"/>
  <c r="C102" i="55"/>
  <c r="C103" i="55"/>
  <c r="C104" i="55"/>
  <c r="C105" i="55"/>
  <c r="C106" i="55"/>
  <c r="C107" i="55"/>
  <c r="C108" i="55"/>
  <c r="C109" i="55"/>
  <c r="C110" i="55"/>
  <c r="C111" i="55"/>
  <c r="C112" i="55"/>
  <c r="C113" i="55"/>
  <c r="C114" i="55"/>
  <c r="C115" i="55"/>
  <c r="C116" i="55"/>
  <c r="C117" i="55"/>
  <c r="C118" i="55"/>
  <c r="C119" i="55"/>
  <c r="C120" i="55"/>
  <c r="C121" i="55"/>
  <c r="C122" i="55"/>
  <c r="C123" i="55"/>
  <c r="C124" i="55"/>
  <c r="C125" i="55"/>
  <c r="C126" i="55"/>
  <c r="C127" i="55"/>
  <c r="C128" i="55"/>
  <c r="C129" i="55"/>
  <c r="C130" i="55"/>
  <c r="C131" i="55"/>
  <c r="C132" i="55"/>
  <c r="C133" i="55"/>
  <c r="C134" i="55"/>
  <c r="C135" i="55"/>
  <c r="C136" i="55"/>
  <c r="C137" i="55"/>
  <c r="C138" i="55"/>
  <c r="C139" i="55"/>
  <c r="C140" i="55"/>
  <c r="C141" i="55"/>
  <c r="C142" i="55"/>
  <c r="C143" i="55"/>
  <c r="C144" i="55"/>
  <c r="C145" i="55"/>
  <c r="C146" i="55"/>
  <c r="C147" i="55"/>
  <c r="C148" i="55"/>
  <c r="C149" i="55"/>
  <c r="C150" i="55"/>
  <c r="C151" i="55"/>
  <c r="C152" i="55"/>
  <c r="C153" i="55"/>
  <c r="C154" i="55"/>
  <c r="C155" i="55"/>
  <c r="C156" i="55"/>
  <c r="C157" i="55"/>
  <c r="C158" i="55"/>
  <c r="C159" i="55"/>
  <c r="C160" i="55"/>
  <c r="C161" i="55"/>
  <c r="C162" i="55"/>
  <c r="C163" i="55"/>
  <c r="C164" i="55"/>
  <c r="C165" i="55"/>
  <c r="C166" i="55"/>
  <c r="C167" i="55"/>
  <c r="C168" i="55"/>
  <c r="C169" i="55"/>
  <c r="C170" i="55"/>
  <c r="C171" i="55"/>
  <c r="C172" i="55"/>
  <c r="C173" i="55"/>
  <c r="C174" i="55"/>
  <c r="C175" i="55"/>
  <c r="C176" i="55"/>
  <c r="C177" i="55"/>
  <c r="C178" i="55"/>
  <c r="C179" i="55"/>
  <c r="C180" i="55"/>
  <c r="C181" i="55"/>
  <c r="C182" i="55"/>
  <c r="C183" i="55"/>
  <c r="C184" i="55"/>
  <c r="C185" i="55"/>
  <c r="C186" i="55"/>
  <c r="C187" i="55"/>
  <c r="C188" i="55"/>
  <c r="C189" i="55"/>
  <c r="C190" i="55"/>
  <c r="C191" i="55"/>
  <c r="C192" i="55"/>
  <c r="C193" i="55"/>
  <c r="C194" i="55"/>
  <c r="C195" i="55"/>
  <c r="C196" i="55"/>
  <c r="C197" i="55"/>
  <c r="C198" i="55"/>
  <c r="C199" i="55"/>
  <c r="C200" i="55"/>
  <c r="C201" i="55"/>
  <c r="C2" i="55"/>
  <c r="L55" i="65"/>
  <c r="P55" i="65"/>
  <c r="T55" i="65"/>
  <c r="X55" i="65"/>
  <c r="AB55" i="65"/>
  <c r="AF55" i="65"/>
  <c r="H55" i="65"/>
  <c r="B30" i="63"/>
  <c r="D29" i="63"/>
  <c r="E29" i="63" s="1"/>
  <c r="F29" i="63" s="1"/>
  <c r="G29" i="63" s="1"/>
  <c r="H29" i="63" s="1"/>
  <c r="I29" i="63" s="1"/>
  <c r="J29" i="63" s="1"/>
  <c r="K29" i="63" s="1"/>
  <c r="L29" i="63" s="1"/>
  <c r="M29" i="63" s="1"/>
  <c r="N29" i="63" s="1"/>
  <c r="O29" i="63" s="1"/>
  <c r="P29" i="63" s="1"/>
  <c r="Q29" i="63" s="1"/>
  <c r="R29" i="63" s="1"/>
  <c r="S29" i="63" s="1"/>
  <c r="T29" i="63" s="1"/>
  <c r="U29" i="63" s="1"/>
  <c r="V29" i="63" s="1"/>
  <c r="W29" i="63" s="1"/>
  <c r="X29" i="63" s="1"/>
  <c r="Y29" i="63" s="1"/>
  <c r="Z29" i="63" s="1"/>
  <c r="AA29" i="63" s="1"/>
  <c r="AB29" i="63" s="1"/>
  <c r="AC29" i="63" s="1"/>
  <c r="AD29" i="63" s="1"/>
  <c r="AE29" i="63" s="1"/>
  <c r="AF29" i="63" s="1"/>
  <c r="AG29" i="63" s="1"/>
  <c r="AH29" i="63" s="1"/>
  <c r="AI29" i="63" s="1"/>
  <c r="AJ29" i="63" s="1"/>
  <c r="AK29" i="63" s="1"/>
  <c r="AL29" i="63" s="1"/>
  <c r="AM29" i="63" s="1"/>
  <c r="AN29" i="63" s="1"/>
  <c r="AO29" i="63" s="1"/>
  <c r="AP29" i="63" s="1"/>
  <c r="AQ29" i="63" s="1"/>
  <c r="AR29" i="63" s="1"/>
  <c r="AS29" i="63" s="1"/>
  <c r="AT29" i="63" s="1"/>
  <c r="AU29" i="63" s="1"/>
  <c r="AV29" i="63" s="1"/>
  <c r="AW29" i="63" s="1"/>
  <c r="AX29" i="63" s="1"/>
  <c r="AY29" i="63" s="1"/>
  <c r="AZ29" i="63" s="1"/>
  <c r="BA29" i="63" s="1"/>
  <c r="BB29" i="63" s="1"/>
  <c r="BC29" i="63" s="1"/>
  <c r="BD29" i="63" s="1"/>
  <c r="BE29" i="63" s="1"/>
  <c r="BF29" i="63" s="1"/>
  <c r="BG29" i="63" s="1"/>
  <c r="BH29" i="63" s="1"/>
  <c r="BI29" i="63" s="1"/>
  <c r="BJ29" i="63" s="1"/>
  <c r="BK29" i="63" s="1"/>
  <c r="BL29" i="63" s="1"/>
  <c r="BM29" i="63" s="1"/>
  <c r="BN29" i="63" s="1"/>
  <c r="BO29" i="63" s="1"/>
  <c r="BP29" i="63" s="1"/>
  <c r="BQ29" i="63" s="1"/>
  <c r="BR29" i="63" s="1"/>
  <c r="BS29" i="63" s="1"/>
  <c r="BT29" i="63" s="1"/>
  <c r="BU29" i="63" s="1"/>
  <c r="BV29" i="63" s="1"/>
  <c r="BW29" i="63" s="1"/>
  <c r="BX29" i="63" s="1"/>
  <c r="BY29" i="63" s="1"/>
  <c r="BZ29" i="63" s="1"/>
  <c r="CA29" i="63" s="1"/>
  <c r="CB29" i="63" s="1"/>
  <c r="CC29" i="63" s="1"/>
  <c r="CD29" i="63" s="1"/>
  <c r="CE29" i="63" s="1"/>
  <c r="CF29" i="63" s="1"/>
  <c r="CG29" i="63" s="1"/>
  <c r="CH29" i="63" s="1"/>
  <c r="C29" i="63"/>
  <c r="B29" i="63"/>
  <c r="D28" i="63"/>
  <c r="E28" i="63"/>
  <c r="F28" i="63"/>
  <c r="G28" i="63"/>
  <c r="H28" i="63"/>
  <c r="I28" i="63"/>
  <c r="J28" i="63"/>
  <c r="K28" i="63"/>
  <c r="L28" i="63"/>
  <c r="M28" i="63"/>
  <c r="N28" i="63"/>
  <c r="O28" i="63"/>
  <c r="P28" i="63"/>
  <c r="Q28" i="63"/>
  <c r="R28" i="63"/>
  <c r="S28" i="63"/>
  <c r="T28" i="63"/>
  <c r="U28" i="63"/>
  <c r="V28" i="63"/>
  <c r="W28" i="63"/>
  <c r="X28" i="63"/>
  <c r="Y28" i="63"/>
  <c r="Z28" i="63"/>
  <c r="AA28" i="63"/>
  <c r="AB28" i="63"/>
  <c r="AC28" i="63"/>
  <c r="AD28" i="63"/>
  <c r="AE28" i="63"/>
  <c r="AF28" i="63"/>
  <c r="AG28" i="63"/>
  <c r="AH28" i="63"/>
  <c r="AI28" i="63"/>
  <c r="AJ28" i="63"/>
  <c r="AK28" i="63"/>
  <c r="AL28" i="63"/>
  <c r="AM28" i="63"/>
  <c r="AN28" i="63"/>
  <c r="AO28" i="63"/>
  <c r="AP28" i="63"/>
  <c r="AQ28" i="63"/>
  <c r="AR28" i="63"/>
  <c r="AS28" i="63"/>
  <c r="AT28" i="63"/>
  <c r="AU28" i="63"/>
  <c r="AV28" i="63"/>
  <c r="AW28" i="63"/>
  <c r="AX28" i="63"/>
  <c r="AY28" i="63"/>
  <c r="AZ28" i="63"/>
  <c r="BA28" i="63"/>
  <c r="BB28" i="63"/>
  <c r="BC28" i="63"/>
  <c r="BD28" i="63"/>
  <c r="BE28" i="63"/>
  <c r="BF28" i="63"/>
  <c r="BG28" i="63"/>
  <c r="BH28" i="63"/>
  <c r="BI28" i="63"/>
  <c r="BJ28" i="63"/>
  <c r="BK28" i="63"/>
  <c r="BL28" i="63"/>
  <c r="BM28" i="63"/>
  <c r="BN28" i="63"/>
  <c r="BO28" i="63"/>
  <c r="BP28" i="63"/>
  <c r="BQ28" i="63"/>
  <c r="BR28" i="63"/>
  <c r="BS28" i="63"/>
  <c r="BT28" i="63"/>
  <c r="BU28" i="63"/>
  <c r="BV28" i="63"/>
  <c r="BW28" i="63"/>
  <c r="BX28" i="63"/>
  <c r="BY28" i="63"/>
  <c r="BZ28" i="63"/>
  <c r="CA28" i="63"/>
  <c r="CB28" i="63"/>
  <c r="CC28" i="63"/>
  <c r="CD28" i="63"/>
  <c r="CE28" i="63"/>
  <c r="CF28" i="63"/>
  <c r="CG28" i="63"/>
  <c r="CH28" i="63"/>
  <c r="C28" i="63"/>
  <c r="B28" i="63"/>
  <c r="B20" i="63"/>
  <c r="D19" i="63"/>
  <c r="E19" i="63" s="1"/>
  <c r="F19" i="63" s="1"/>
  <c r="G19" i="63" s="1"/>
  <c r="H19" i="63" s="1"/>
  <c r="I19" i="63" s="1"/>
  <c r="J19" i="63" s="1"/>
  <c r="K19" i="63" s="1"/>
  <c r="L19" i="63" s="1"/>
  <c r="M19" i="63" s="1"/>
  <c r="N19" i="63" s="1"/>
  <c r="O19" i="63" s="1"/>
  <c r="P19" i="63" s="1"/>
  <c r="Q19" i="63" s="1"/>
  <c r="R19" i="63" s="1"/>
  <c r="S19" i="63" s="1"/>
  <c r="T19" i="63" s="1"/>
  <c r="U19" i="63" s="1"/>
  <c r="V19" i="63" s="1"/>
  <c r="W19" i="63" s="1"/>
  <c r="X19" i="63" s="1"/>
  <c r="Y19" i="63" s="1"/>
  <c r="Z19" i="63" s="1"/>
  <c r="AA19" i="63" s="1"/>
  <c r="AB19" i="63" s="1"/>
  <c r="AC19" i="63" s="1"/>
  <c r="AD19" i="63" s="1"/>
  <c r="AE19" i="63" s="1"/>
  <c r="AF19" i="63" s="1"/>
  <c r="AG19" i="63" s="1"/>
  <c r="AH19" i="63" s="1"/>
  <c r="AI19" i="63" s="1"/>
  <c r="AJ19" i="63" s="1"/>
  <c r="AK19" i="63" s="1"/>
  <c r="AL19" i="63" s="1"/>
  <c r="AM19" i="63" s="1"/>
  <c r="AN19" i="63" s="1"/>
  <c r="AO19" i="63" s="1"/>
  <c r="AP19" i="63" s="1"/>
  <c r="AQ19" i="63" s="1"/>
  <c r="AR19" i="63" s="1"/>
  <c r="AS19" i="63" s="1"/>
  <c r="AT19" i="63" s="1"/>
  <c r="AU19" i="63" s="1"/>
  <c r="AV19" i="63" s="1"/>
  <c r="AW19" i="63" s="1"/>
  <c r="AX19" i="63" s="1"/>
  <c r="AY19" i="63" s="1"/>
  <c r="AZ19" i="63" s="1"/>
  <c r="BA19" i="63" s="1"/>
  <c r="BB19" i="63" s="1"/>
  <c r="BC19" i="63" s="1"/>
  <c r="BD19" i="63" s="1"/>
  <c r="BE19" i="63" s="1"/>
  <c r="BF19" i="63" s="1"/>
  <c r="BG19" i="63" s="1"/>
  <c r="BH19" i="63" s="1"/>
  <c r="BI19" i="63" s="1"/>
  <c r="BJ19" i="63" s="1"/>
  <c r="BK19" i="63" s="1"/>
  <c r="BL19" i="63" s="1"/>
  <c r="BM19" i="63" s="1"/>
  <c r="BN19" i="63" s="1"/>
  <c r="BO19" i="63" s="1"/>
  <c r="BP19" i="63" s="1"/>
  <c r="BQ19" i="63" s="1"/>
  <c r="BR19" i="63" s="1"/>
  <c r="BS19" i="63" s="1"/>
  <c r="BT19" i="63" s="1"/>
  <c r="BU19" i="63" s="1"/>
  <c r="BV19" i="63" s="1"/>
  <c r="BW19" i="63" s="1"/>
  <c r="BX19" i="63" s="1"/>
  <c r="BY19" i="63" s="1"/>
  <c r="BZ19" i="63" s="1"/>
  <c r="CA19" i="63" s="1"/>
  <c r="CB19" i="63" s="1"/>
  <c r="CC19" i="63" s="1"/>
  <c r="CD19" i="63" s="1"/>
  <c r="CE19" i="63" s="1"/>
  <c r="CF19" i="63" s="1"/>
  <c r="CG19" i="63" s="1"/>
  <c r="CH19" i="63" s="1"/>
  <c r="C19" i="63"/>
  <c r="B19" i="63"/>
  <c r="E10" i="63"/>
  <c r="F10" i="63"/>
  <c r="G10" i="63"/>
  <c r="H10" i="63"/>
  <c r="I10" i="63"/>
  <c r="J10" i="63"/>
  <c r="K10" i="63"/>
  <c r="L10" i="63"/>
  <c r="M10" i="63"/>
  <c r="N10" i="63"/>
  <c r="O10" i="63"/>
  <c r="P10" i="63"/>
  <c r="Q10" i="63"/>
  <c r="R10" i="63"/>
  <c r="S10" i="63"/>
  <c r="T10" i="63"/>
  <c r="U10" i="63"/>
  <c r="V10" i="63"/>
  <c r="W10" i="63"/>
  <c r="X10" i="63"/>
  <c r="Y10" i="63"/>
  <c r="Z10" i="63"/>
  <c r="AA10" i="63"/>
  <c r="AB10" i="63"/>
  <c r="AC10" i="63"/>
  <c r="AD10" i="63"/>
  <c r="AE10" i="63"/>
  <c r="AF10" i="63"/>
  <c r="AG10" i="63"/>
  <c r="AH10" i="63"/>
  <c r="AI10" i="63"/>
  <c r="AJ10" i="63"/>
  <c r="AK10" i="63"/>
  <c r="AL10" i="63"/>
  <c r="AM10" i="63"/>
  <c r="AN10" i="63"/>
  <c r="AO10" i="63"/>
  <c r="AP10" i="63"/>
  <c r="AQ10" i="63"/>
  <c r="AR10" i="63"/>
  <c r="AS10" i="63"/>
  <c r="AT10" i="63"/>
  <c r="AU10" i="63"/>
  <c r="AV10" i="63"/>
  <c r="AW10" i="63"/>
  <c r="AX10" i="63"/>
  <c r="AY10" i="63"/>
  <c r="AZ10" i="63"/>
  <c r="BA10" i="63"/>
  <c r="BB10" i="63"/>
  <c r="BC10" i="63"/>
  <c r="BD10" i="63"/>
  <c r="BE10" i="63"/>
  <c r="BF10" i="63"/>
  <c r="BG10" i="63"/>
  <c r="BH10" i="63"/>
  <c r="BI10" i="63"/>
  <c r="BJ10" i="63"/>
  <c r="BK10" i="63"/>
  <c r="BL10" i="63"/>
  <c r="BM10" i="63"/>
  <c r="BN10" i="63"/>
  <c r="BO10" i="63"/>
  <c r="BP10" i="63"/>
  <c r="BQ10" i="63"/>
  <c r="BR10" i="63"/>
  <c r="BS10" i="63"/>
  <c r="BT10" i="63"/>
  <c r="BU10" i="63"/>
  <c r="BV10" i="63"/>
  <c r="BW10" i="63"/>
  <c r="BX10" i="63"/>
  <c r="BY10" i="63"/>
  <c r="BZ10" i="63"/>
  <c r="CA10" i="63"/>
  <c r="CB10" i="63"/>
  <c r="CC10" i="63"/>
  <c r="CD10" i="63"/>
  <c r="CE10" i="63"/>
  <c r="CF10" i="63"/>
  <c r="CG10" i="63"/>
  <c r="CH10" i="63"/>
  <c r="C10" i="63"/>
  <c r="D10" i="63"/>
  <c r="B10" i="63"/>
  <c r="G6" i="67" l="1"/>
  <c r="B3" i="70"/>
  <c r="F4" i="69"/>
  <c r="C2" i="70" s="1"/>
  <c r="F6" i="69"/>
  <c r="C4" i="70" s="1"/>
  <c r="B2" i="70"/>
  <c r="A2" i="67" a="1"/>
  <c r="A6" i="67" s="1"/>
  <c r="B3" i="67"/>
  <c r="G3" i="67" s="1"/>
  <c r="B4" i="67"/>
  <c r="G4" i="67" s="1"/>
  <c r="C4" i="67"/>
  <c r="B5" i="67"/>
  <c r="C5" i="67"/>
  <c r="AF56" i="65"/>
  <c r="AF57" i="65" s="1"/>
  <c r="AB56" i="65"/>
  <c r="AB57" i="65" s="1"/>
  <c r="X56" i="65"/>
  <c r="X57" i="65" s="1"/>
  <c r="T56" i="65"/>
  <c r="T57" i="65" s="1"/>
  <c r="P56" i="65"/>
  <c r="P57" i="65" s="1"/>
  <c r="L56" i="65"/>
  <c r="L57" i="65" s="1"/>
  <c r="H56" i="65"/>
  <c r="H57" i="65" s="1"/>
  <c r="C2" i="32"/>
  <c r="B2" i="32"/>
  <c r="B3" i="32"/>
  <c r="J62" i="66"/>
  <c r="I62" i="66"/>
  <c r="H62" i="66"/>
  <c r="G62" i="66"/>
  <c r="F62" i="66"/>
  <c r="E62" i="66"/>
  <c r="D62" i="66"/>
  <c r="C62" i="66"/>
  <c r="B62" i="66"/>
  <c r="J61" i="66"/>
  <c r="I61" i="66"/>
  <c r="H61" i="66"/>
  <c r="G61" i="66"/>
  <c r="F61" i="66"/>
  <c r="E61" i="66"/>
  <c r="D61" i="66"/>
  <c r="C61" i="66"/>
  <c r="B61" i="66"/>
  <c r="J60" i="66"/>
  <c r="I60" i="66"/>
  <c r="H60" i="66"/>
  <c r="G60" i="66"/>
  <c r="F60" i="66"/>
  <c r="E60" i="66"/>
  <c r="D60" i="66"/>
  <c r="C60" i="66"/>
  <c r="B60" i="66"/>
  <c r="J59" i="66"/>
  <c r="I59" i="66"/>
  <c r="H59" i="66"/>
  <c r="G59" i="66"/>
  <c r="F59" i="66"/>
  <c r="E59" i="66"/>
  <c r="D59" i="66"/>
  <c r="C59" i="66"/>
  <c r="B59" i="66"/>
  <c r="J58" i="66"/>
  <c r="I58" i="66"/>
  <c r="H58" i="66"/>
  <c r="G58" i="66"/>
  <c r="F58" i="66"/>
  <c r="E58" i="66"/>
  <c r="D58" i="66"/>
  <c r="C58" i="66"/>
  <c r="B58" i="66"/>
  <c r="J57" i="66"/>
  <c r="I57" i="66"/>
  <c r="H57" i="66"/>
  <c r="G57" i="66"/>
  <c r="F57" i="66"/>
  <c r="E57" i="66"/>
  <c r="D57" i="66"/>
  <c r="C57" i="66"/>
  <c r="B57" i="66"/>
  <c r="J56" i="66"/>
  <c r="I56" i="66"/>
  <c r="H56" i="66"/>
  <c r="G56" i="66"/>
  <c r="F56" i="66"/>
  <c r="E56" i="66"/>
  <c r="D56" i="66"/>
  <c r="C56" i="66"/>
  <c r="B56" i="66"/>
  <c r="J55" i="66"/>
  <c r="I55" i="66"/>
  <c r="H55" i="66"/>
  <c r="G55" i="66"/>
  <c r="F55" i="66"/>
  <c r="E55" i="66"/>
  <c r="D55" i="66"/>
  <c r="C55" i="66"/>
  <c r="B55" i="66"/>
  <c r="J54" i="66"/>
  <c r="I54" i="66"/>
  <c r="H54" i="66"/>
  <c r="G54" i="66"/>
  <c r="F54" i="66"/>
  <c r="E54" i="66"/>
  <c r="D54" i="66"/>
  <c r="C54" i="66"/>
  <c r="B54" i="66"/>
  <c r="J53" i="66"/>
  <c r="I53" i="66"/>
  <c r="H53" i="66"/>
  <c r="G53" i="66"/>
  <c r="F53" i="66"/>
  <c r="E53" i="66"/>
  <c r="D53" i="66"/>
  <c r="C53" i="66"/>
  <c r="B53" i="66"/>
  <c r="J52" i="66"/>
  <c r="I52" i="66"/>
  <c r="H52" i="66"/>
  <c r="G52" i="66"/>
  <c r="F52" i="66"/>
  <c r="E52" i="66"/>
  <c r="D52" i="66"/>
  <c r="C52" i="66"/>
  <c r="B52" i="66"/>
  <c r="J51" i="66"/>
  <c r="I51" i="66"/>
  <c r="H51" i="66"/>
  <c r="G51" i="66"/>
  <c r="F51" i="66"/>
  <c r="E51" i="66"/>
  <c r="D51" i="66"/>
  <c r="C51" i="66"/>
  <c r="B51" i="66"/>
  <c r="J50" i="66"/>
  <c r="I50" i="66"/>
  <c r="H50" i="66"/>
  <c r="G50" i="66"/>
  <c r="F50" i="66"/>
  <c r="E50" i="66"/>
  <c r="D50" i="66"/>
  <c r="C50" i="66"/>
  <c r="B50" i="66"/>
  <c r="J49" i="66"/>
  <c r="I49" i="66"/>
  <c r="H49" i="66"/>
  <c r="G49" i="66"/>
  <c r="F49" i="66"/>
  <c r="E49" i="66"/>
  <c r="D49" i="66"/>
  <c r="C49" i="66"/>
  <c r="B49" i="66"/>
  <c r="J48" i="66"/>
  <c r="I48" i="66"/>
  <c r="H48" i="66"/>
  <c r="G48" i="66"/>
  <c r="F48" i="66"/>
  <c r="E48" i="66"/>
  <c r="D48" i="66"/>
  <c r="C48" i="66"/>
  <c r="B48" i="66"/>
  <c r="J47" i="66"/>
  <c r="I47" i="66"/>
  <c r="H47" i="66"/>
  <c r="G47" i="66"/>
  <c r="F47" i="66"/>
  <c r="E47" i="66"/>
  <c r="D47" i="66"/>
  <c r="C47" i="66"/>
  <c r="B47" i="66"/>
  <c r="J46" i="66"/>
  <c r="I46" i="66"/>
  <c r="H46" i="66"/>
  <c r="G46" i="66"/>
  <c r="F46" i="66"/>
  <c r="E46" i="66"/>
  <c r="D46" i="66"/>
  <c r="C46" i="66"/>
  <c r="B46" i="66"/>
  <c r="J45" i="66"/>
  <c r="I45" i="66"/>
  <c r="H45" i="66"/>
  <c r="G45" i="66"/>
  <c r="F45" i="66"/>
  <c r="E45" i="66"/>
  <c r="D45" i="66"/>
  <c r="C45" i="66"/>
  <c r="B45" i="66"/>
  <c r="J44" i="66"/>
  <c r="I44" i="66"/>
  <c r="H44" i="66"/>
  <c r="G44" i="66"/>
  <c r="F44" i="66"/>
  <c r="E44" i="66"/>
  <c r="D44" i="66"/>
  <c r="C44" i="66"/>
  <c r="B44" i="66"/>
  <c r="J43" i="66"/>
  <c r="I43" i="66"/>
  <c r="H43" i="66"/>
  <c r="G43" i="66"/>
  <c r="F43" i="66"/>
  <c r="E43" i="66"/>
  <c r="D43" i="66"/>
  <c r="C43" i="66"/>
  <c r="B43" i="66"/>
  <c r="J42" i="66"/>
  <c r="I42" i="66"/>
  <c r="H42" i="66"/>
  <c r="G42" i="66"/>
  <c r="F42" i="66"/>
  <c r="E42" i="66"/>
  <c r="D42" i="66"/>
  <c r="C42" i="66"/>
  <c r="B42" i="66"/>
  <c r="J41" i="66"/>
  <c r="I41" i="66"/>
  <c r="H41" i="66"/>
  <c r="G41" i="66"/>
  <c r="F41" i="66"/>
  <c r="E41" i="66"/>
  <c r="D41" i="66"/>
  <c r="C41" i="66"/>
  <c r="B41" i="66"/>
  <c r="J40" i="66"/>
  <c r="I40" i="66"/>
  <c r="H40" i="66"/>
  <c r="G40" i="66"/>
  <c r="F40" i="66"/>
  <c r="E40" i="66"/>
  <c r="D40" i="66"/>
  <c r="C40" i="66"/>
  <c r="B40" i="66"/>
  <c r="J39" i="66"/>
  <c r="I39" i="66"/>
  <c r="H39" i="66"/>
  <c r="G39" i="66"/>
  <c r="F39" i="66"/>
  <c r="E39" i="66"/>
  <c r="D39" i="66"/>
  <c r="C39" i="66"/>
  <c r="B39" i="66"/>
  <c r="J38" i="66"/>
  <c r="I38" i="66"/>
  <c r="H38" i="66"/>
  <c r="G38" i="66"/>
  <c r="F38" i="66"/>
  <c r="E38" i="66"/>
  <c r="D38" i="66"/>
  <c r="C38" i="66"/>
  <c r="B38" i="66"/>
  <c r="J37" i="66"/>
  <c r="I37" i="66"/>
  <c r="H37" i="66"/>
  <c r="G37" i="66"/>
  <c r="F37" i="66"/>
  <c r="E37" i="66"/>
  <c r="D37" i="66"/>
  <c r="C37" i="66"/>
  <c r="B37" i="66"/>
  <c r="J36" i="66"/>
  <c r="I36" i="66"/>
  <c r="H36" i="66"/>
  <c r="G36" i="66"/>
  <c r="F36" i="66"/>
  <c r="E36" i="66"/>
  <c r="D36" i="66"/>
  <c r="C36" i="66"/>
  <c r="B36" i="66"/>
  <c r="J35" i="66"/>
  <c r="I35" i="66"/>
  <c r="H35" i="66"/>
  <c r="G35" i="66"/>
  <c r="F35" i="66"/>
  <c r="E35" i="66"/>
  <c r="D35" i="66"/>
  <c r="C35" i="66"/>
  <c r="B35" i="66"/>
  <c r="J34" i="66"/>
  <c r="I34" i="66"/>
  <c r="H34" i="66"/>
  <c r="G34" i="66"/>
  <c r="F34" i="66"/>
  <c r="E34" i="66"/>
  <c r="D34" i="66"/>
  <c r="C34" i="66"/>
  <c r="B34" i="66"/>
  <c r="J33" i="66"/>
  <c r="I33" i="66"/>
  <c r="H33" i="66"/>
  <c r="G33" i="66"/>
  <c r="F33" i="66"/>
  <c r="E33" i="66"/>
  <c r="D33" i="66"/>
  <c r="C33" i="66"/>
  <c r="B33" i="66"/>
  <c r="J32" i="66"/>
  <c r="I32" i="66"/>
  <c r="H32" i="66"/>
  <c r="G32" i="66"/>
  <c r="F32" i="66"/>
  <c r="E32" i="66"/>
  <c r="D32" i="66"/>
  <c r="C32" i="66"/>
  <c r="B32" i="66"/>
  <c r="J31" i="66"/>
  <c r="I31" i="66"/>
  <c r="H31" i="66"/>
  <c r="G31" i="66"/>
  <c r="F31" i="66"/>
  <c r="E31" i="66"/>
  <c r="D31" i="66"/>
  <c r="C31" i="66"/>
  <c r="B31" i="66"/>
  <c r="J30" i="66"/>
  <c r="I30" i="66"/>
  <c r="H30" i="66"/>
  <c r="G30" i="66"/>
  <c r="F30" i="66"/>
  <c r="E30" i="66"/>
  <c r="D30" i="66"/>
  <c r="C30" i="66"/>
  <c r="B30" i="66"/>
  <c r="J29" i="66"/>
  <c r="I29" i="66"/>
  <c r="H29" i="66"/>
  <c r="G29" i="66"/>
  <c r="F29" i="66"/>
  <c r="E29" i="66"/>
  <c r="D29" i="66"/>
  <c r="C29" i="66"/>
  <c r="B29" i="66"/>
  <c r="J28" i="66"/>
  <c r="I28" i="66"/>
  <c r="H28" i="66"/>
  <c r="G28" i="66"/>
  <c r="F28" i="66"/>
  <c r="E28" i="66"/>
  <c r="D28" i="66"/>
  <c r="C28" i="66"/>
  <c r="B28" i="66"/>
  <c r="J27" i="66"/>
  <c r="I27" i="66"/>
  <c r="H27" i="66"/>
  <c r="G27" i="66"/>
  <c r="F27" i="66"/>
  <c r="E27" i="66"/>
  <c r="D27" i="66"/>
  <c r="C27" i="66"/>
  <c r="B27" i="66"/>
  <c r="J26" i="66"/>
  <c r="I26" i="66"/>
  <c r="H26" i="66"/>
  <c r="G26" i="66"/>
  <c r="F26" i="66"/>
  <c r="E26" i="66"/>
  <c r="D26" i="66"/>
  <c r="C26" i="66"/>
  <c r="B26" i="66"/>
  <c r="J25" i="66"/>
  <c r="I25" i="66"/>
  <c r="H25" i="66"/>
  <c r="G25" i="66"/>
  <c r="F25" i="66"/>
  <c r="E25" i="66"/>
  <c r="D25" i="66"/>
  <c r="C25" i="66"/>
  <c r="B25" i="66"/>
  <c r="J24" i="66"/>
  <c r="I24" i="66"/>
  <c r="H24" i="66"/>
  <c r="G24" i="66"/>
  <c r="F24" i="66"/>
  <c r="E24" i="66"/>
  <c r="D24" i="66"/>
  <c r="C24" i="66"/>
  <c r="B24" i="66"/>
  <c r="J23" i="66"/>
  <c r="I23" i="66"/>
  <c r="H23" i="66"/>
  <c r="G23" i="66"/>
  <c r="F23" i="66"/>
  <c r="E23" i="66"/>
  <c r="D23" i="66"/>
  <c r="C23" i="66"/>
  <c r="B23" i="66"/>
  <c r="J22" i="66"/>
  <c r="I22" i="66"/>
  <c r="H22" i="66"/>
  <c r="G22" i="66"/>
  <c r="F22" i="66"/>
  <c r="E22" i="66"/>
  <c r="D22" i="66"/>
  <c r="C22" i="66"/>
  <c r="B22" i="66"/>
  <c r="J21" i="66"/>
  <c r="I21" i="66"/>
  <c r="H21" i="66"/>
  <c r="G21" i="66"/>
  <c r="F21" i="66"/>
  <c r="E21" i="66"/>
  <c r="D21" i="66"/>
  <c r="C21" i="66"/>
  <c r="B21" i="66"/>
  <c r="J20" i="66"/>
  <c r="I20" i="66"/>
  <c r="H20" i="66"/>
  <c r="G20" i="66"/>
  <c r="F20" i="66"/>
  <c r="E20" i="66"/>
  <c r="D20" i="66"/>
  <c r="C20" i="66"/>
  <c r="B20" i="66"/>
  <c r="X19" i="66"/>
  <c r="J19" i="66"/>
  <c r="I19" i="66"/>
  <c r="H19" i="66"/>
  <c r="G19" i="66"/>
  <c r="F19" i="66"/>
  <c r="E19" i="66"/>
  <c r="D19" i="66"/>
  <c r="C19" i="66"/>
  <c r="B19" i="66"/>
  <c r="J18" i="66"/>
  <c r="I18" i="66"/>
  <c r="H18" i="66"/>
  <c r="G18" i="66"/>
  <c r="F18" i="66"/>
  <c r="E18" i="66"/>
  <c r="D18" i="66"/>
  <c r="C18" i="66"/>
  <c r="B18" i="66"/>
  <c r="J17" i="66"/>
  <c r="I17" i="66"/>
  <c r="H17" i="66"/>
  <c r="G17" i="66"/>
  <c r="F17" i="66"/>
  <c r="E17" i="66"/>
  <c r="D17" i="66"/>
  <c r="C17" i="66"/>
  <c r="B17" i="66"/>
  <c r="J16" i="66"/>
  <c r="I16" i="66"/>
  <c r="H16" i="66"/>
  <c r="G16" i="66"/>
  <c r="F16" i="66"/>
  <c r="E16" i="66"/>
  <c r="D16" i="66"/>
  <c r="C16" i="66"/>
  <c r="B16" i="66"/>
  <c r="J15" i="66"/>
  <c r="I15" i="66"/>
  <c r="H15" i="66"/>
  <c r="G15" i="66"/>
  <c r="F15" i="66"/>
  <c r="E15" i="66"/>
  <c r="D15" i="66"/>
  <c r="C15" i="66"/>
  <c r="B15" i="66"/>
  <c r="J14" i="66"/>
  <c r="I14" i="66"/>
  <c r="H14" i="66"/>
  <c r="G14" i="66"/>
  <c r="F14" i="66"/>
  <c r="E14" i="66"/>
  <c r="D14" i="66"/>
  <c r="C14" i="66"/>
  <c r="B14" i="66"/>
  <c r="X13" i="66"/>
  <c r="J13" i="66"/>
  <c r="I13" i="66"/>
  <c r="H13" i="66"/>
  <c r="G13" i="66"/>
  <c r="F13" i="66"/>
  <c r="E13" i="66"/>
  <c r="D13" i="66"/>
  <c r="C13" i="66"/>
  <c r="B13" i="66"/>
  <c r="J12" i="66"/>
  <c r="I12" i="66"/>
  <c r="H12" i="66"/>
  <c r="G12" i="66"/>
  <c r="F12" i="66"/>
  <c r="E12" i="66"/>
  <c r="D12" i="66"/>
  <c r="C12" i="66"/>
  <c r="B12" i="66"/>
  <c r="J11" i="66"/>
  <c r="I11" i="66"/>
  <c r="H11" i="66"/>
  <c r="G11" i="66"/>
  <c r="F11" i="66"/>
  <c r="E11" i="66"/>
  <c r="D11" i="66"/>
  <c r="C11" i="66"/>
  <c r="B11" i="66"/>
  <c r="J10" i="66"/>
  <c r="I10" i="66"/>
  <c r="H10" i="66"/>
  <c r="G10" i="66"/>
  <c r="F10" i="66"/>
  <c r="E10" i="66"/>
  <c r="D10" i="66"/>
  <c r="C10" i="66"/>
  <c r="B10" i="66"/>
  <c r="J9" i="66"/>
  <c r="I9" i="66"/>
  <c r="H9" i="66"/>
  <c r="G9" i="66"/>
  <c r="F9" i="66"/>
  <c r="E9" i="66"/>
  <c r="D9" i="66"/>
  <c r="C9" i="66"/>
  <c r="B9" i="66"/>
  <c r="X8" i="66"/>
  <c r="J8" i="66"/>
  <c r="I8" i="66"/>
  <c r="H8" i="66"/>
  <c r="G8" i="66"/>
  <c r="F8" i="66"/>
  <c r="E8" i="66"/>
  <c r="D8" i="66"/>
  <c r="C8" i="66"/>
  <c r="B8" i="66"/>
  <c r="U7" i="66"/>
  <c r="N7" i="66"/>
  <c r="M7" i="66"/>
  <c r="L7" i="66"/>
  <c r="J7" i="66"/>
  <c r="I7" i="66"/>
  <c r="H7" i="66"/>
  <c r="G7" i="66"/>
  <c r="F7" i="66"/>
  <c r="E7" i="66"/>
  <c r="D7" i="66"/>
  <c r="C7" i="66"/>
  <c r="B7" i="66"/>
  <c r="G5" i="67" l="1"/>
  <c r="H5" i="67" s="1" a="1"/>
  <c r="H5" i="67" s="1"/>
  <c r="A2" i="67"/>
  <c r="A3" i="67"/>
  <c r="A4" i="67"/>
  <c r="A5" i="67"/>
  <c r="BP54" i="65"/>
  <c r="BL54" i="65"/>
  <c r="BH54" i="65"/>
  <c r="BD54" i="65"/>
  <c r="AZ54" i="65"/>
  <c r="AV54" i="65"/>
  <c r="AR54" i="65"/>
  <c r="AN54" i="65"/>
  <c r="AJ54" i="65"/>
  <c r="AF54" i="65"/>
  <c r="AB54" i="65"/>
  <c r="X54" i="65"/>
  <c r="T54" i="65"/>
  <c r="P54" i="65"/>
  <c r="L54" i="65"/>
  <c r="H54" i="65"/>
  <c r="F52" i="65"/>
  <c r="E52" i="65"/>
  <c r="F51" i="65"/>
  <c r="E51" i="65"/>
  <c r="F50" i="65"/>
  <c r="E50" i="65"/>
  <c r="F49" i="65"/>
  <c r="E49" i="65"/>
  <c r="F48" i="65"/>
  <c r="E48" i="65"/>
  <c r="F47" i="65"/>
  <c r="E47" i="65"/>
  <c r="F46" i="65"/>
  <c r="E46" i="65"/>
  <c r="F45" i="65"/>
  <c r="E45" i="65"/>
  <c r="F44" i="65"/>
  <c r="E44" i="65"/>
  <c r="F43" i="65"/>
  <c r="E43" i="65"/>
  <c r="F42" i="65"/>
  <c r="E42" i="65"/>
  <c r="F41" i="65"/>
  <c r="E41" i="65"/>
  <c r="F40" i="65"/>
  <c r="E40" i="65"/>
  <c r="F39" i="65"/>
  <c r="E39" i="65"/>
  <c r="F38" i="65"/>
  <c r="E38" i="65"/>
  <c r="F37" i="65"/>
  <c r="E37" i="65"/>
  <c r="I8" i="64"/>
  <c r="G7" i="64"/>
  <c r="I7" i="64" s="1"/>
  <c r="G7" i="64" a="1"/>
  <c r="F6" i="64" a="1"/>
  <c r="G6" i="64" s="1"/>
  <c r="E5" i="64" a="1"/>
  <c r="G5" i="64" s="1"/>
  <c r="F4" i="64"/>
  <c r="D4" i="64"/>
  <c r="D4" i="64" a="1"/>
  <c r="G4" i="64" s="1"/>
  <c r="G3" i="64"/>
  <c r="E3" i="64"/>
  <c r="D3" i="64"/>
  <c r="C3" i="64"/>
  <c r="C3" i="64" a="1"/>
  <c r="F3" i="64" s="1"/>
  <c r="G2" i="64"/>
  <c r="F2" i="64"/>
  <c r="E2" i="64"/>
  <c r="D2" i="64"/>
  <c r="C2" i="64"/>
  <c r="B2" i="64"/>
  <c r="CH27" i="63"/>
  <c r="CH30" i="63" s="1"/>
  <c r="CG27" i="63"/>
  <c r="CG30" i="63" s="1"/>
  <c r="CF27" i="63"/>
  <c r="CF30" i="63" s="1"/>
  <c r="CE27" i="63"/>
  <c r="CE30" i="63" s="1"/>
  <c r="CD27" i="63"/>
  <c r="CD30" i="63" s="1"/>
  <c r="CC27" i="63"/>
  <c r="CC30" i="63" s="1"/>
  <c r="CB27" i="63"/>
  <c r="CB30" i="63" s="1"/>
  <c r="CA27" i="63"/>
  <c r="CA30" i="63" s="1"/>
  <c r="BZ27" i="63"/>
  <c r="BZ30" i="63" s="1"/>
  <c r="BY27" i="63"/>
  <c r="BY30" i="63" s="1"/>
  <c r="BX27" i="63"/>
  <c r="BX30" i="63" s="1"/>
  <c r="BW27" i="63"/>
  <c r="BW30" i="63" s="1"/>
  <c r="BV27" i="63"/>
  <c r="BV30" i="63" s="1"/>
  <c r="BU27" i="63"/>
  <c r="BU30" i="63" s="1"/>
  <c r="BT27" i="63"/>
  <c r="BT30" i="63" s="1"/>
  <c r="BS27" i="63"/>
  <c r="BS30" i="63" s="1"/>
  <c r="BR27" i="63"/>
  <c r="BR30" i="63" s="1"/>
  <c r="BQ27" i="63"/>
  <c r="BQ30" i="63" s="1"/>
  <c r="BP27" i="63"/>
  <c r="BP30" i="63" s="1"/>
  <c r="BO27" i="63"/>
  <c r="BO30" i="63" s="1"/>
  <c r="BN27" i="63"/>
  <c r="BN30" i="63" s="1"/>
  <c r="BM27" i="63"/>
  <c r="BM30" i="63" s="1"/>
  <c r="BL27" i="63"/>
  <c r="BL30" i="63" s="1"/>
  <c r="BK27" i="63"/>
  <c r="BK30" i="63" s="1"/>
  <c r="BJ27" i="63"/>
  <c r="BJ30" i="63" s="1"/>
  <c r="BI27" i="63"/>
  <c r="BI30" i="63" s="1"/>
  <c r="BH27" i="63"/>
  <c r="BH30" i="63" s="1"/>
  <c r="BG27" i="63"/>
  <c r="BG30" i="63" s="1"/>
  <c r="BF27" i="63"/>
  <c r="BF30" i="63" s="1"/>
  <c r="BE27" i="63"/>
  <c r="BE30" i="63" s="1"/>
  <c r="BD27" i="63"/>
  <c r="BD30" i="63" s="1"/>
  <c r="BC27" i="63"/>
  <c r="BC30" i="63" s="1"/>
  <c r="BB27" i="63"/>
  <c r="BB30" i="63" s="1"/>
  <c r="BA27" i="63"/>
  <c r="BA30" i="63" s="1"/>
  <c r="AZ27" i="63"/>
  <c r="AZ30" i="63" s="1"/>
  <c r="AY27" i="63"/>
  <c r="AY30" i="63" s="1"/>
  <c r="AX27" i="63"/>
  <c r="AX30" i="63" s="1"/>
  <c r="AW27" i="63"/>
  <c r="AW30" i="63" s="1"/>
  <c r="AV27" i="63"/>
  <c r="AV30" i="63" s="1"/>
  <c r="AU27" i="63"/>
  <c r="AU30" i="63" s="1"/>
  <c r="AT27" i="63"/>
  <c r="AT30" i="63" s="1"/>
  <c r="AS27" i="63"/>
  <c r="AS30" i="63" s="1"/>
  <c r="AR27" i="63"/>
  <c r="AR30" i="63" s="1"/>
  <c r="AQ27" i="63"/>
  <c r="AQ30" i="63" s="1"/>
  <c r="AP27" i="63"/>
  <c r="AP30" i="63" s="1"/>
  <c r="AO27" i="63"/>
  <c r="AO30" i="63" s="1"/>
  <c r="AN27" i="63"/>
  <c r="AN30" i="63" s="1"/>
  <c r="AM27" i="63"/>
  <c r="AM30" i="63" s="1"/>
  <c r="AL27" i="63"/>
  <c r="AL30" i="63" s="1"/>
  <c r="AK27" i="63"/>
  <c r="AK30" i="63" s="1"/>
  <c r="AJ27" i="63"/>
  <c r="AJ30" i="63" s="1"/>
  <c r="AI27" i="63"/>
  <c r="AI30" i="63" s="1"/>
  <c r="AH27" i="63"/>
  <c r="AH30" i="63" s="1"/>
  <c r="AG27" i="63"/>
  <c r="AG30" i="63" s="1"/>
  <c r="AF27" i="63"/>
  <c r="AF30" i="63" s="1"/>
  <c r="AE27" i="63"/>
  <c r="AE30" i="63" s="1"/>
  <c r="AD27" i="63"/>
  <c r="AD30" i="63" s="1"/>
  <c r="AC27" i="63"/>
  <c r="AC30" i="63" s="1"/>
  <c r="AB27" i="63"/>
  <c r="AB30" i="63" s="1"/>
  <c r="AA27" i="63"/>
  <c r="AA30" i="63" s="1"/>
  <c r="Z27" i="63"/>
  <c r="Z30" i="63" s="1"/>
  <c r="Y27" i="63"/>
  <c r="Y30" i="63" s="1"/>
  <c r="X27" i="63"/>
  <c r="X30" i="63" s="1"/>
  <c r="W27" i="63"/>
  <c r="W30" i="63" s="1"/>
  <c r="V27" i="63"/>
  <c r="V30" i="63" s="1"/>
  <c r="U27" i="63"/>
  <c r="U30" i="63" s="1"/>
  <c r="T27" i="63"/>
  <c r="T30" i="63" s="1"/>
  <c r="S27" i="63"/>
  <c r="S30" i="63" s="1"/>
  <c r="R27" i="63"/>
  <c r="R30" i="63" s="1"/>
  <c r="Q27" i="63"/>
  <c r="Q30" i="63" s="1"/>
  <c r="P27" i="63"/>
  <c r="P30" i="63" s="1"/>
  <c r="O27" i="63"/>
  <c r="O30" i="63" s="1"/>
  <c r="N27" i="63"/>
  <c r="N30" i="63" s="1"/>
  <c r="M27" i="63"/>
  <c r="M30" i="63" s="1"/>
  <c r="L27" i="63"/>
  <c r="L30" i="63" s="1"/>
  <c r="K27" i="63"/>
  <c r="K30" i="63" s="1"/>
  <c r="J27" i="63"/>
  <c r="J30" i="63" s="1"/>
  <c r="I27" i="63"/>
  <c r="I30" i="63" s="1"/>
  <c r="H27" i="63"/>
  <c r="H30" i="63" s="1"/>
  <c r="G27" i="63"/>
  <c r="G30" i="63" s="1"/>
  <c r="F27" i="63"/>
  <c r="F30" i="63" s="1"/>
  <c r="E27" i="63"/>
  <c r="E30" i="63" s="1"/>
  <c r="D27" i="63"/>
  <c r="D30" i="63" s="1"/>
  <c r="C27" i="63"/>
  <c r="C30" i="63" s="1"/>
  <c r="CH18" i="63"/>
  <c r="CG18" i="63"/>
  <c r="CF18" i="63"/>
  <c r="CE18" i="63"/>
  <c r="CD18" i="63"/>
  <c r="CC18" i="63"/>
  <c r="CB18" i="63"/>
  <c r="CA18" i="63"/>
  <c r="BZ18" i="63"/>
  <c r="BY18" i="63"/>
  <c r="BX18" i="63"/>
  <c r="BW18" i="63"/>
  <c r="BV18" i="63"/>
  <c r="BU18" i="63"/>
  <c r="BT18" i="63"/>
  <c r="BS18" i="63"/>
  <c r="BR18" i="63"/>
  <c r="BQ18" i="63"/>
  <c r="BP18" i="63"/>
  <c r="BO18" i="63"/>
  <c r="BN18" i="63"/>
  <c r="BM18" i="63"/>
  <c r="BL18" i="63"/>
  <c r="BK18" i="63"/>
  <c r="BJ18" i="63"/>
  <c r="BI18" i="63"/>
  <c r="BH18" i="63"/>
  <c r="BG18" i="63"/>
  <c r="BF18" i="63"/>
  <c r="BE18" i="63"/>
  <c r="BD18" i="63"/>
  <c r="BC18" i="63"/>
  <c r="BB18" i="63"/>
  <c r="BA18" i="63"/>
  <c r="AZ18" i="63"/>
  <c r="AY18" i="63"/>
  <c r="AX18" i="63"/>
  <c r="AW18" i="63"/>
  <c r="AV18" i="63"/>
  <c r="AU18" i="63"/>
  <c r="AT18" i="63"/>
  <c r="AS18" i="63"/>
  <c r="AR18" i="63"/>
  <c r="AQ18" i="63"/>
  <c r="AP18" i="63"/>
  <c r="AO18" i="63"/>
  <c r="AN18" i="63"/>
  <c r="AM18" i="63"/>
  <c r="AL18" i="63"/>
  <c r="AK18" i="63"/>
  <c r="AJ18" i="63"/>
  <c r="AI18" i="63"/>
  <c r="AH18" i="63"/>
  <c r="AG18" i="63"/>
  <c r="AF18" i="63"/>
  <c r="AE18" i="63"/>
  <c r="AD18" i="63"/>
  <c r="AC18" i="63"/>
  <c r="AB18" i="63"/>
  <c r="AA18" i="63"/>
  <c r="Z18" i="63"/>
  <c r="Y18" i="63"/>
  <c r="X18" i="63"/>
  <c r="W18" i="63"/>
  <c r="V18" i="63"/>
  <c r="U18" i="63"/>
  <c r="T18" i="63"/>
  <c r="S18" i="63"/>
  <c r="R18" i="63"/>
  <c r="Q18" i="63"/>
  <c r="P18" i="63"/>
  <c r="O18" i="63"/>
  <c r="N18" i="63"/>
  <c r="M18" i="63"/>
  <c r="L18" i="63"/>
  <c r="K18" i="63"/>
  <c r="J18" i="63"/>
  <c r="I18" i="63"/>
  <c r="H18" i="63"/>
  <c r="G18" i="63"/>
  <c r="F18" i="63"/>
  <c r="E18" i="63"/>
  <c r="D18" i="63"/>
  <c r="C18" i="63"/>
  <c r="B18" i="63"/>
  <c r="CH17" i="63"/>
  <c r="CH20" i="63" s="1"/>
  <c r="CG17" i="63"/>
  <c r="CG20" i="63" s="1"/>
  <c r="CF17" i="63"/>
  <c r="CF20" i="63" s="1"/>
  <c r="CE17" i="63"/>
  <c r="CE20" i="63" s="1"/>
  <c r="CD17" i="63"/>
  <c r="CD20" i="63" s="1"/>
  <c r="CC17" i="63"/>
  <c r="CC20" i="63" s="1"/>
  <c r="CB17" i="63"/>
  <c r="CB20" i="63" s="1"/>
  <c r="CA17" i="63"/>
  <c r="CA20" i="63" s="1"/>
  <c r="BZ17" i="63"/>
  <c r="BZ20" i="63" s="1"/>
  <c r="BY17" i="63"/>
  <c r="BY20" i="63" s="1"/>
  <c r="BX17" i="63"/>
  <c r="BX20" i="63" s="1"/>
  <c r="BW17" i="63"/>
  <c r="BW20" i="63" s="1"/>
  <c r="BV17" i="63"/>
  <c r="BV20" i="63" s="1"/>
  <c r="BU17" i="63"/>
  <c r="BU20" i="63" s="1"/>
  <c r="BT17" i="63"/>
  <c r="BT20" i="63" s="1"/>
  <c r="BS17" i="63"/>
  <c r="BS20" i="63" s="1"/>
  <c r="BR17" i="63"/>
  <c r="BR20" i="63" s="1"/>
  <c r="BQ17" i="63"/>
  <c r="BQ20" i="63" s="1"/>
  <c r="BP17" i="63"/>
  <c r="BP20" i="63" s="1"/>
  <c r="BO17" i="63"/>
  <c r="BO20" i="63" s="1"/>
  <c r="BN17" i="63"/>
  <c r="BN20" i="63" s="1"/>
  <c r="BM17" i="63"/>
  <c r="BM20" i="63" s="1"/>
  <c r="BL17" i="63"/>
  <c r="BL20" i="63" s="1"/>
  <c r="BK17" i="63"/>
  <c r="BK20" i="63" s="1"/>
  <c r="BJ17" i="63"/>
  <c r="BJ20" i="63" s="1"/>
  <c r="BI17" i="63"/>
  <c r="BI20" i="63" s="1"/>
  <c r="BH17" i="63"/>
  <c r="BH20" i="63" s="1"/>
  <c r="BG17" i="63"/>
  <c r="BG20" i="63" s="1"/>
  <c r="BF17" i="63"/>
  <c r="BF20" i="63" s="1"/>
  <c r="BE17" i="63"/>
  <c r="BE20" i="63" s="1"/>
  <c r="BD17" i="63"/>
  <c r="BD20" i="63" s="1"/>
  <c r="BC17" i="63"/>
  <c r="BC20" i="63" s="1"/>
  <c r="BB17" i="63"/>
  <c r="BB20" i="63" s="1"/>
  <c r="BA17" i="63"/>
  <c r="BA20" i="63" s="1"/>
  <c r="AZ17" i="63"/>
  <c r="AZ20" i="63" s="1"/>
  <c r="AY17" i="63"/>
  <c r="AY20" i="63" s="1"/>
  <c r="AX17" i="63"/>
  <c r="AX20" i="63" s="1"/>
  <c r="AW17" i="63"/>
  <c r="AW20" i="63" s="1"/>
  <c r="AV17" i="63"/>
  <c r="AV20" i="63" s="1"/>
  <c r="AU17" i="63"/>
  <c r="AU20" i="63" s="1"/>
  <c r="AT17" i="63"/>
  <c r="AT20" i="63" s="1"/>
  <c r="AS17" i="63"/>
  <c r="AS20" i="63" s="1"/>
  <c r="AR17" i="63"/>
  <c r="AR20" i="63" s="1"/>
  <c r="AQ17" i="63"/>
  <c r="AQ20" i="63" s="1"/>
  <c r="AP17" i="63"/>
  <c r="AP20" i="63" s="1"/>
  <c r="AO17" i="63"/>
  <c r="AO20" i="63" s="1"/>
  <c r="AN17" i="63"/>
  <c r="AN20" i="63" s="1"/>
  <c r="AM17" i="63"/>
  <c r="AM20" i="63" s="1"/>
  <c r="AL17" i="63"/>
  <c r="AL20" i="63" s="1"/>
  <c r="AK17" i="63"/>
  <c r="AK20" i="63" s="1"/>
  <c r="AJ17" i="63"/>
  <c r="AJ20" i="63" s="1"/>
  <c r="AI17" i="63"/>
  <c r="AI20" i="63" s="1"/>
  <c r="AH17" i="63"/>
  <c r="AH20" i="63" s="1"/>
  <c r="AG17" i="63"/>
  <c r="AG20" i="63" s="1"/>
  <c r="AF17" i="63"/>
  <c r="AF20" i="63" s="1"/>
  <c r="AE17" i="63"/>
  <c r="AE20" i="63" s="1"/>
  <c r="AD17" i="63"/>
  <c r="AD20" i="63" s="1"/>
  <c r="AC17" i="63"/>
  <c r="AC20" i="63" s="1"/>
  <c r="AB17" i="63"/>
  <c r="AB20" i="63" s="1"/>
  <c r="AA17" i="63"/>
  <c r="AA20" i="63" s="1"/>
  <c r="Z17" i="63"/>
  <c r="Z20" i="63" s="1"/>
  <c r="Y17" i="63"/>
  <c r="Y20" i="63" s="1"/>
  <c r="X17" i="63"/>
  <c r="X20" i="63" s="1"/>
  <c r="W17" i="63"/>
  <c r="W20" i="63" s="1"/>
  <c r="V17" i="63"/>
  <c r="V20" i="63" s="1"/>
  <c r="U17" i="63"/>
  <c r="U20" i="63" s="1"/>
  <c r="T17" i="63"/>
  <c r="T20" i="63" s="1"/>
  <c r="S17" i="63"/>
  <c r="S20" i="63" s="1"/>
  <c r="R17" i="63"/>
  <c r="R20" i="63" s="1"/>
  <c r="Q17" i="63"/>
  <c r="Q20" i="63" s="1"/>
  <c r="P17" i="63"/>
  <c r="P20" i="63" s="1"/>
  <c r="O17" i="63"/>
  <c r="O20" i="63" s="1"/>
  <c r="N17" i="63"/>
  <c r="N20" i="63" s="1"/>
  <c r="M17" i="63"/>
  <c r="M20" i="63" s="1"/>
  <c r="L17" i="63"/>
  <c r="L20" i="63" s="1"/>
  <c r="K17" i="63"/>
  <c r="K20" i="63" s="1"/>
  <c r="J17" i="63"/>
  <c r="J20" i="63" s="1"/>
  <c r="I17" i="63"/>
  <c r="I20" i="63" s="1"/>
  <c r="H17" i="63"/>
  <c r="H20" i="63" s="1"/>
  <c r="G17" i="63"/>
  <c r="G20" i="63" s="1"/>
  <c r="F17" i="63"/>
  <c r="F20" i="63" s="1"/>
  <c r="E17" i="63"/>
  <c r="E20" i="63" s="1"/>
  <c r="D17" i="63"/>
  <c r="D20" i="63" s="1"/>
  <c r="C17" i="63"/>
  <c r="C20" i="63" s="1"/>
  <c r="CH8" i="63"/>
  <c r="CG8" i="63"/>
  <c r="CF8" i="63"/>
  <c r="CE8" i="63"/>
  <c r="CD8" i="63"/>
  <c r="CC8" i="63"/>
  <c r="CB8" i="63"/>
  <c r="CA8" i="63"/>
  <c r="BZ8" i="63"/>
  <c r="BY8" i="63"/>
  <c r="BX8" i="63"/>
  <c r="BW8" i="63"/>
  <c r="BV8" i="63"/>
  <c r="BU8" i="63"/>
  <c r="BT8" i="63"/>
  <c r="BS8" i="63"/>
  <c r="BR8" i="63"/>
  <c r="BQ8" i="63"/>
  <c r="BP8" i="63"/>
  <c r="BO8" i="63"/>
  <c r="BN8" i="63"/>
  <c r="BM8" i="63"/>
  <c r="BL8" i="63"/>
  <c r="BK8" i="63"/>
  <c r="BJ8" i="63"/>
  <c r="BI8" i="63"/>
  <c r="BH8" i="63"/>
  <c r="BG8" i="63"/>
  <c r="BF8" i="63"/>
  <c r="BE8" i="63"/>
  <c r="BD8" i="63"/>
  <c r="BC8" i="63"/>
  <c r="BB8" i="63"/>
  <c r="BA8" i="63"/>
  <c r="AZ8" i="63"/>
  <c r="AY8" i="63"/>
  <c r="AX8" i="63"/>
  <c r="AW8" i="63"/>
  <c r="AV8" i="63"/>
  <c r="AU8" i="63"/>
  <c r="AT8" i="63"/>
  <c r="AS8" i="63"/>
  <c r="AR8" i="63"/>
  <c r="AQ8" i="63"/>
  <c r="AP8" i="63"/>
  <c r="AO8" i="63"/>
  <c r="AN8" i="63"/>
  <c r="AM8" i="63"/>
  <c r="AL8" i="63"/>
  <c r="AK8" i="63"/>
  <c r="AJ8" i="63"/>
  <c r="AI8" i="63"/>
  <c r="AH8" i="63"/>
  <c r="AG8" i="63"/>
  <c r="AF8" i="63"/>
  <c r="AE8" i="63"/>
  <c r="AD8" i="63"/>
  <c r="AC8" i="63"/>
  <c r="AB8" i="63"/>
  <c r="AA8" i="63"/>
  <c r="Z8" i="63"/>
  <c r="Y8" i="63"/>
  <c r="X8" i="63"/>
  <c r="W8" i="63"/>
  <c r="V8" i="63"/>
  <c r="U8" i="63"/>
  <c r="T8" i="63"/>
  <c r="S8" i="63"/>
  <c r="R8" i="63"/>
  <c r="Q8" i="63"/>
  <c r="P8" i="63"/>
  <c r="O8" i="63"/>
  <c r="N8" i="63"/>
  <c r="M8" i="63"/>
  <c r="L8" i="63"/>
  <c r="K8" i="63"/>
  <c r="J8" i="63"/>
  <c r="I8" i="63"/>
  <c r="H8" i="63"/>
  <c r="G8" i="63"/>
  <c r="F8" i="63"/>
  <c r="E8" i="63"/>
  <c r="D8" i="63"/>
  <c r="C8" i="63"/>
  <c r="B8" i="63"/>
  <c r="B9" i="63" s="1"/>
  <c r="C9" i="63" s="1"/>
  <c r="E7" i="63"/>
  <c r="F7" i="63" s="1"/>
  <c r="G7" i="63" s="1"/>
  <c r="D7" i="63"/>
  <c r="D22" i="62"/>
  <c r="D21" i="62"/>
  <c r="D20" i="62"/>
  <c r="D19" i="62"/>
  <c r="D18" i="62"/>
  <c r="D17" i="62"/>
  <c r="D16" i="62"/>
  <c r="D15" i="62"/>
  <c r="D14" i="62"/>
  <c r="D13" i="62"/>
  <c r="D12" i="62"/>
  <c r="D11" i="62"/>
  <c r="D10" i="62"/>
  <c r="D9" i="62"/>
  <c r="D8" i="62"/>
  <c r="D7" i="62"/>
  <c r="D6" i="62"/>
  <c r="D5" i="62"/>
  <c r="D4" i="62"/>
  <c r="D3" i="62"/>
  <c r="V11" i="61"/>
  <c r="V11" i="61" a="1"/>
  <c r="O11" i="61"/>
  <c r="F11" i="61"/>
  <c r="D11" i="61"/>
  <c r="U11" i="61"/>
  <c r="U10" i="61" a="1"/>
  <c r="U10" i="61" s="1"/>
  <c r="F10" i="61"/>
  <c r="O10" i="61" s="1"/>
  <c r="D10" i="61"/>
  <c r="T11" i="61"/>
  <c r="T9" i="61"/>
  <c r="T9" i="61" a="1"/>
  <c r="T10" i="61" s="1"/>
  <c r="O9" i="61"/>
  <c r="F9" i="61"/>
  <c r="S8" i="61" a="1"/>
  <c r="S10" i="61" s="1"/>
  <c r="F8" i="61"/>
  <c r="O8" i="61" s="1"/>
  <c r="D8" i="61"/>
  <c r="R10" i="61"/>
  <c r="R8" i="61"/>
  <c r="R7" i="61" a="1"/>
  <c r="R11" i="61" s="1"/>
  <c r="F7" i="61"/>
  <c r="O7" i="61" s="1"/>
  <c r="D7" i="61"/>
  <c r="Q10" i="61"/>
  <c r="Q8" i="61"/>
  <c r="Q6" i="61"/>
  <c r="Q6" i="61" a="1"/>
  <c r="Q7" i="61" s="1"/>
  <c r="O6" i="61"/>
  <c r="F6" i="61"/>
  <c r="D6" i="61"/>
  <c r="P11" i="61"/>
  <c r="P9" i="61"/>
  <c r="P8" i="61"/>
  <c r="P7" i="61"/>
  <c r="P5" i="61"/>
  <c r="X5" i="61" s="1"/>
  <c r="P5" i="61" a="1"/>
  <c r="P10" i="61" s="1"/>
  <c r="X10" i="61" s="1"/>
  <c r="O5" i="61"/>
  <c r="F5" i="61"/>
  <c r="X4" i="61"/>
  <c r="O4" i="61"/>
  <c r="F4" i="61"/>
  <c r="D4" i="61"/>
  <c r="H6" i="67" l="1" a="1"/>
  <c r="H6" i="67" s="1"/>
  <c r="H3" i="67" a="1"/>
  <c r="H3" i="67" s="1"/>
  <c r="H4" i="67" a="1"/>
  <c r="H4" i="67" s="1"/>
  <c r="H2" i="67" a="1"/>
  <c r="H2" i="67" s="1"/>
  <c r="H7" i="63"/>
  <c r="I7" i="63" s="1"/>
  <c r="X7" i="61"/>
  <c r="E9" i="62"/>
  <c r="E17" i="62"/>
  <c r="E3" i="62"/>
  <c r="F3" i="62" s="1"/>
  <c r="E19" i="62"/>
  <c r="P3" i="61" a="1"/>
  <c r="I3" i="64"/>
  <c r="X11" i="61"/>
  <c r="E5" i="62"/>
  <c r="E11" i="62"/>
  <c r="D9" i="63"/>
  <c r="E9" i="63" s="1"/>
  <c r="F9" i="63" s="1"/>
  <c r="G9" i="63" s="1"/>
  <c r="H9" i="63" s="1"/>
  <c r="I9" i="63" s="1"/>
  <c r="J9" i="63" s="1"/>
  <c r="K9" i="63" s="1"/>
  <c r="L9" i="63" s="1"/>
  <c r="M9" i="63" s="1"/>
  <c r="N9" i="63" s="1"/>
  <c r="O9" i="63" s="1"/>
  <c r="P9" i="63" s="1"/>
  <c r="Q9" i="63" s="1"/>
  <c r="R9" i="63" s="1"/>
  <c r="S9" i="63" s="1"/>
  <c r="T9" i="63" s="1"/>
  <c r="U9" i="63" s="1"/>
  <c r="V9" i="63" s="1"/>
  <c r="W9" i="63" s="1"/>
  <c r="X9" i="63" s="1"/>
  <c r="Y9" i="63" s="1"/>
  <c r="Z9" i="63" s="1"/>
  <c r="AA9" i="63" s="1"/>
  <c r="AB9" i="63" s="1"/>
  <c r="AC9" i="63" s="1"/>
  <c r="AD9" i="63" s="1"/>
  <c r="AE9" i="63" s="1"/>
  <c r="AF9" i="63" s="1"/>
  <c r="AG9" i="63" s="1"/>
  <c r="AH9" i="63" s="1"/>
  <c r="AI9" i="63" s="1"/>
  <c r="AJ9" i="63" s="1"/>
  <c r="AK9" i="63" s="1"/>
  <c r="AL9" i="63" s="1"/>
  <c r="AM9" i="63" s="1"/>
  <c r="AN9" i="63" s="1"/>
  <c r="AO9" i="63" s="1"/>
  <c r="AP9" i="63" s="1"/>
  <c r="AQ9" i="63" s="1"/>
  <c r="AR9" i="63" s="1"/>
  <c r="AS9" i="63" s="1"/>
  <c r="AT9" i="63" s="1"/>
  <c r="AU9" i="63" s="1"/>
  <c r="AV9" i="63" s="1"/>
  <c r="AW9" i="63" s="1"/>
  <c r="AX9" i="63" s="1"/>
  <c r="AY9" i="63" s="1"/>
  <c r="AZ9" i="63" s="1"/>
  <c r="BA9" i="63" s="1"/>
  <c r="BB9" i="63" s="1"/>
  <c r="BC9" i="63" s="1"/>
  <c r="BD9" i="63" s="1"/>
  <c r="BE9" i="63" s="1"/>
  <c r="BF9" i="63" s="1"/>
  <c r="BG9" i="63" s="1"/>
  <c r="BH9" i="63" s="1"/>
  <c r="BI9" i="63" s="1"/>
  <c r="BJ9" i="63" s="1"/>
  <c r="BK9" i="63" s="1"/>
  <c r="BL9" i="63" s="1"/>
  <c r="BM9" i="63" s="1"/>
  <c r="BN9" i="63" s="1"/>
  <c r="BO9" i="63" s="1"/>
  <c r="BP9" i="63" s="1"/>
  <c r="BQ9" i="63" s="1"/>
  <c r="BR9" i="63" s="1"/>
  <c r="BS9" i="63" s="1"/>
  <c r="BT9" i="63" s="1"/>
  <c r="BU9" i="63" s="1"/>
  <c r="BV9" i="63" s="1"/>
  <c r="BW9" i="63" s="1"/>
  <c r="BX9" i="63" s="1"/>
  <c r="BY9" i="63" s="1"/>
  <c r="BZ9" i="63" s="1"/>
  <c r="CA9" i="63" s="1"/>
  <c r="CB9" i="63" s="1"/>
  <c r="CC9" i="63" s="1"/>
  <c r="CD9" i="63" s="1"/>
  <c r="CE9" i="63" s="1"/>
  <c r="CF9" i="63" s="1"/>
  <c r="CG9" i="63" s="1"/>
  <c r="CH9" i="63" s="1"/>
  <c r="E7" i="62"/>
  <c r="E15" i="62"/>
  <c r="S11" i="61"/>
  <c r="Q9" i="61"/>
  <c r="R7" i="61"/>
  <c r="D23" i="62"/>
  <c r="E21" i="62" s="1"/>
  <c r="P6" i="61"/>
  <c r="X6" i="61" s="1"/>
  <c r="Q11" i="61"/>
  <c r="R9" i="61"/>
  <c r="S8" i="61"/>
  <c r="X8" i="61" s="1"/>
  <c r="E4" i="64"/>
  <c r="I4" i="64" s="1"/>
  <c r="E5" i="64"/>
  <c r="F6" i="64"/>
  <c r="I6" i="64" s="1"/>
  <c r="S9" i="61"/>
  <c r="F5" i="64"/>
  <c r="I3" i="67" l="1"/>
  <c r="C1" i="68" s="1"/>
  <c r="I4" i="67"/>
  <c r="D1" i="68" s="1"/>
  <c r="I2" i="67"/>
  <c r="B1" i="68" s="1"/>
  <c r="I6" i="67"/>
  <c r="F1" i="68" s="1"/>
  <c r="I5" i="67"/>
  <c r="E1" i="68" s="1"/>
  <c r="Y8" i="61" a="1"/>
  <c r="Y8" i="61" s="1"/>
  <c r="Y9" i="61" a="1"/>
  <c r="Y9" i="61" s="1"/>
  <c r="Y4" i="61" a="1"/>
  <c r="Y4" i="61" s="1"/>
  <c r="Y11" i="61" a="1"/>
  <c r="Y11" i="61" s="1"/>
  <c r="J6" i="64" a="1"/>
  <c r="J6" i="64" s="1"/>
  <c r="J3" i="64" a="1"/>
  <c r="J3" i="64" s="1"/>
  <c r="J8" i="64" a="1"/>
  <c r="J8" i="64" s="1"/>
  <c r="I5" i="64"/>
  <c r="J5" i="64" s="1" a="1"/>
  <c r="J5" i="64" s="1"/>
  <c r="Y6" i="61" a="1"/>
  <c r="Y6" i="61" s="1"/>
  <c r="J7" i="63"/>
  <c r="Y7" i="61" a="1"/>
  <c r="Y7" i="61" s="1"/>
  <c r="P3" i="61"/>
  <c r="V3" i="61"/>
  <c r="U3" i="61"/>
  <c r="T3" i="61"/>
  <c r="S3" i="61"/>
  <c r="R3" i="61"/>
  <c r="Q3" i="61"/>
  <c r="W3" i="61"/>
  <c r="Y5" i="61" a="1"/>
  <c r="Y5" i="61" s="1"/>
  <c r="J7" i="64" a="1"/>
  <c r="J7" i="64" s="1"/>
  <c r="E16" i="62"/>
  <c r="E18" i="62"/>
  <c r="E10" i="62"/>
  <c r="E20" i="62"/>
  <c r="E12" i="62"/>
  <c r="E4" i="62"/>
  <c r="F4" i="62" s="1"/>
  <c r="F5" i="62" s="1"/>
  <c r="E8" i="62"/>
  <c r="E22" i="62"/>
  <c r="E14" i="62"/>
  <c r="E6" i="62"/>
  <c r="E13" i="62"/>
  <c r="Y10" i="61" a="1"/>
  <c r="Y10" i="61" s="1"/>
  <c r="G8" i="68" l="1"/>
  <c r="D6" i="70" s="1"/>
  <c r="E6" i="70" s="1"/>
  <c r="G6" i="68"/>
  <c r="D4" i="70" s="1"/>
  <c r="E4" i="70" s="1"/>
  <c r="G7" i="68"/>
  <c r="D5" i="70" s="1"/>
  <c r="E5" i="70" s="1"/>
  <c r="G5" i="68"/>
  <c r="D3" i="70" s="1"/>
  <c r="E3" i="70" s="1"/>
  <c r="G4" i="68"/>
  <c r="D2" i="70" s="1"/>
  <c r="E2" i="70" s="1"/>
  <c r="F8" i="62"/>
  <c r="F9" i="62" s="1"/>
  <c r="F10" i="62" s="1"/>
  <c r="F11" i="62" s="1"/>
  <c r="F12" i="62" s="1"/>
  <c r="F13" i="62" s="1"/>
  <c r="F14" i="62" s="1"/>
  <c r="F15" i="62" s="1"/>
  <c r="F16" i="62" s="1"/>
  <c r="F17" i="62" s="1"/>
  <c r="F18" i="62" s="1"/>
  <c r="F19" i="62" s="1"/>
  <c r="F20" i="62" s="1"/>
  <c r="F21" i="62" s="1"/>
  <c r="F22" i="62" s="1"/>
  <c r="Z11" i="61"/>
  <c r="G11" i="61" s="1"/>
  <c r="Z7" i="61"/>
  <c r="G7" i="61" s="1"/>
  <c r="J4" i="64" a="1"/>
  <c r="J4" i="64" s="1"/>
  <c r="Y12" i="61"/>
  <c r="Z6" i="61" s="1"/>
  <c r="G6" i="61" s="1"/>
  <c r="Z4" i="61"/>
  <c r="G4" i="61" s="1"/>
  <c r="K7" i="63"/>
  <c r="Z9" i="61"/>
  <c r="G9" i="61" s="1"/>
  <c r="F6" i="62"/>
  <c r="F7" i="62" s="1"/>
  <c r="Z8" i="61"/>
  <c r="G8" i="61" s="1"/>
  <c r="M6" i="61" l="1"/>
  <c r="K6" i="61"/>
  <c r="I6" i="61"/>
  <c r="E6" i="61"/>
  <c r="M9" i="61"/>
  <c r="I9" i="61"/>
  <c r="K9" i="61"/>
  <c r="K4" i="64"/>
  <c r="D38" i="65" s="1"/>
  <c r="C38" i="65" s="1"/>
  <c r="L7" i="63"/>
  <c r="M7" i="61"/>
  <c r="K7" i="61"/>
  <c r="I7" i="61"/>
  <c r="E7" i="61"/>
  <c r="M4" i="61"/>
  <c r="K4" i="61"/>
  <c r="I4" i="61"/>
  <c r="K8" i="61"/>
  <c r="E8" i="61"/>
  <c r="I8" i="61"/>
  <c r="M8" i="61"/>
  <c r="J9" i="64"/>
  <c r="Z10" i="61"/>
  <c r="G10" i="61" s="1"/>
  <c r="M11" i="61"/>
  <c r="K11" i="61"/>
  <c r="I11" i="61"/>
  <c r="E11" i="61"/>
  <c r="Z5" i="61"/>
  <c r="G5" i="61" s="1"/>
  <c r="M7" i="63" l="1"/>
  <c r="K10" i="61"/>
  <c r="I10" i="61"/>
  <c r="E10" i="61"/>
  <c r="M10" i="61"/>
  <c r="K30" i="61"/>
  <c r="K8" i="64"/>
  <c r="D42" i="65" s="1"/>
  <c r="C42" i="65" s="1"/>
  <c r="K7" i="64"/>
  <c r="D41" i="65" s="1"/>
  <c r="C41" i="65" s="1"/>
  <c r="K6" i="64"/>
  <c r="D40" i="65" s="1"/>
  <c r="C40" i="65" s="1"/>
  <c r="K5" i="64"/>
  <c r="D39" i="65" s="1"/>
  <c r="C39" i="65" s="1"/>
  <c r="K3" i="64"/>
  <c r="D37" i="65" s="1"/>
  <c r="C37" i="65" s="1"/>
  <c r="M5" i="61"/>
  <c r="M30" i="61" s="1"/>
  <c r="M31" i="61" s="1"/>
  <c r="K5" i="61"/>
  <c r="I5" i="61"/>
  <c r="I30" i="61" s="1"/>
  <c r="E4" i="61"/>
  <c r="L31" i="61" l="1"/>
  <c r="J31" i="61"/>
  <c r="I31" i="61"/>
  <c r="K31" i="61"/>
  <c r="N7" i="63"/>
  <c r="O7" i="63" l="1"/>
  <c r="P7" i="63" l="1"/>
  <c r="Q7" i="63" l="1"/>
  <c r="R7" i="63" l="1"/>
  <c r="S7" i="63" l="1"/>
  <c r="T7" i="63" l="1"/>
  <c r="U7" i="63" l="1"/>
  <c r="V7" i="63" l="1"/>
  <c r="W7" i="63" l="1"/>
  <c r="X7" i="63" l="1"/>
  <c r="Y7" i="63" l="1"/>
  <c r="Z7" i="63" l="1"/>
  <c r="AA7" i="63" l="1"/>
  <c r="AB7" i="63" l="1"/>
  <c r="AC7" i="63" l="1"/>
  <c r="AD7" i="63" l="1"/>
  <c r="AE7" i="63" l="1"/>
  <c r="AF7" i="63" l="1"/>
  <c r="AG7" i="63" l="1"/>
  <c r="AH7" i="63" l="1"/>
  <c r="AI7" i="63" l="1"/>
  <c r="AJ7" i="63" l="1"/>
  <c r="AK7" i="63" l="1"/>
  <c r="AL7" i="63" l="1"/>
  <c r="AM7" i="63" l="1"/>
  <c r="AN7" i="63" l="1"/>
  <c r="AO7" i="63" l="1"/>
  <c r="AP7" i="63" l="1"/>
  <c r="AQ7" i="63" l="1"/>
  <c r="AR7" i="63" l="1"/>
  <c r="AS7" i="63" l="1"/>
  <c r="AT7" i="63" l="1"/>
  <c r="AU7" i="63" l="1"/>
  <c r="AV7" i="63" l="1"/>
  <c r="AW7" i="63" l="1"/>
  <c r="AX7" i="63" l="1"/>
  <c r="AY7" i="63" l="1"/>
  <c r="AZ7" i="63" l="1"/>
  <c r="BA7" i="63" l="1"/>
  <c r="BB7" i="63" l="1"/>
  <c r="BC7" i="63" l="1"/>
  <c r="BD7" i="63" l="1"/>
  <c r="BE7" i="63" l="1"/>
  <c r="BF7" i="63" l="1"/>
  <c r="BG7" i="63" l="1"/>
  <c r="BH7" i="63" l="1"/>
  <c r="BI7" i="63" l="1"/>
  <c r="BJ7" i="63" l="1"/>
  <c r="BK7" i="63" l="1"/>
  <c r="BL7" i="63" l="1"/>
  <c r="BM7" i="63" l="1"/>
  <c r="BN7" i="63" l="1"/>
  <c r="BO7" i="63" l="1"/>
  <c r="BP7" i="63" l="1"/>
  <c r="BQ7" i="63" l="1"/>
  <c r="BR7" i="63" l="1"/>
  <c r="BS7" i="63" l="1"/>
  <c r="BT7" i="63" l="1"/>
  <c r="BU7" i="63" l="1"/>
  <c r="BV7" i="63" l="1"/>
  <c r="BW7" i="63" l="1"/>
  <c r="BX7" i="63" l="1"/>
  <c r="BY7" i="63" l="1"/>
  <c r="BZ7" i="63" l="1"/>
  <c r="CA7" i="63" l="1"/>
  <c r="CB7" i="63" l="1"/>
  <c r="CC7" i="63" l="1"/>
  <c r="CD7" i="63" l="1"/>
  <c r="CE7" i="63" l="1"/>
  <c r="CF7" i="63" l="1"/>
  <c r="CG7" i="63" l="1"/>
  <c r="CH7" i="63" l="1"/>
  <c r="O16" i="29" l="1" a="1"/>
  <c r="O16" i="29" s="1"/>
  <c r="B4" i="29" l="1" a="1"/>
  <c r="B4" i="29" s="1"/>
  <c r="X4" i="29" l="1" a="1"/>
  <c r="X4" i="29" s="1"/>
  <c r="L4" i="29" a="1"/>
  <c r="L4" i="29" s="1"/>
  <c r="W4" i="29" a="1"/>
  <c r="W4" i="29" s="1"/>
  <c r="I4" i="29" a="1"/>
  <c r="I4" i="29" s="1"/>
  <c r="Z4" i="29" a="1"/>
  <c r="Z4" i="29" s="1"/>
  <c r="D4" i="29" a="1"/>
  <c r="D4" i="29" s="1"/>
  <c r="Y4" i="29" a="1"/>
  <c r="Y4" i="29" s="1"/>
  <c r="M4" i="29" a="1"/>
  <c r="M4" i="29" s="1"/>
  <c r="V4" i="29" a="1"/>
  <c r="V4" i="29" s="1"/>
  <c r="U4" i="29" a="1"/>
  <c r="U4" i="29" s="1"/>
  <c r="H4" i="29" a="1"/>
  <c r="H4" i="29" s="1"/>
  <c r="T4" i="29" a="1"/>
  <c r="T4" i="29" s="1"/>
  <c r="E4" i="29" a="1"/>
  <c r="E4" i="29" s="1"/>
  <c r="AA4" i="29" a="1"/>
  <c r="AA4" i="29" s="1"/>
  <c r="Q4" i="29" a="1"/>
  <c r="Q4" i="29" s="1"/>
  <c r="P4" i="29" a="1"/>
  <c r="P4" i="29" s="1"/>
  <c r="S4" i="29" a="1"/>
  <c r="S4" i="29" s="1"/>
  <c r="O4" i="29" a="1"/>
  <c r="O4" i="29" s="1"/>
  <c r="K4" i="29" a="1"/>
  <c r="K4" i="29" s="1"/>
  <c r="G4" i="29" a="1"/>
  <c r="G4" i="29" s="1"/>
  <c r="C4" i="29" a="1"/>
  <c r="C4" i="29" s="1"/>
  <c r="R4" i="29" a="1"/>
  <c r="R4" i="29" s="1"/>
  <c r="N4" i="29" a="1"/>
  <c r="N4" i="29" s="1"/>
  <c r="J4" i="29" a="1"/>
  <c r="J4" i="29" s="1"/>
  <c r="F4" i="29" a="1"/>
  <c r="F4" i="29" s="1"/>
  <c r="G3" i="29" l="1" a="1"/>
  <c r="G3" i="29" s="1"/>
  <c r="G12" i="29" a="1"/>
  <c r="G12" i="29" s="1"/>
  <c r="G15" i="29" a="1"/>
  <c r="G15" i="29" s="1"/>
  <c r="F16" i="29" a="1"/>
  <c r="F16" i="29" s="1"/>
  <c r="G13" i="29" a="1"/>
  <c r="G13" i="29" s="1"/>
  <c r="I5" i="29" a="1"/>
  <c r="I5" i="29" s="1"/>
  <c r="K6" i="29" a="1"/>
  <c r="K6" i="29" s="1"/>
  <c r="M7" i="29" a="1"/>
  <c r="M7" i="29" s="1"/>
  <c r="G14" i="29" a="1"/>
  <c r="G14" i="29" s="1"/>
  <c r="I9" i="29" a="1"/>
  <c r="I9" i="29" s="1"/>
  <c r="K8" i="29" a="1"/>
  <c r="K8" i="29" s="1"/>
  <c r="M18" i="29" a="1"/>
  <c r="M18" i="29" s="1"/>
  <c r="G11" i="29" a="1"/>
  <c r="G11" i="29" s="1"/>
  <c r="F17" i="29" a="1"/>
  <c r="F17" i="29" s="1"/>
  <c r="G10" i="29" l="1" a="1"/>
  <c r="G10" i="29" s="1"/>
  <c r="C10" i="29" a="1"/>
  <c r="C10" i="29" s="1"/>
  <c r="N14" i="29" a="1"/>
  <c r="N14" i="29" s="1"/>
  <c r="V11" i="29" a="1"/>
  <c r="V11" i="29" s="1"/>
  <c r="F14" i="29" a="1"/>
  <c r="F14" i="29" s="1"/>
  <c r="Z18" i="29" a="1"/>
  <c r="Z18" i="29" s="1"/>
  <c r="Z6" i="29" a="1"/>
  <c r="Z6" i="29" s="1"/>
  <c r="T18" i="29" a="1"/>
  <c r="T18" i="29" s="1"/>
  <c r="Y6" i="29" a="1"/>
  <c r="Y6" i="29" s="1"/>
  <c r="Y8" i="29" a="1"/>
  <c r="Y8" i="29" s="1"/>
  <c r="X6" i="29" a="1"/>
  <c r="X6" i="29" s="1"/>
  <c r="X8" i="29" a="1"/>
  <c r="X8" i="29" s="1"/>
  <c r="H6" i="29" a="1"/>
  <c r="H6" i="29" s="1"/>
  <c r="Z3" i="29" a="1"/>
  <c r="Z3" i="29" s="1"/>
  <c r="R8" i="29" a="1"/>
  <c r="R8" i="29" s="1"/>
  <c r="AA16" i="29" a="1"/>
  <c r="AA16" i="29" s="1"/>
  <c r="T3" i="29" a="1"/>
  <c r="T3" i="29" s="1"/>
  <c r="B8" i="29" a="1"/>
  <c r="B8" i="29" s="1"/>
  <c r="V14" i="29" a="1"/>
  <c r="V14" i="29" s="1"/>
  <c r="J16" i="29" a="1"/>
  <c r="J16" i="29" s="1"/>
  <c r="S3" i="29" a="1"/>
  <c r="S3" i="29" s="1"/>
  <c r="G5" i="29" a="1"/>
  <c r="G5" i="29" s="1"/>
  <c r="F13" i="29" a="1"/>
  <c r="F13" i="29" s="1"/>
  <c r="AA17" i="29" a="1"/>
  <c r="AA17" i="29" s="1"/>
  <c r="C13" i="29" a="1"/>
  <c r="C13" i="29" s="1"/>
  <c r="U11" i="29" a="1"/>
  <c r="U11" i="29" s="1"/>
  <c r="Z17" i="29" a="1"/>
  <c r="Z17" i="29" s="1"/>
  <c r="X5" i="29" a="1"/>
  <c r="X5" i="29" s="1"/>
  <c r="F5" i="29" a="1"/>
  <c r="F5" i="29" s="1"/>
  <c r="U17" i="29" a="1"/>
  <c r="U17" i="29" s="1"/>
  <c r="W5" i="29" a="1"/>
  <c r="W5" i="29" s="1"/>
  <c r="V13" i="29" a="1"/>
  <c r="V13" i="29" s="1"/>
  <c r="Z16" i="29" a="1"/>
  <c r="Z16" i="29" s="1"/>
  <c r="E18" i="29" a="1"/>
  <c r="E18" i="29" s="1"/>
  <c r="N11" i="29" a="1"/>
  <c r="N11" i="29" s="1"/>
  <c r="R18" i="29" a="1"/>
  <c r="R18" i="29" s="1"/>
  <c r="Q8" i="29" a="1"/>
  <c r="Q8" i="29" s="1"/>
  <c r="AA7" i="29" a="1"/>
  <c r="AA7" i="29" s="1"/>
  <c r="R6" i="29" a="1"/>
  <c r="R6" i="29" s="1"/>
  <c r="V5" i="29" a="1"/>
  <c r="V5" i="29" s="1"/>
  <c r="U13" i="29" a="1"/>
  <c r="U13" i="29" s="1"/>
  <c r="T16" i="29" a="1"/>
  <c r="T16" i="29" s="1"/>
  <c r="R3" i="29" a="1"/>
  <c r="R3" i="29" s="1"/>
  <c r="T17" i="29" a="1"/>
  <c r="T17" i="29" s="1"/>
  <c r="E5" i="29" a="1"/>
  <c r="E5" i="29" s="1"/>
  <c r="D18" i="29" a="1"/>
  <c r="D18" i="29" s="1"/>
  <c r="E10" i="29" a="1"/>
  <c r="E10" i="29" s="1"/>
  <c r="M11" i="29" a="1"/>
  <c r="M11" i="29" s="1"/>
  <c r="L18" i="29" a="1"/>
  <c r="L18" i="29" s="1"/>
  <c r="P8" i="29" a="1"/>
  <c r="P8" i="29" s="1"/>
  <c r="T7" i="29" a="1"/>
  <c r="T7" i="29" s="1"/>
  <c r="Q6" i="29" a="1"/>
  <c r="Q6" i="29" s="1"/>
  <c r="P5" i="29" a="1"/>
  <c r="P5" i="29" s="1"/>
  <c r="T13" i="29" a="1"/>
  <c r="T13" i="29" s="1"/>
  <c r="S16" i="29" a="1"/>
  <c r="S16" i="29" s="1"/>
  <c r="T10" i="29" a="1"/>
  <c r="T10" i="29" s="1"/>
  <c r="M3" i="29" a="1"/>
  <c r="M3" i="29" s="1"/>
  <c r="S17" i="29" a="1"/>
  <c r="S17" i="29" s="1"/>
  <c r="C18" i="29" a="1"/>
  <c r="C18" i="29" s="1"/>
  <c r="E17" i="29" a="1"/>
  <c r="E17" i="29" s="1"/>
  <c r="L11" i="29" a="1"/>
  <c r="L11" i="29" s="1"/>
  <c r="K18" i="29" a="1"/>
  <c r="K18" i="29" s="1"/>
  <c r="J8" i="29" a="1"/>
  <c r="J8" i="29" s="1"/>
  <c r="S7" i="29" a="1"/>
  <c r="S7" i="29" s="1"/>
  <c r="P6" i="29" a="1"/>
  <c r="P6" i="29" s="1"/>
  <c r="O5" i="29" a="1"/>
  <c r="O5" i="29" s="1"/>
  <c r="N13" i="29" a="1"/>
  <c r="N13" i="29" s="1"/>
  <c r="R16" i="29" a="1"/>
  <c r="R16" i="29" s="1"/>
  <c r="M10" i="29" a="1"/>
  <c r="M10" i="29" s="1"/>
  <c r="L3" i="29" a="1"/>
  <c r="L3" i="29" s="1"/>
  <c r="M17" i="29" a="1"/>
  <c r="M17" i="29" s="1"/>
  <c r="D6" i="29" a="1"/>
  <c r="D6" i="29" s="1"/>
  <c r="D17" i="29" a="1"/>
  <c r="D17" i="29" s="1"/>
  <c r="F11" i="29" a="1"/>
  <c r="F11" i="29" s="1"/>
  <c r="J18" i="29" a="1"/>
  <c r="J18" i="29" s="1"/>
  <c r="I8" i="29" a="1"/>
  <c r="I8" i="29" s="1"/>
  <c r="L7" i="29" a="1"/>
  <c r="L7" i="29" s="1"/>
  <c r="J6" i="29" a="1"/>
  <c r="J6" i="29" s="1"/>
  <c r="N5" i="29" a="1"/>
  <c r="N5" i="29" s="1"/>
  <c r="M13" i="29" a="1"/>
  <c r="M13" i="29" s="1"/>
  <c r="L16" i="29" a="1"/>
  <c r="L16" i="29" s="1"/>
  <c r="F10" i="29" a="1"/>
  <c r="F10" i="29" s="1"/>
  <c r="K3" i="29" a="1"/>
  <c r="K3" i="29" s="1"/>
  <c r="L17" i="29" a="1"/>
  <c r="L17" i="29" s="1"/>
  <c r="E16" i="29" a="1"/>
  <c r="E16" i="29" s="1"/>
  <c r="T11" i="29" a="1"/>
  <c r="T11" i="29" s="1"/>
  <c r="S18" i="29" a="1"/>
  <c r="S18" i="29" s="1"/>
  <c r="C6" i="29" a="1"/>
  <c r="C6" i="29" s="1"/>
  <c r="C17" i="29" a="1"/>
  <c r="C17" i="29" s="1"/>
  <c r="AA18" i="29" a="1"/>
  <c r="AA18" i="29" s="1"/>
  <c r="Z8" i="29" a="1"/>
  <c r="Z8" i="29" s="1"/>
  <c r="H8" i="29" a="1"/>
  <c r="H8" i="29" s="1"/>
  <c r="K7" i="29" a="1"/>
  <c r="K7" i="29" s="1"/>
  <c r="I6" i="29" a="1"/>
  <c r="I6" i="29" s="1"/>
  <c r="H5" i="29" a="1"/>
  <c r="H5" i="29" s="1"/>
  <c r="L13" i="29" a="1"/>
  <c r="L13" i="29" s="1"/>
  <c r="K16" i="29" a="1"/>
  <c r="K16" i="29" s="1"/>
  <c r="AA3" i="29" a="1"/>
  <c r="AA3" i="29" s="1"/>
  <c r="F3" i="29" a="1"/>
  <c r="F3" i="29" s="1"/>
  <c r="K17" i="29" a="1"/>
  <c r="K17" i="29" s="1"/>
  <c r="C9" i="29" a="1"/>
  <c r="C9" i="29" s="1"/>
  <c r="U15" i="29" a="1"/>
  <c r="U15" i="29" s="1"/>
  <c r="F15" i="29" a="1"/>
  <c r="F15" i="29" s="1"/>
  <c r="U12" i="29" a="1"/>
  <c r="U12" i="29" s="1"/>
  <c r="N12" i="29" a="1"/>
  <c r="N12" i="29" s="1"/>
  <c r="F12" i="29" a="1"/>
  <c r="F12" i="29" s="1"/>
  <c r="E15" i="29" a="1"/>
  <c r="E15" i="29" s="1"/>
  <c r="T15" i="29" a="1"/>
  <c r="T15" i="29" s="1"/>
  <c r="M15" i="29" a="1"/>
  <c r="M15" i="29" s="1"/>
  <c r="T12" i="29" a="1"/>
  <c r="T12" i="29" s="1"/>
  <c r="M12" i="29" a="1"/>
  <c r="M12" i="29" s="1"/>
  <c r="AA10" i="29" a="1"/>
  <c r="AA10" i="29" s="1"/>
  <c r="S10" i="29" a="1"/>
  <c r="S10" i="29" s="1"/>
  <c r="L10" i="29" a="1"/>
  <c r="L10" i="29" s="1"/>
  <c r="D15" i="29" a="1"/>
  <c r="D15" i="29" s="1"/>
  <c r="D10" i="29" a="1"/>
  <c r="D10" i="29" s="1"/>
  <c r="B9" i="29" a="1"/>
  <c r="B9" i="29" s="1"/>
  <c r="B15" i="29" a="1"/>
  <c r="B15" i="29" s="1"/>
  <c r="B14" i="29" a="1"/>
  <c r="B14" i="29" s="1"/>
  <c r="B12" i="29" a="1"/>
  <c r="B12" i="29" s="1"/>
  <c r="B7" i="29" a="1"/>
  <c r="B7" i="29" s="1"/>
  <c r="B10" i="29" a="1"/>
  <c r="B10" i="29" s="1"/>
  <c r="E8" i="29" a="1"/>
  <c r="E8" i="29" s="1"/>
  <c r="C14" i="29" a="1"/>
  <c r="C14" i="29" s="1"/>
  <c r="D5" i="29" a="1"/>
  <c r="D5" i="29" s="1"/>
  <c r="D16" i="29" a="1"/>
  <c r="D16" i="29" s="1"/>
  <c r="C15" i="29" a="1"/>
  <c r="C15" i="29" s="1"/>
  <c r="AA11" i="29" a="1"/>
  <c r="AA11" i="29" s="1"/>
  <c r="S11" i="29" a="1"/>
  <c r="S11" i="29" s="1"/>
  <c r="K11" i="29" a="1"/>
  <c r="K11" i="29" s="1"/>
  <c r="Y18" i="29" a="1"/>
  <c r="Y18" i="29" s="1"/>
  <c r="Q18" i="29" a="1"/>
  <c r="Q18" i="29" s="1"/>
  <c r="I18" i="29" a="1"/>
  <c r="I18" i="29" s="1"/>
  <c r="W8" i="29" a="1"/>
  <c r="W8" i="29" s="1"/>
  <c r="O8" i="29" a="1"/>
  <c r="O8" i="29" s="1"/>
  <c r="G8" i="29" a="1"/>
  <c r="G8" i="29" s="1"/>
  <c r="U9" i="29" a="1"/>
  <c r="U9" i="29" s="1"/>
  <c r="M9" i="29" a="1"/>
  <c r="M9" i="29" s="1"/>
  <c r="AA14" i="29" a="1"/>
  <c r="AA14" i="29" s="1"/>
  <c r="S14" i="29" a="1"/>
  <c r="S14" i="29" s="1"/>
  <c r="K14" i="29" a="1"/>
  <c r="K14" i="29" s="1"/>
  <c r="Y7" i="29" a="1"/>
  <c r="Y7" i="29" s="1"/>
  <c r="Q7" i="29" a="1"/>
  <c r="Q7" i="29" s="1"/>
  <c r="I7" i="29" a="1"/>
  <c r="I7" i="29" s="1"/>
  <c r="W6" i="29" a="1"/>
  <c r="W6" i="29" s="1"/>
  <c r="O6" i="29" a="1"/>
  <c r="O6" i="29" s="1"/>
  <c r="G6" i="29" a="1"/>
  <c r="G6" i="29" s="1"/>
  <c r="U5" i="29" a="1"/>
  <c r="U5" i="29" s="1"/>
  <c r="M5" i="29" a="1"/>
  <c r="M5" i="29" s="1"/>
  <c r="AA13" i="29" a="1"/>
  <c r="AA13" i="29" s="1"/>
  <c r="S13" i="29" a="1"/>
  <c r="S13" i="29" s="1"/>
  <c r="K13" i="29" a="1"/>
  <c r="K13" i="29" s="1"/>
  <c r="Y16" i="29" a="1"/>
  <c r="Y16" i="29" s="1"/>
  <c r="Q16" i="29" a="1"/>
  <c r="Q16" i="29" s="1"/>
  <c r="I16" i="29" a="1"/>
  <c r="I16" i="29" s="1"/>
  <c r="Z15" i="29" a="1"/>
  <c r="Z15" i="29" s="1"/>
  <c r="R15" i="29" a="1"/>
  <c r="R15" i="29" s="1"/>
  <c r="K15" i="29" a="1"/>
  <c r="K15" i="29" s="1"/>
  <c r="Z12" i="29" a="1"/>
  <c r="Z12" i="29" s="1"/>
  <c r="S12" i="29" a="1"/>
  <c r="S12" i="29" s="1"/>
  <c r="K12" i="29" a="1"/>
  <c r="K12" i="29" s="1"/>
  <c r="Y10" i="29" a="1"/>
  <c r="Y10" i="29" s="1"/>
  <c r="J10" i="29" a="1"/>
  <c r="J10" i="29" s="1"/>
  <c r="Y3" i="29" a="1"/>
  <c r="Y3" i="29" s="1"/>
  <c r="Q3" i="29" a="1"/>
  <c r="Q3" i="29" s="1"/>
  <c r="J3" i="29" a="1"/>
  <c r="J3" i="29" s="1"/>
  <c r="Y17" i="29" a="1"/>
  <c r="Y17" i="29" s="1"/>
  <c r="R17" i="29" a="1"/>
  <c r="R17" i="29" s="1"/>
  <c r="J17" i="29" a="1"/>
  <c r="J17" i="29" s="1"/>
  <c r="W9" i="29" a="1"/>
  <c r="W9" i="29" s="1"/>
  <c r="O9" i="29" a="1"/>
  <c r="O9" i="29" s="1"/>
  <c r="G9" i="29" a="1"/>
  <c r="G9" i="29" s="1"/>
  <c r="U14" i="29" a="1"/>
  <c r="U14" i="29" s="1"/>
  <c r="M14" i="29" a="1"/>
  <c r="M14" i="29" s="1"/>
  <c r="B6" i="29" a="1"/>
  <c r="B6" i="29" s="1"/>
  <c r="B3" i="29" a="1"/>
  <c r="B3" i="29" s="1"/>
  <c r="D8" i="29" a="1"/>
  <c r="D8" i="29" s="1"/>
  <c r="E7" i="29" a="1"/>
  <c r="E7" i="29" s="1"/>
  <c r="C5" i="29" a="1"/>
  <c r="C5" i="29" s="1"/>
  <c r="C16" i="29" a="1"/>
  <c r="C16" i="29" s="1"/>
  <c r="E3" i="29" a="1"/>
  <c r="E3" i="29" s="1"/>
  <c r="Z11" i="29" a="1"/>
  <c r="Z11" i="29" s="1"/>
  <c r="R11" i="29" a="1"/>
  <c r="R11" i="29" s="1"/>
  <c r="J11" i="29" a="1"/>
  <c r="J11" i="29" s="1"/>
  <c r="X18" i="29" a="1"/>
  <c r="X18" i="29" s="1"/>
  <c r="P18" i="29" a="1"/>
  <c r="P18" i="29" s="1"/>
  <c r="H18" i="29" a="1"/>
  <c r="H18" i="29" s="1"/>
  <c r="V8" i="29" a="1"/>
  <c r="V8" i="29" s="1"/>
  <c r="N8" i="29" a="1"/>
  <c r="N8" i="29" s="1"/>
  <c r="F8" i="29" a="1"/>
  <c r="F8" i="29" s="1"/>
  <c r="T9" i="29" a="1"/>
  <c r="T9" i="29" s="1"/>
  <c r="L9" i="29" a="1"/>
  <c r="L9" i="29" s="1"/>
  <c r="Z14" i="29" a="1"/>
  <c r="Z14" i="29" s="1"/>
  <c r="R14" i="29" a="1"/>
  <c r="R14" i="29" s="1"/>
  <c r="J14" i="29" a="1"/>
  <c r="J14" i="29" s="1"/>
  <c r="X7" i="29" a="1"/>
  <c r="X7" i="29" s="1"/>
  <c r="P7" i="29" a="1"/>
  <c r="P7" i="29" s="1"/>
  <c r="H7" i="29" a="1"/>
  <c r="H7" i="29" s="1"/>
  <c r="V6" i="29" a="1"/>
  <c r="V6" i="29" s="1"/>
  <c r="N6" i="29" a="1"/>
  <c r="N6" i="29" s="1"/>
  <c r="F6" i="29" a="1"/>
  <c r="F6" i="29" s="1"/>
  <c r="T5" i="29" a="1"/>
  <c r="T5" i="29" s="1"/>
  <c r="L5" i="29" a="1"/>
  <c r="L5" i="29" s="1"/>
  <c r="Z13" i="29" a="1"/>
  <c r="Z13" i="29" s="1"/>
  <c r="R13" i="29" a="1"/>
  <c r="R13" i="29" s="1"/>
  <c r="J13" i="29" a="1"/>
  <c r="J13" i="29" s="1"/>
  <c r="X16" i="29" a="1"/>
  <c r="X16" i="29" s="1"/>
  <c r="P16" i="29" a="1"/>
  <c r="P16" i="29" s="1"/>
  <c r="Y15" i="29" a="1"/>
  <c r="Y15" i="29" s="1"/>
  <c r="Q15" i="29" a="1"/>
  <c r="Q15" i="29" s="1"/>
  <c r="J15" i="29" a="1"/>
  <c r="J15" i="29" s="1"/>
  <c r="Y12" i="29" a="1"/>
  <c r="Y12" i="29" s="1"/>
  <c r="R12" i="29" a="1"/>
  <c r="R12" i="29" s="1"/>
  <c r="J12" i="29" a="1"/>
  <c r="J12" i="29" s="1"/>
  <c r="X10" i="29" a="1"/>
  <c r="X10" i="29" s="1"/>
  <c r="Q10" i="29" a="1"/>
  <c r="Q10" i="29" s="1"/>
  <c r="X3" i="29" a="1"/>
  <c r="X3" i="29" s="1"/>
  <c r="P3" i="29" a="1"/>
  <c r="P3" i="29" s="1"/>
  <c r="I3" i="29" a="1"/>
  <c r="I3" i="29" s="1"/>
  <c r="X17" i="29" a="1"/>
  <c r="X17" i="29" s="1"/>
  <c r="Q17" i="29" a="1"/>
  <c r="Q17" i="29" s="1"/>
  <c r="I17" i="29" a="1"/>
  <c r="I17" i="29" s="1"/>
  <c r="E14" i="29" a="1"/>
  <c r="E14" i="29" s="1"/>
  <c r="D14" i="29" a="1"/>
  <c r="D14" i="29" s="1"/>
  <c r="AA15" i="29" a="1"/>
  <c r="AA15" i="29" s="1"/>
  <c r="S15" i="29" a="1"/>
  <c r="S15" i="29" s="1"/>
  <c r="L15" i="29" a="1"/>
  <c r="L15" i="29" s="1"/>
  <c r="AA12" i="29" a="1"/>
  <c r="AA12" i="29" s="1"/>
  <c r="L12" i="29" a="1"/>
  <c r="L12" i="29" s="1"/>
  <c r="Z10" i="29" a="1"/>
  <c r="Z10" i="29" s="1"/>
  <c r="R10" i="29" a="1"/>
  <c r="R10" i="29" s="1"/>
  <c r="K10" i="29" a="1"/>
  <c r="K10" i="29" s="1"/>
  <c r="B17" i="29" a="1"/>
  <c r="B17" i="29" s="1"/>
  <c r="B5" i="29" a="1"/>
  <c r="B5" i="29" s="1"/>
  <c r="E11" i="29" a="1"/>
  <c r="E11" i="29" s="1"/>
  <c r="C8" i="29" a="1"/>
  <c r="C8" i="29" s="1"/>
  <c r="D7" i="29" a="1"/>
  <c r="D7" i="29" s="1"/>
  <c r="E12" i="29" a="1"/>
  <c r="E12" i="29" s="1"/>
  <c r="D3" i="29" a="1"/>
  <c r="D3" i="29" s="1"/>
  <c r="Y11" i="29" a="1"/>
  <c r="Y11" i="29" s="1"/>
  <c r="Q11" i="29" a="1"/>
  <c r="Q11" i="29" s="1"/>
  <c r="I11" i="29" a="1"/>
  <c r="I11" i="29" s="1"/>
  <c r="W18" i="29" a="1"/>
  <c r="W18" i="29" s="1"/>
  <c r="O18" i="29" a="1"/>
  <c r="O18" i="29" s="1"/>
  <c r="G18" i="29" a="1"/>
  <c r="G18" i="29" s="1"/>
  <c r="U8" i="29" a="1"/>
  <c r="U8" i="29" s="1"/>
  <c r="M8" i="29" a="1"/>
  <c r="M8" i="29" s="1"/>
  <c r="AA9" i="29" a="1"/>
  <c r="AA9" i="29" s="1"/>
  <c r="S9" i="29" a="1"/>
  <c r="S9" i="29" s="1"/>
  <c r="K9" i="29" a="1"/>
  <c r="K9" i="29" s="1"/>
  <c r="Y14" i="29" a="1"/>
  <c r="Y14" i="29" s="1"/>
  <c r="Q14" i="29" a="1"/>
  <c r="Q14" i="29" s="1"/>
  <c r="I14" i="29" a="1"/>
  <c r="I14" i="29" s="1"/>
  <c r="W7" i="29" a="1"/>
  <c r="W7" i="29" s="1"/>
  <c r="O7" i="29" a="1"/>
  <c r="O7" i="29" s="1"/>
  <c r="G7" i="29" a="1"/>
  <c r="G7" i="29" s="1"/>
  <c r="U6" i="29" a="1"/>
  <c r="U6" i="29" s="1"/>
  <c r="M6" i="29" a="1"/>
  <c r="M6" i="29" s="1"/>
  <c r="AA5" i="29" a="1"/>
  <c r="AA5" i="29" s="1"/>
  <c r="S5" i="29" a="1"/>
  <c r="S5" i="29" s="1"/>
  <c r="K5" i="29" a="1"/>
  <c r="K5" i="29" s="1"/>
  <c r="Y13" i="29" a="1"/>
  <c r="Y13" i="29" s="1"/>
  <c r="Q13" i="29" a="1"/>
  <c r="Q13" i="29" s="1"/>
  <c r="I13" i="29" a="1"/>
  <c r="I13" i="29" s="1"/>
  <c r="W16" i="29" a="1"/>
  <c r="W16" i="29" s="1"/>
  <c r="H16" i="29" a="1"/>
  <c r="H16" i="29" s="1"/>
  <c r="X15" i="29" a="1"/>
  <c r="X15" i="29" s="1"/>
  <c r="P15" i="29" a="1"/>
  <c r="P15" i="29" s="1"/>
  <c r="I15" i="29" a="1"/>
  <c r="I15" i="29" s="1"/>
  <c r="X12" i="29" a="1"/>
  <c r="X12" i="29" s="1"/>
  <c r="Q12" i="29" a="1"/>
  <c r="Q12" i="29" s="1"/>
  <c r="I12" i="29" a="1"/>
  <c r="I12" i="29" s="1"/>
  <c r="W10" i="29" a="1"/>
  <c r="W10" i="29" s="1"/>
  <c r="P10" i="29" a="1"/>
  <c r="P10" i="29" s="1"/>
  <c r="I10" i="29" a="1"/>
  <c r="I10" i="29" s="1"/>
  <c r="W3" i="29" a="1"/>
  <c r="W3" i="29" s="1"/>
  <c r="H3" i="29" a="1"/>
  <c r="H3" i="29" s="1"/>
  <c r="W17" i="29" a="1"/>
  <c r="W17" i="29" s="1"/>
  <c r="P17" i="29" a="1"/>
  <c r="P17" i="29" s="1"/>
  <c r="H17" i="29" a="1"/>
  <c r="H17" i="29" s="1"/>
  <c r="X9" i="29" a="1"/>
  <c r="X9" i="29" s="1"/>
  <c r="P9" i="29" a="1"/>
  <c r="P9" i="29" s="1"/>
  <c r="H9" i="29" a="1"/>
  <c r="H9" i="29" s="1"/>
  <c r="N9" i="29" a="1"/>
  <c r="N9" i="29" s="1"/>
  <c r="T14" i="29" a="1"/>
  <c r="T14" i="29" s="1"/>
  <c r="Z7" i="29" a="1"/>
  <c r="Z7" i="29" s="1"/>
  <c r="J7" i="29" a="1"/>
  <c r="J7" i="29" s="1"/>
  <c r="B11" i="29" a="1"/>
  <c r="B11" i="29" s="1"/>
  <c r="B13" i="29" a="1"/>
  <c r="B13" i="29" s="1"/>
  <c r="D11" i="29" a="1"/>
  <c r="D11" i="29" s="1"/>
  <c r="E9" i="29" a="1"/>
  <c r="E9" i="29" s="1"/>
  <c r="C7" i="29" a="1"/>
  <c r="C7" i="29" s="1"/>
  <c r="E13" i="29" a="1"/>
  <c r="E13" i="29" s="1"/>
  <c r="D12" i="29" a="1"/>
  <c r="D12" i="29" s="1"/>
  <c r="X11" i="29" a="1"/>
  <c r="X11" i="29" s="1"/>
  <c r="P11" i="29" a="1"/>
  <c r="P11" i="29" s="1"/>
  <c r="H11" i="29" a="1"/>
  <c r="H11" i="29" s="1"/>
  <c r="V18" i="29" a="1"/>
  <c r="V18" i="29" s="1"/>
  <c r="N18" i="29" a="1"/>
  <c r="N18" i="29" s="1"/>
  <c r="F18" i="29" a="1"/>
  <c r="F18" i="29" s="1"/>
  <c r="T8" i="29" a="1"/>
  <c r="T8" i="29" s="1"/>
  <c r="L8" i="29" a="1"/>
  <c r="L8" i="29" s="1"/>
  <c r="Z9" i="29" a="1"/>
  <c r="Z9" i="29" s="1"/>
  <c r="R9" i="29" a="1"/>
  <c r="R9" i="29" s="1"/>
  <c r="J9" i="29" a="1"/>
  <c r="J9" i="29" s="1"/>
  <c r="X14" i="29" a="1"/>
  <c r="X14" i="29" s="1"/>
  <c r="P14" i="29" a="1"/>
  <c r="P14" i="29" s="1"/>
  <c r="H14" i="29" a="1"/>
  <c r="H14" i="29" s="1"/>
  <c r="V7" i="29" a="1"/>
  <c r="V7" i="29" s="1"/>
  <c r="N7" i="29" a="1"/>
  <c r="N7" i="29" s="1"/>
  <c r="F7" i="29" a="1"/>
  <c r="F7" i="29" s="1"/>
  <c r="T6" i="29" a="1"/>
  <c r="T6" i="29" s="1"/>
  <c r="L6" i="29" a="1"/>
  <c r="L6" i="29" s="1"/>
  <c r="Z5" i="29" a="1"/>
  <c r="Z5" i="29" s="1"/>
  <c r="R5" i="29" a="1"/>
  <c r="R5" i="29" s="1"/>
  <c r="J5" i="29" a="1"/>
  <c r="J5" i="29" s="1"/>
  <c r="X13" i="29" a="1"/>
  <c r="X13" i="29" s="1"/>
  <c r="P13" i="29" a="1"/>
  <c r="P13" i="29" s="1"/>
  <c r="H13" i="29" a="1"/>
  <c r="H13" i="29" s="1"/>
  <c r="V16" i="29" a="1"/>
  <c r="V16" i="29" s="1"/>
  <c r="N16" i="29" a="1"/>
  <c r="N16" i="29" s="1"/>
  <c r="G16" i="29" a="1"/>
  <c r="G16" i="29" s="1"/>
  <c r="W15" i="29" a="1"/>
  <c r="W15" i="29" s="1"/>
  <c r="O15" i="29" a="1"/>
  <c r="O15" i="29" s="1"/>
  <c r="H15" i="29" a="1"/>
  <c r="H15" i="29" s="1"/>
  <c r="W12" i="29" a="1"/>
  <c r="W12" i="29" s="1"/>
  <c r="P12" i="29" a="1"/>
  <c r="P12" i="29" s="1"/>
  <c r="H12" i="29" a="1"/>
  <c r="H12" i="29" s="1"/>
  <c r="V10" i="29" a="1"/>
  <c r="V10" i="29" s="1"/>
  <c r="O10" i="29" a="1"/>
  <c r="O10" i="29" s="1"/>
  <c r="H10" i="29" a="1"/>
  <c r="H10" i="29" s="1"/>
  <c r="V3" i="29" a="1"/>
  <c r="V3" i="29" s="1"/>
  <c r="O3" i="29" a="1"/>
  <c r="O3" i="29" s="1"/>
  <c r="V17" i="29" a="1"/>
  <c r="V17" i="29" s="1"/>
  <c r="O17" i="29" a="1"/>
  <c r="O17" i="29" s="1"/>
  <c r="G17" i="29" a="1"/>
  <c r="G17" i="29" s="1"/>
  <c r="V9" i="29" a="1"/>
  <c r="V9" i="29" s="1"/>
  <c r="F9" i="29" a="1"/>
  <c r="F9" i="29" s="1"/>
  <c r="L14" i="29" a="1"/>
  <c r="L14" i="29" s="1"/>
  <c r="R7" i="29" a="1"/>
  <c r="R7" i="29" s="1"/>
  <c r="B18" i="29" a="1"/>
  <c r="B18" i="29" s="1"/>
  <c r="B16" i="29" a="1"/>
  <c r="B16" i="29" s="1"/>
  <c r="C11" i="29" a="1"/>
  <c r="C11" i="29" s="1"/>
  <c r="D9" i="29" a="1"/>
  <c r="D9" i="29" s="1"/>
  <c r="E6" i="29" a="1"/>
  <c r="E6" i="29" s="1"/>
  <c r="D13" i="29" a="1"/>
  <c r="D13" i="29" s="1"/>
  <c r="C12" i="29" a="1"/>
  <c r="C12" i="29" s="1"/>
  <c r="C3" i="29" a="1"/>
  <c r="C3" i="29" s="1"/>
  <c r="W11" i="29" a="1"/>
  <c r="W11" i="29" s="1"/>
  <c r="O11" i="29" a="1"/>
  <c r="O11" i="29" s="1"/>
  <c r="U18" i="29" a="1"/>
  <c r="U18" i="29" s="1"/>
  <c r="AA8" i="29" a="1"/>
  <c r="AA8" i="29" s="1"/>
  <c r="S8" i="29" a="1"/>
  <c r="S8" i="29" s="1"/>
  <c r="Y9" i="29" a="1"/>
  <c r="Y9" i="29" s="1"/>
  <c r="Q9" i="29" a="1"/>
  <c r="Q9" i="29" s="1"/>
  <c r="W14" i="29" a="1"/>
  <c r="W14" i="29" s="1"/>
  <c r="O14" i="29" a="1"/>
  <c r="O14" i="29" s="1"/>
  <c r="U7" i="29" a="1"/>
  <c r="U7" i="29" s="1"/>
  <c r="AA6" i="29" a="1"/>
  <c r="AA6" i="29" s="1"/>
  <c r="S6" i="29" a="1"/>
  <c r="S6" i="29" s="1"/>
  <c r="Y5" i="29" a="1"/>
  <c r="Y5" i="29" s="1"/>
  <c r="Q5" i="29" a="1"/>
  <c r="Q5" i="29" s="1"/>
  <c r="W13" i="29" a="1"/>
  <c r="W13" i="29" s="1"/>
  <c r="O13" i="29" a="1"/>
  <c r="O13" i="29" s="1"/>
  <c r="U16" i="29" a="1"/>
  <c r="U16" i="29" s="1"/>
  <c r="M16" i="29" a="1"/>
  <c r="M16" i="29" s="1"/>
  <c r="V15" i="29" a="1"/>
  <c r="V15" i="29" s="1"/>
  <c r="N15" i="29" a="1"/>
  <c r="N15" i="29" s="1"/>
  <c r="V12" i="29" a="1"/>
  <c r="V12" i="29" s="1"/>
  <c r="O12" i="29" a="1"/>
  <c r="O12" i="29" s="1"/>
  <c r="U10" i="29" a="1"/>
  <c r="U10" i="29" s="1"/>
  <c r="N10" i="29" a="1"/>
  <c r="N10" i="29" s="1"/>
  <c r="U3" i="29" a="1"/>
  <c r="U3" i="29" s="1"/>
  <c r="N3" i="29" a="1"/>
  <c r="N3" i="29" s="1"/>
  <c r="N17" i="29" a="1"/>
  <c r="N17" i="29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Microsoft Office User</author>
  </authors>
  <commentList>
    <comment ref="G1" authorId="0" shapeId="0" xr:uid="{B01EB30B-492E-C542-BE2E-39D5E8D3FF76}">
      <text>
        <r>
          <rPr>
            <i/>
            <sz val="10"/>
            <color rgb="FF000000"/>
            <rFont val="Calibri"/>
            <family val="2"/>
          </rPr>
          <t>ratio of the density of a substance to the density of water (normally dimensionless, but for fluids in kg/m3 possible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<sst xmlns="http://schemas.openxmlformats.org/spreadsheetml/2006/main" count="2699" uniqueCount="1002">
  <si>
    <t>#</t>
  </si>
  <si>
    <t>Option 1 Bremen</t>
  </si>
  <si>
    <t>Option 2 Munich</t>
  </si>
  <si>
    <t>Option 3 Berlin</t>
  </si>
  <si>
    <t>Criteria Category</t>
  </si>
  <si>
    <t>Overall Weight</t>
  </si>
  <si>
    <t>Criteria</t>
  </si>
  <si>
    <t>Individual Weight Wi</t>
  </si>
  <si>
    <t>Score</t>
  </si>
  <si>
    <t>Benefit Value</t>
  </si>
  <si>
    <t>Distance to suppliers, customers, distribution centers, customer services, etc.</t>
  </si>
  <si>
    <t>Communication possibilities (post offices, banks, associations, research institutes, etc.)</t>
  </si>
  <si>
    <t>Workforce</t>
  </si>
  <si>
    <t>Cost of living</t>
  </si>
  <si>
    <t>Position in the road network (highways, etc.)</t>
  </si>
  <si>
    <t>Taxes &amp; Subventions</t>
  </si>
  <si>
    <t>Position in railroad network (Container terminals, etc.)</t>
  </si>
  <si>
    <t>Property</t>
  </si>
  <si>
    <t>Energy supply</t>
  </si>
  <si>
    <t>Proximity to airports</t>
  </si>
  <si>
    <t>Number of the available workforce (population and growth rate of the community, etc.)</t>
  </si>
  <si>
    <t>Composition of the workforce: gender, managers, blue-collar workers, etc.</t>
  </si>
  <si>
    <t>Quality of the workforce: capabilities, work ethics in the community, etc.</t>
  </si>
  <si>
    <t>Level of Wages:  regular wages, extra payments, voluntary payments</t>
  </si>
  <si>
    <t>Working time: regular working hours, vacation, public holidays, shifts, etc.</t>
  </si>
  <si>
    <t>Housing (new apartments available? New construction necessary? Public support for housing?)</t>
  </si>
  <si>
    <t>Schools &amp; executive education: universities, technical schools, Education Centers, schools, etc.)</t>
  </si>
  <si>
    <t>Culture and recreation (theaters, concerts, parks and public gardens, etc.)</t>
  </si>
  <si>
    <t>Topology (flat, mountainous, etc.)</t>
  </si>
  <si>
    <t>Health system (physicians, hospitals, helath centers, etc.)</t>
  </si>
  <si>
    <t>Political and religious attitude of people in the community</t>
  </si>
  <si>
    <t>Climate</t>
  </si>
  <si>
    <t>Temperature</t>
  </si>
  <si>
    <t>Humidity</t>
  </si>
  <si>
    <t>Rain</t>
  </si>
  <si>
    <t>Pressure</t>
  </si>
  <si>
    <t>Business tax figures</t>
  </si>
  <si>
    <t>Property tax</t>
  </si>
  <si>
    <t>Financial power of the community</t>
  </si>
  <si>
    <t>Relevant subventions</t>
  </si>
  <si>
    <t>Restrictions</t>
  </si>
  <si>
    <t>Production bans over night</t>
  </si>
  <si>
    <t>Traffic restrictions</t>
  </si>
  <si>
    <t>Road network</t>
  </si>
  <si>
    <t>Road connections (type, condition, costs of building new roads, etc.)</t>
  </si>
  <si>
    <t>Train connections (position, distance from train stations, costs of establishment of new stations, etc.)</t>
  </si>
  <si>
    <t>Canal connection</t>
  </si>
  <si>
    <t>Own airfield</t>
  </si>
  <si>
    <t>Property size</t>
  </si>
  <si>
    <t xml:space="preserve">Property price </t>
  </si>
  <si>
    <t>Shape of the property</t>
  </si>
  <si>
    <t>Land structure and strength</t>
  </si>
  <si>
    <t>Orientation (cardinal points)</t>
  </si>
  <si>
    <t>Easements</t>
  </si>
  <si>
    <t>Construction regulations</t>
  </si>
  <si>
    <t>Previous use (disturbing or suitable buildings)</t>
  </si>
  <si>
    <t>Expansion possibilities</t>
  </si>
  <si>
    <t>Ground water level</t>
  </si>
  <si>
    <t>Flood risk</t>
  </si>
  <si>
    <t>Electricity connection (type, voltage and power, distance to utilities, etc.)</t>
  </si>
  <si>
    <t>Electricity price</t>
  </si>
  <si>
    <t>Gas connection (type: bio, regular; distance to utilities, etc.)</t>
  </si>
  <si>
    <t>Gas service price (per m3)</t>
  </si>
  <si>
    <t>Hot water, steam (connection to pipeline)</t>
  </si>
  <si>
    <t>Oil and coal</t>
  </si>
  <si>
    <t>Sewage</t>
  </si>
  <si>
    <t xml:space="preserve">Own sewage and waste water treatment necessary? </t>
  </si>
  <si>
    <t>Public sewage system, connection to sewage treatment, etc.</t>
  </si>
  <si>
    <t>Trash Disposal</t>
  </si>
  <si>
    <t xml:space="preserve">Own or public trash disposal, </t>
  </si>
  <si>
    <t>Cost of trash disposal</t>
  </si>
  <si>
    <t>Neighbor facilities</t>
  </si>
  <si>
    <t>Number and type of facilities</t>
  </si>
  <si>
    <t>Potential cooperation, disturbance, etc.</t>
  </si>
  <si>
    <t>Water supply</t>
  </si>
  <si>
    <t>Public network connection (type of connection, distance to utilities, etc.)</t>
  </si>
  <si>
    <t>Performance of the connection</t>
  </si>
  <si>
    <t>Water quality (hardness, average temperature, etc.)</t>
  </si>
  <si>
    <t>Service price</t>
  </si>
  <si>
    <t>Own water supply (well water)</t>
  </si>
  <si>
    <t>Possibility of well drillings</t>
  </si>
  <si>
    <t>Maximum amount of welll water</t>
  </si>
  <si>
    <t>Well water quality (hardness, average temperature, etc.)</t>
  </si>
  <si>
    <t>Category</t>
  </si>
  <si>
    <t>Order Placement</t>
  </si>
  <si>
    <t>Anonymous pre-manufacturing w/  customized finishing</t>
  </si>
  <si>
    <t>Make to stock</t>
  </si>
  <si>
    <t>Product spectrum</t>
  </si>
  <si>
    <t>Products according to customer specification</t>
  </si>
  <si>
    <t>Standardized products w/ customer specific versions</t>
  </si>
  <si>
    <t>Standard products w/ versions</t>
  </si>
  <si>
    <t>Standard products w/o versions</t>
  </si>
  <si>
    <t>Product structure</t>
  </si>
  <si>
    <t>Multi-part products w/ complex structure</t>
  </si>
  <si>
    <t>Multi-part products w/ simple structure</t>
  </si>
  <si>
    <t>Products w/ less parts</t>
  </si>
  <si>
    <t>Determination of Material Requirements</t>
  </si>
  <si>
    <t>Demand-based</t>
  </si>
  <si>
    <t>Order-based</t>
  </si>
  <si>
    <t>Anticipatory</t>
  </si>
  <si>
    <t>Consumption-based</t>
  </si>
  <si>
    <t>Determination of Dependent Requirements</t>
  </si>
  <si>
    <t>Order-based &amp; periodic</t>
  </si>
  <si>
    <t>periodic</t>
  </si>
  <si>
    <t>Procurement Type</t>
  </si>
  <si>
    <t>Extensive external procurement</t>
  </si>
  <si>
    <t>External procurment to a greater extent</t>
  </si>
  <si>
    <t>Insignificant external procurement</t>
  </si>
  <si>
    <t>Inventory</t>
  </si>
  <si>
    <t>none</t>
  </si>
  <si>
    <t>Inventory of items at lower structural levels</t>
  </si>
  <si>
    <t>Inventory of items at higher structural levels</t>
  </si>
  <si>
    <t>Inventory of products</t>
  </si>
  <si>
    <t>Production Type</t>
  </si>
  <si>
    <t>One-off production</t>
  </si>
  <si>
    <t>Small-batch production</t>
  </si>
  <si>
    <t>Series production</t>
  </si>
  <si>
    <t>Mass production</t>
  </si>
  <si>
    <t>Way of Manufacturing</t>
  </si>
  <si>
    <t>Job shop manufacturing</t>
  </si>
  <si>
    <t>Manufacturing cell</t>
  </si>
  <si>
    <t>Line manufacturing</t>
  </si>
  <si>
    <t>Flow manufacturing</t>
  </si>
  <si>
    <t>Way of Assembly</t>
  </si>
  <si>
    <t>On-site assembly</t>
  </si>
  <si>
    <t>Assembly cell</t>
  </si>
  <si>
    <t>Line assembly</t>
  </si>
  <si>
    <t>Flow assembly</t>
  </si>
  <si>
    <t>Structure of Manufacturing</t>
  </si>
  <si>
    <t>Manufacturing w/ a high degree of structuring</t>
  </si>
  <si>
    <t>Manufacturing w/ a medium degree of structuring</t>
  </si>
  <si>
    <t>Manufacturing w/ a low degree of structuring</t>
  </si>
  <si>
    <t>Change Requests</t>
  </si>
  <si>
    <t>Extensive</t>
  </si>
  <si>
    <t>Occasional</t>
  </si>
  <si>
    <t>insignificant</t>
  </si>
  <si>
    <t>Characteristics</t>
  </si>
  <si>
    <t>Attributes</t>
  </si>
  <si>
    <t>Manufacturing based on individual orders</t>
  </si>
  <si>
    <t>Manufacturing based on blanket orders</t>
  </si>
  <si>
    <t xml:space="preserve">Criteria </t>
  </si>
  <si>
    <t>Calculation the Individual Weights Wi</t>
  </si>
  <si>
    <t>Benefit-Value Table</t>
  </si>
  <si>
    <t>Facility #</t>
  </si>
  <si>
    <t>Profit Margin [€/item]</t>
  </si>
  <si>
    <t xml:space="preserve">Annual Quantity [item/a] </t>
  </si>
  <si>
    <t>Annual Profit Margin [€/a]</t>
  </si>
  <si>
    <t>Share 
[%]</t>
  </si>
  <si>
    <t>Cum. Share
[%]</t>
  </si>
  <si>
    <t>F03</t>
  </si>
  <si>
    <t>F04</t>
  </si>
  <si>
    <t>F06</t>
  </si>
  <si>
    <t>F09</t>
  </si>
  <si>
    <t>F01</t>
  </si>
  <si>
    <t>F02</t>
  </si>
  <si>
    <t>F05</t>
  </si>
  <si>
    <t>F08</t>
  </si>
  <si>
    <t>F10</t>
  </si>
  <si>
    <t>F19</t>
  </si>
  <si>
    <t>F18</t>
  </si>
  <si>
    <t>F17</t>
  </si>
  <si>
    <t>F16</t>
  </si>
  <si>
    <t>F15</t>
  </si>
  <si>
    <t>F14</t>
  </si>
  <si>
    <t>F13</t>
  </si>
  <si>
    <t>F12</t>
  </si>
  <si>
    <t>F11</t>
  </si>
  <si>
    <t>F07</t>
  </si>
  <si>
    <t>F20</t>
  </si>
  <si>
    <t>Normalized</t>
  </si>
  <si>
    <t>Item ID</t>
  </si>
  <si>
    <t>Item</t>
  </si>
  <si>
    <t>Annual Output</t>
  </si>
  <si>
    <t>Cum. Output</t>
  </si>
  <si>
    <t>Share [%]</t>
  </si>
  <si>
    <t>Cum. Share [%]</t>
  </si>
  <si>
    <t>I-010</t>
  </si>
  <si>
    <t>K-15-110</t>
  </si>
  <si>
    <t>I-004</t>
  </si>
  <si>
    <t>K-10-152</t>
  </si>
  <si>
    <t>I-037</t>
  </si>
  <si>
    <t>H-80-65-250-T3</t>
  </si>
  <si>
    <t>I-064</t>
  </si>
  <si>
    <t>S-23-200</t>
  </si>
  <si>
    <t>I-052</t>
  </si>
  <si>
    <t>S-10-300-T3</t>
  </si>
  <si>
    <t>I-068</t>
  </si>
  <si>
    <t>S-23-300</t>
  </si>
  <si>
    <t>I-053</t>
  </si>
  <si>
    <t>S-10-300-T6</t>
  </si>
  <si>
    <t>I-012</t>
  </si>
  <si>
    <t>K-17-250-T9</t>
  </si>
  <si>
    <t>I-066</t>
  </si>
  <si>
    <t>S-23-260</t>
  </si>
  <si>
    <t>I-069</t>
  </si>
  <si>
    <t>S-23-350</t>
  </si>
  <si>
    <t>I-070</t>
  </si>
  <si>
    <t>S-23-360</t>
  </si>
  <si>
    <t>I-006</t>
  </si>
  <si>
    <t>K-12-82-T3</t>
  </si>
  <si>
    <t>I-073</t>
  </si>
  <si>
    <t>S-23-400-W</t>
  </si>
  <si>
    <t>I-071</t>
  </si>
  <si>
    <t>I-007</t>
  </si>
  <si>
    <t>K-15-150</t>
  </si>
  <si>
    <t>I-074</t>
  </si>
  <si>
    <t>S-23-500</t>
  </si>
  <si>
    <t>I-044</t>
  </si>
  <si>
    <t>H-150-100-330</t>
  </si>
  <si>
    <t>I-054</t>
  </si>
  <si>
    <t>S-10-300-T7</t>
  </si>
  <si>
    <t>I-043</t>
  </si>
  <si>
    <t>H-95-80-300</t>
  </si>
  <si>
    <t>I-080</t>
  </si>
  <si>
    <t>S-52-400</t>
  </si>
  <si>
    <t>I-041</t>
  </si>
  <si>
    <t>H-90-80-200</t>
  </si>
  <si>
    <t>I-008</t>
  </si>
  <si>
    <t>K-15-100-T1</t>
  </si>
  <si>
    <t>I-081</t>
  </si>
  <si>
    <t>S-52-600</t>
  </si>
  <si>
    <t>I-072</t>
  </si>
  <si>
    <t>S-23-360-T4</t>
  </si>
  <si>
    <t>I-083</t>
  </si>
  <si>
    <t>S-75-850</t>
  </si>
  <si>
    <t>I-084</t>
  </si>
  <si>
    <t>S-75-851</t>
  </si>
  <si>
    <t>I-085</t>
  </si>
  <si>
    <t>S-75-852</t>
  </si>
  <si>
    <t>I-086</t>
  </si>
  <si>
    <t>S-75-853</t>
  </si>
  <si>
    <t>I-087</t>
  </si>
  <si>
    <t>S-75-854</t>
  </si>
  <si>
    <t>I-088</t>
  </si>
  <si>
    <t>S-75-855</t>
  </si>
  <si>
    <t>I-089</t>
  </si>
  <si>
    <t>S-75-856</t>
  </si>
  <si>
    <t>I-090</t>
  </si>
  <si>
    <t>S-75-857</t>
  </si>
  <si>
    <t>I-091</t>
  </si>
  <si>
    <t>S-75-858</t>
  </si>
  <si>
    <t>I-092</t>
  </si>
  <si>
    <t>S-75-859</t>
  </si>
  <si>
    <t>I-093</t>
  </si>
  <si>
    <t>S-75-860</t>
  </si>
  <si>
    <t>I-094</t>
  </si>
  <si>
    <t>S-75-861</t>
  </si>
  <si>
    <t>I-095</t>
  </si>
  <si>
    <t>S-75-862</t>
  </si>
  <si>
    <t>I-096</t>
  </si>
  <si>
    <t>S-75-863</t>
  </si>
  <si>
    <t>I-097</t>
  </si>
  <si>
    <t>S-75-864</t>
  </si>
  <si>
    <t>I-098</t>
  </si>
  <si>
    <t>S-75-865</t>
  </si>
  <si>
    <t>I-099</t>
  </si>
  <si>
    <t>S-75-866</t>
  </si>
  <si>
    <t>I-100</t>
  </si>
  <si>
    <t>S-75-867</t>
  </si>
  <si>
    <t>I-101</t>
  </si>
  <si>
    <t>S-75-868</t>
  </si>
  <si>
    <t>I-102</t>
  </si>
  <si>
    <t>S-75-869</t>
  </si>
  <si>
    <t>I-103</t>
  </si>
  <si>
    <t>S-75-870</t>
  </si>
  <si>
    <t>I-104</t>
  </si>
  <si>
    <t>S-75-871</t>
  </si>
  <si>
    <t>I-105</t>
  </si>
  <si>
    <t>S-75-872</t>
  </si>
  <si>
    <t>I-106</t>
  </si>
  <si>
    <t>S-75-873</t>
  </si>
  <si>
    <t>I-107</t>
  </si>
  <si>
    <t>S-75-874</t>
  </si>
  <si>
    <t>I-108</t>
  </si>
  <si>
    <t>S-75-875</t>
  </si>
  <si>
    <t>I-109</t>
  </si>
  <si>
    <t>S-75-876</t>
  </si>
  <si>
    <t>I-110</t>
  </si>
  <si>
    <t>S-75-877</t>
  </si>
  <si>
    <t>I-111</t>
  </si>
  <si>
    <t>S-75-878</t>
  </si>
  <si>
    <t>I-112</t>
  </si>
  <si>
    <t>S-75-879</t>
  </si>
  <si>
    <t>I-113</t>
  </si>
  <si>
    <t>S-75-880</t>
  </si>
  <si>
    <t>I-114</t>
  </si>
  <si>
    <t>S-75-881</t>
  </si>
  <si>
    <t>I-115</t>
  </si>
  <si>
    <t>S-75-882</t>
  </si>
  <si>
    <t>I-116</t>
  </si>
  <si>
    <t>S-75-883</t>
  </si>
  <si>
    <t>I-117</t>
  </si>
  <si>
    <t>S-75-884</t>
  </si>
  <si>
    <t>I-118</t>
  </si>
  <si>
    <t>S-75-885</t>
  </si>
  <si>
    <t>I-119</t>
  </si>
  <si>
    <t>S-75-886</t>
  </si>
  <si>
    <t>I-120</t>
  </si>
  <si>
    <t>S-75-887</t>
  </si>
  <si>
    <t>I-121</t>
  </si>
  <si>
    <t>S-75-888</t>
  </si>
  <si>
    <t>I-122</t>
  </si>
  <si>
    <t>S-75-889</t>
  </si>
  <si>
    <t>I-123</t>
  </si>
  <si>
    <t>S-75-890</t>
  </si>
  <si>
    <t>I-124</t>
  </si>
  <si>
    <t>S-75-891</t>
  </si>
  <si>
    <t>I-125</t>
  </si>
  <si>
    <t>S-75-892</t>
  </si>
  <si>
    <t>I-126</t>
  </si>
  <si>
    <t>S-75-893</t>
  </si>
  <si>
    <t>I-127</t>
  </si>
  <si>
    <t>S-75-894</t>
  </si>
  <si>
    <t>I-128</t>
  </si>
  <si>
    <t>S-75-895</t>
  </si>
  <si>
    <t>I-129</t>
  </si>
  <si>
    <t>S-75-896</t>
  </si>
  <si>
    <t>I-130</t>
  </si>
  <si>
    <t>S-75-897</t>
  </si>
  <si>
    <t>I-131</t>
  </si>
  <si>
    <t>S-75-898</t>
  </si>
  <si>
    <t>I-132</t>
  </si>
  <si>
    <t>S-75-899</t>
  </si>
  <si>
    <t>I-133</t>
  </si>
  <si>
    <t>S-75-900</t>
  </si>
  <si>
    <t>I-134</t>
  </si>
  <si>
    <t>S-75-901</t>
  </si>
  <si>
    <t>I-135</t>
  </si>
  <si>
    <t>S-75-902</t>
  </si>
  <si>
    <t>I-136</t>
  </si>
  <si>
    <t>S-75-903</t>
  </si>
  <si>
    <t>I-137</t>
  </si>
  <si>
    <t>S-75-904</t>
  </si>
  <si>
    <t>I-138</t>
  </si>
  <si>
    <t>S-75-905</t>
  </si>
  <si>
    <t>I-139</t>
  </si>
  <si>
    <t>S-75-906</t>
  </si>
  <si>
    <t>I-140</t>
  </si>
  <si>
    <t>S-75-907</t>
  </si>
  <si>
    <t>I-141</t>
  </si>
  <si>
    <t>S-75-908</t>
  </si>
  <si>
    <t>I-142</t>
  </si>
  <si>
    <t>S-75-909</t>
  </si>
  <si>
    <t>I-143</t>
  </si>
  <si>
    <t>S-75-910</t>
  </si>
  <si>
    <t>I-144</t>
  </si>
  <si>
    <t>S-75-911</t>
  </si>
  <si>
    <t>I-145</t>
  </si>
  <si>
    <t>S-75-912</t>
  </si>
  <si>
    <t>I-146</t>
  </si>
  <si>
    <t>S-75-913</t>
  </si>
  <si>
    <t>I-147</t>
  </si>
  <si>
    <t>S-75-914</t>
  </si>
  <si>
    <t>I-148</t>
  </si>
  <si>
    <t>S-75-915</t>
  </si>
  <si>
    <t>I-149</t>
  </si>
  <si>
    <t>S-75-916</t>
  </si>
  <si>
    <t>I-150</t>
  </si>
  <si>
    <t>S-75-917</t>
  </si>
  <si>
    <t>I-151</t>
  </si>
  <si>
    <t>S-75-918</t>
  </si>
  <si>
    <t>I-152</t>
  </si>
  <si>
    <t>S-75-919</t>
  </si>
  <si>
    <t>I-153</t>
  </si>
  <si>
    <t>S-75-920</t>
  </si>
  <si>
    <t>I-154</t>
  </si>
  <si>
    <t>S-75-921</t>
  </si>
  <si>
    <t>I-155</t>
  </si>
  <si>
    <t>S-75-922</t>
  </si>
  <si>
    <t>I-156</t>
  </si>
  <si>
    <t>S-75-923</t>
  </si>
  <si>
    <t>I-157</t>
  </si>
  <si>
    <t>S-75-924</t>
  </si>
  <si>
    <t>I-158</t>
  </si>
  <si>
    <t>S-75-925</t>
  </si>
  <si>
    <t>I-159</t>
  </si>
  <si>
    <t>S-75-926</t>
  </si>
  <si>
    <t>I-160</t>
  </si>
  <si>
    <t>S-75-927</t>
  </si>
  <si>
    <t>I-161</t>
  </si>
  <si>
    <t>S-75-928</t>
  </si>
  <si>
    <t>I-162</t>
  </si>
  <si>
    <t>S-75-929</t>
  </si>
  <si>
    <t>I-163</t>
  </si>
  <si>
    <t>S-75-930</t>
  </si>
  <si>
    <t>I-164</t>
  </si>
  <si>
    <t>S-75-931</t>
  </si>
  <si>
    <t>I-165</t>
  </si>
  <si>
    <t>S-75-932</t>
  </si>
  <si>
    <t>I-166</t>
  </si>
  <si>
    <t>S-75-933</t>
  </si>
  <si>
    <t>I-167</t>
  </si>
  <si>
    <t>S-75-934</t>
  </si>
  <si>
    <t>I-168</t>
  </si>
  <si>
    <t>S-75-935</t>
  </si>
  <si>
    <t>I-169</t>
  </si>
  <si>
    <t>S-75-936</t>
  </si>
  <si>
    <t>I-170</t>
  </si>
  <si>
    <t>S-75-937</t>
  </si>
  <si>
    <t>I-171</t>
  </si>
  <si>
    <t>S-75-938</t>
  </si>
  <si>
    <t>I-172</t>
  </si>
  <si>
    <t>S-75-939</t>
  </si>
  <si>
    <t>I-173</t>
  </si>
  <si>
    <t>S-75-940</t>
  </si>
  <si>
    <t>I-174</t>
  </si>
  <si>
    <t>S-75-941</t>
  </si>
  <si>
    <t>I-175</t>
  </si>
  <si>
    <t>S-75-942</t>
  </si>
  <si>
    <t>I-176</t>
  </si>
  <si>
    <t>S-75-943</t>
  </si>
  <si>
    <t>I-177</t>
  </si>
  <si>
    <t>S-75-944</t>
  </si>
  <si>
    <t>I-178</t>
  </si>
  <si>
    <t>S-75-945</t>
  </si>
  <si>
    <t>I-179</t>
  </si>
  <si>
    <t>S-75-946</t>
  </si>
  <si>
    <t>I-180</t>
  </si>
  <si>
    <t>S-75-947</t>
  </si>
  <si>
    <t>I-181</t>
  </si>
  <si>
    <t>S-75-948</t>
  </si>
  <si>
    <t>I-182</t>
  </si>
  <si>
    <t>S-75-949</t>
  </si>
  <si>
    <t>I-183</t>
  </si>
  <si>
    <t>S-75-950</t>
  </si>
  <si>
    <t>I-184</t>
  </si>
  <si>
    <t>S-75-951</t>
  </si>
  <si>
    <t>I-185</t>
  </si>
  <si>
    <t>S-75-952</t>
  </si>
  <si>
    <t>I-186</t>
  </si>
  <si>
    <t>S-75-953</t>
  </si>
  <si>
    <t>I-187</t>
  </si>
  <si>
    <t>S-75-954</t>
  </si>
  <si>
    <t>I-188</t>
  </si>
  <si>
    <t>S-75-955</t>
  </si>
  <si>
    <t>I-189</t>
  </si>
  <si>
    <t>S-75-956</t>
  </si>
  <si>
    <t>I-190</t>
  </si>
  <si>
    <t>S-75-957</t>
  </si>
  <si>
    <t>I-191</t>
  </si>
  <si>
    <t>S-75-958</t>
  </si>
  <si>
    <t>I-192</t>
  </si>
  <si>
    <t>S-75-959</t>
  </si>
  <si>
    <t>I-193</t>
  </si>
  <si>
    <t>S-75-960</t>
  </si>
  <si>
    <t>I-194</t>
  </si>
  <si>
    <t>S-75-961</t>
  </si>
  <si>
    <t>I-195</t>
  </si>
  <si>
    <t>S-75-962</t>
  </si>
  <si>
    <t>I-196</t>
  </si>
  <si>
    <t>S-75-963</t>
  </si>
  <si>
    <t>I-197</t>
  </si>
  <si>
    <t>S-75-964</t>
  </si>
  <si>
    <t>I-198</t>
  </si>
  <si>
    <t>S-75-965</t>
  </si>
  <si>
    <t>I-199</t>
  </si>
  <si>
    <t>S-75-966</t>
  </si>
  <si>
    <t>I-200</t>
  </si>
  <si>
    <t>S-75-967</t>
  </si>
  <si>
    <t>Setup Time [min]</t>
  </si>
  <si>
    <t>Capacity[h]</t>
  </si>
  <si>
    <t>Length [mm]</t>
  </si>
  <si>
    <t>Width [mm]</t>
  </si>
  <si>
    <t>MIL-AB-361</t>
  </si>
  <si>
    <t>TUR-B2-362</t>
  </si>
  <si>
    <t>MIL-A31-363</t>
  </si>
  <si>
    <t>TUR-A4-364</t>
  </si>
  <si>
    <t>MIL-A2-365</t>
  </si>
  <si>
    <t>TUR-C1-366</t>
  </si>
  <si>
    <t>TUR-C2-367</t>
  </si>
  <si>
    <t>MIL-10-150-401</t>
  </si>
  <si>
    <t>TUR-20-120-402</t>
  </si>
  <si>
    <t>TUR-20-180-403</t>
  </si>
  <si>
    <t>TUR-40-100-404</t>
  </si>
  <si>
    <t>TUR-15-250-405</t>
  </si>
  <si>
    <t>TUR-6-Sp1-406</t>
  </si>
  <si>
    <t>TUR-6-Sp2-407</t>
  </si>
  <si>
    <t>TUR-6-Sp3-408</t>
  </si>
  <si>
    <t>TUR-6-Sp4-409</t>
  </si>
  <si>
    <t>MIL-H1-601</t>
  </si>
  <si>
    <t>MIL-V2-602</t>
  </si>
  <si>
    <t>MIL-V31-603</t>
  </si>
  <si>
    <t>MIL-H21-604</t>
  </si>
  <si>
    <t>MIL-U1-605</t>
  </si>
  <si>
    <t>MIL-H2-606</t>
  </si>
  <si>
    <t>MIL-U2-607</t>
  </si>
  <si>
    <t>MIL-V5-608</t>
  </si>
  <si>
    <t>DR-2A-201</t>
  </si>
  <si>
    <t>DR-2A2-202</t>
  </si>
  <si>
    <t>GR-T1-203</t>
  </si>
  <si>
    <t>DR-T3-204</t>
  </si>
  <si>
    <t>GR-T11-250</t>
  </si>
  <si>
    <t>DR-3A-206</t>
  </si>
  <si>
    <t>DR-3AW-207</t>
  </si>
  <si>
    <t>SAW-30-150-251</t>
  </si>
  <si>
    <t>SAW-50-150-252</t>
  </si>
  <si>
    <t>SAW-30-160-252</t>
  </si>
  <si>
    <t>SAW-35-100-254</t>
  </si>
  <si>
    <t>SAW-10-421</t>
  </si>
  <si>
    <t>SAW-50-422</t>
  </si>
  <si>
    <t>SAW-150-423</t>
  </si>
  <si>
    <t>SAW-400-424</t>
  </si>
  <si>
    <t>SAW-CNC-40-425</t>
  </si>
  <si>
    <t>SAW-CNC-60-425</t>
  </si>
  <si>
    <t>OP</t>
  </si>
  <si>
    <t>Execution Time [s]</t>
  </si>
  <si>
    <t xml:space="preserve">Lot Size </t>
  </si>
  <si>
    <t>I-001</t>
  </si>
  <si>
    <t>I-002</t>
  </si>
  <si>
    <t>I-003</t>
  </si>
  <si>
    <t>I-005</t>
  </si>
  <si>
    <t>I-009</t>
  </si>
  <si>
    <t>I-011</t>
  </si>
  <si>
    <t>I-013</t>
  </si>
  <si>
    <t>I-014</t>
  </si>
  <si>
    <t>I-015</t>
  </si>
  <si>
    <t>I-016</t>
  </si>
  <si>
    <t>I-017</t>
  </si>
  <si>
    <t>I-018</t>
  </si>
  <si>
    <t>I-019</t>
  </si>
  <si>
    <t>I-020</t>
  </si>
  <si>
    <t>I-021</t>
  </si>
  <si>
    <t>I-022</t>
  </si>
  <si>
    <t>I-023</t>
  </si>
  <si>
    <t>I-024</t>
  </si>
  <si>
    <t>I-025</t>
  </si>
  <si>
    <t>I-026</t>
  </si>
  <si>
    <t>I-027</t>
  </si>
  <si>
    <t>I-028</t>
  </si>
  <si>
    <t>I-029</t>
  </si>
  <si>
    <t>I-030</t>
  </si>
  <si>
    <t>I-031</t>
  </si>
  <si>
    <t>I-032</t>
  </si>
  <si>
    <t>I-033</t>
  </si>
  <si>
    <t>I-034</t>
  </si>
  <si>
    <t>I-035</t>
  </si>
  <si>
    <t>I-036</t>
  </si>
  <si>
    <t>I-038</t>
  </si>
  <si>
    <t>I-039</t>
  </si>
  <si>
    <t>I-040</t>
  </si>
  <si>
    <t>I-042</t>
  </si>
  <si>
    <t>I-045</t>
  </si>
  <si>
    <t>I-046</t>
  </si>
  <si>
    <t>I-047</t>
  </si>
  <si>
    <t>I-048</t>
  </si>
  <si>
    <t>I-049</t>
  </si>
  <si>
    <t>I-050</t>
  </si>
  <si>
    <t>I-051</t>
  </si>
  <si>
    <t>I-055</t>
  </si>
  <si>
    <t>I-056</t>
  </si>
  <si>
    <t>I-057</t>
  </si>
  <si>
    <t>I-058</t>
  </si>
  <si>
    <t>I-059</t>
  </si>
  <si>
    <t>I-060</t>
  </si>
  <si>
    <t>I-061</t>
  </si>
  <si>
    <t>I-062</t>
  </si>
  <si>
    <t>I-063</t>
  </si>
  <si>
    <t>I-065</t>
  </si>
  <si>
    <t>I-067</t>
  </si>
  <si>
    <t>I-075</t>
  </si>
  <si>
    <t>I-076</t>
  </si>
  <si>
    <t>I-077</t>
  </si>
  <si>
    <t>I-078</t>
  </si>
  <si>
    <t>I-079</t>
  </si>
  <si>
    <t>I-082</t>
  </si>
  <si>
    <t>Operation</t>
  </si>
  <si>
    <t>Inv</t>
  </si>
  <si>
    <t>Sawing</t>
  </si>
  <si>
    <t>Turning</t>
  </si>
  <si>
    <t>Milling</t>
  </si>
  <si>
    <t>Drilling</t>
  </si>
  <si>
    <t>Grinding</t>
  </si>
  <si>
    <t>Temp</t>
  </si>
  <si>
    <t>Work Station</t>
  </si>
  <si>
    <t>WS-01</t>
  </si>
  <si>
    <t>WS-02</t>
  </si>
  <si>
    <t>WS-03</t>
  </si>
  <si>
    <t>WS-04</t>
  </si>
  <si>
    <t>WS-05</t>
  </si>
  <si>
    <t>WS-06</t>
  </si>
  <si>
    <t>WS-07</t>
  </si>
  <si>
    <t>WS-08</t>
  </si>
  <si>
    <t>WS-09</t>
  </si>
  <si>
    <t>WS-10</t>
  </si>
  <si>
    <t>WS-11</t>
  </si>
  <si>
    <t>WS-12</t>
  </si>
  <si>
    <t>WS-13</t>
  </si>
  <si>
    <t>WS-14</t>
  </si>
  <si>
    <t>WS-15</t>
  </si>
  <si>
    <t>WS-16</t>
  </si>
  <si>
    <t>WS-17</t>
  </si>
  <si>
    <t>WS-18</t>
  </si>
  <si>
    <t>WS-19</t>
  </si>
  <si>
    <t>WS-20</t>
  </si>
  <si>
    <t>WS-21</t>
  </si>
  <si>
    <t>WS-22</t>
  </si>
  <si>
    <t>WS-23</t>
  </si>
  <si>
    <t>WS-24</t>
  </si>
  <si>
    <t>WS-25</t>
  </si>
  <si>
    <t>WS-26</t>
  </si>
  <si>
    <t>WS-27</t>
  </si>
  <si>
    <t>WS-28</t>
  </si>
  <si>
    <t>WS-29</t>
  </si>
  <si>
    <t>WS-30</t>
  </si>
  <si>
    <t>WS-31</t>
  </si>
  <si>
    <t>WS-32</t>
  </si>
  <si>
    <t>WS-33</t>
  </si>
  <si>
    <t>WS-34</t>
  </si>
  <si>
    <t>WS-35</t>
  </si>
  <si>
    <t>WS-36</t>
  </si>
  <si>
    <t>WS-37</t>
  </si>
  <si>
    <t>WS-38</t>
  </si>
  <si>
    <t>WS-39</t>
  </si>
  <si>
    <t>WS-40</t>
  </si>
  <si>
    <t>WS-41</t>
  </si>
  <si>
    <t>WS-42</t>
  </si>
  <si>
    <t>WS-43</t>
  </si>
  <si>
    <t>WS-44</t>
  </si>
  <si>
    <t>TEMP-A01-202</t>
  </si>
  <si>
    <t>RAW-MAT-INV</t>
  </si>
  <si>
    <t>FIN-GOOD-INV</t>
  </si>
  <si>
    <t>WS Type</t>
  </si>
  <si>
    <t xml:space="preserve">Authored By:  </t>
  </si>
  <si>
    <t>Yilmaz Uygun</t>
  </si>
  <si>
    <t>Level Symbol</t>
  </si>
  <si>
    <t>Units of Measure</t>
  </si>
  <si>
    <t>BOM Levels</t>
  </si>
  <si>
    <t>Revision</t>
  </si>
  <si>
    <t>Make/Buy</t>
  </si>
  <si>
    <t>VERTAXIS 2.5 kW</t>
  </si>
  <si>
    <t xml:space="preserve">Approved On:  </t>
  </si>
  <si>
    <t>•</t>
  </si>
  <si>
    <t>EACH</t>
  </si>
  <si>
    <t>A</t>
  </si>
  <si>
    <t>MAKE</t>
  </si>
  <si>
    <t xml:space="preserve">Assembly Revision:  </t>
  </si>
  <si>
    <t xml:space="preserve">Approved By:  </t>
  </si>
  <si>
    <t xml:space="preserve"> </t>
  </si>
  <si>
    <t>CM</t>
  </si>
  <si>
    <t>B</t>
  </si>
  <si>
    <t>BUY</t>
  </si>
  <si>
    <t>CM²</t>
  </si>
  <si>
    <t>C</t>
  </si>
  <si>
    <t>BOM  LEVEL</t>
  </si>
  <si>
    <t>FT</t>
  </si>
  <si>
    <t>D</t>
  </si>
  <si>
    <t>LVL</t>
  </si>
  <si>
    <t>0</t>
  </si>
  <si>
    <t>1</t>
  </si>
  <si>
    <t>2</t>
  </si>
  <si>
    <t>3</t>
  </si>
  <si>
    <t>4</t>
  </si>
  <si>
    <t>5</t>
  </si>
  <si>
    <t>6</t>
  </si>
  <si>
    <t>7</t>
  </si>
  <si>
    <t>8</t>
  </si>
  <si>
    <t>BOM ID</t>
  </si>
  <si>
    <t>PART NO</t>
  </si>
  <si>
    <t>NAME / DESCRIPTION</t>
  </si>
  <si>
    <t>REV</t>
  </si>
  <si>
    <t>QTY</t>
  </si>
  <si>
    <t>UOM</t>
  </si>
  <si>
    <t>REF DES</t>
  </si>
  <si>
    <t>M/B</t>
  </si>
  <si>
    <t>SUPPLIER</t>
  </si>
  <si>
    <t>SUPPLIER P/N</t>
  </si>
  <si>
    <t>COST</t>
  </si>
  <si>
    <t>MATERIAL</t>
  </si>
  <si>
    <t>FINISH</t>
  </si>
  <si>
    <t>NOTES</t>
  </si>
  <si>
    <t>FT²</t>
  </si>
  <si>
    <t>E</t>
  </si>
  <si>
    <t>make</t>
  </si>
  <si>
    <t>GAL</t>
  </si>
  <si>
    <t>F</t>
  </si>
  <si>
    <t>Turbine</t>
  </si>
  <si>
    <t>IN</t>
  </si>
  <si>
    <t>G</t>
  </si>
  <si>
    <t>Axis</t>
  </si>
  <si>
    <t>IN²</t>
  </si>
  <si>
    <t>H</t>
  </si>
  <si>
    <t>Shaft</t>
  </si>
  <si>
    <t>Composite carbonfiber</t>
  </si>
  <si>
    <t>L</t>
  </si>
  <si>
    <t>J</t>
  </si>
  <si>
    <t>Bearing</t>
  </si>
  <si>
    <t>Steel</t>
  </si>
  <si>
    <t>M</t>
  </si>
  <si>
    <t>K</t>
  </si>
  <si>
    <t>Turbine blade segment</t>
  </si>
  <si>
    <t>Polyamide pallets</t>
  </si>
  <si>
    <t>ML</t>
  </si>
  <si>
    <t>Wind collector</t>
  </si>
  <si>
    <t>MM</t>
  </si>
  <si>
    <t>Wing</t>
  </si>
  <si>
    <t>Concrete fiber</t>
  </si>
  <si>
    <t>MM²</t>
  </si>
  <si>
    <t>N</t>
  </si>
  <si>
    <t>Upper bed</t>
  </si>
  <si>
    <t>OZ</t>
  </si>
  <si>
    <t>P</t>
  </si>
  <si>
    <t>Damper UB</t>
  </si>
  <si>
    <t>Rubber spings</t>
  </si>
  <si>
    <t>R</t>
  </si>
  <si>
    <t>Lower bed</t>
  </si>
  <si>
    <t>T</t>
  </si>
  <si>
    <t>Damper LB</t>
  </si>
  <si>
    <t>U</t>
  </si>
  <si>
    <t>Alternator</t>
  </si>
  <si>
    <t>buy</t>
  </si>
  <si>
    <t>V</t>
  </si>
  <si>
    <t>Magnetic rotor</t>
  </si>
  <si>
    <t>POM</t>
  </si>
  <si>
    <t>W</t>
  </si>
  <si>
    <t>Magnet</t>
  </si>
  <si>
    <t>Neodym</t>
  </si>
  <si>
    <t>Y</t>
  </si>
  <si>
    <t>Stator cage</t>
  </si>
  <si>
    <t>AA</t>
  </si>
  <si>
    <t>Coil</t>
  </si>
  <si>
    <t>Enameled copper</t>
  </si>
  <si>
    <t>AB</t>
  </si>
  <si>
    <t>Inverter</t>
  </si>
  <si>
    <t>tbd</t>
  </si>
  <si>
    <t>AC</t>
  </si>
  <si>
    <t>Charge regulator</t>
  </si>
  <si>
    <t>AD</t>
  </si>
  <si>
    <t>Battery</t>
  </si>
  <si>
    <t>AE</t>
  </si>
  <si>
    <t xml:space="preserve">Cables </t>
  </si>
  <si>
    <t>AF</t>
  </si>
  <si>
    <t>Fixtures</t>
  </si>
  <si>
    <t>AG</t>
  </si>
  <si>
    <t>AH</t>
  </si>
  <si>
    <t>AJ</t>
  </si>
  <si>
    <t>AK</t>
  </si>
  <si>
    <t>AL</t>
  </si>
  <si>
    <t>AM</t>
  </si>
  <si>
    <t>AN</t>
  </si>
  <si>
    <t>AP</t>
  </si>
  <si>
    <t>AR</t>
  </si>
  <si>
    <t>AT</t>
  </si>
  <si>
    <t>AU</t>
  </si>
  <si>
    <t>AV</t>
  </si>
  <si>
    <t>AW</t>
  </si>
  <si>
    <t>AY</t>
  </si>
  <si>
    <t>Part</t>
  </si>
  <si>
    <t>Material</t>
  </si>
  <si>
    <t>Operation (OP)</t>
  </si>
  <si>
    <t>length [mm]</t>
  </si>
  <si>
    <t>width [mm]</t>
  </si>
  <si>
    <t>hight [mm]</t>
  </si>
  <si>
    <t>Execution time [s]</t>
  </si>
  <si>
    <t>Lot size</t>
  </si>
  <si>
    <t>Remarks</t>
  </si>
  <si>
    <t>Provide raw material</t>
  </si>
  <si>
    <t>Sawing upper end</t>
  </si>
  <si>
    <t>Milling front</t>
  </si>
  <si>
    <t>Milling back</t>
  </si>
  <si>
    <t>Drill a center hole</t>
  </si>
  <si>
    <t>M08</t>
  </si>
  <si>
    <t>Sawing lower end</t>
  </si>
  <si>
    <t>Tempering</t>
  </si>
  <si>
    <t>Storing</t>
  </si>
  <si>
    <t>Total</t>
  </si>
  <si>
    <t>Weighting factor</t>
  </si>
  <si>
    <t>Style</t>
  </si>
  <si>
    <t>Lightweight</t>
  </si>
  <si>
    <t>Durable</t>
  </si>
  <si>
    <t>Simple locking system</t>
  </si>
  <si>
    <t>Short charging time</t>
  </si>
  <si>
    <t>Easy-to-replace parts</t>
  </si>
  <si>
    <t>Correlations</t>
  </si>
  <si>
    <t>Positive</t>
  </si>
  <si>
    <t>+</t>
  </si>
  <si>
    <t>Negative</t>
  </si>
  <si>
    <t>−</t>
  </si>
  <si>
    <t>No Correlation</t>
  </si>
  <si>
    <t>Relationships</t>
  </si>
  <si>
    <t>Strong</t>
  </si>
  <si>
    <t>●</t>
  </si>
  <si>
    <t>Moderate</t>
  </si>
  <si>
    <t>○</t>
  </si>
  <si>
    <t>Weak</t>
  </si>
  <si>
    <t>▽</t>
  </si>
  <si>
    <t>Direction of Improvement</t>
  </si>
  <si>
    <t>Maximize</t>
  </si>
  <si>
    <t>▲</t>
  </si>
  <si>
    <t>Target</t>
  </si>
  <si>
    <t>◇</t>
  </si>
  <si>
    <t>Minimize</t>
  </si>
  <si>
    <t>▼</t>
  </si>
  <si>
    <t xml:space="preserve">Column #   </t>
  </si>
  <si>
    <t xml:space="preserve">Direction of Improvement   </t>
  </si>
  <si>
    <t>Customer Competitive Assesment</t>
  </si>
  <si>
    <t xml:space="preserve">   Row #</t>
  </si>
  <si>
    <t xml:space="preserve">   Weight Chart
 </t>
  </si>
  <si>
    <t xml:space="preserve">   Customer Importance</t>
  </si>
  <si>
    <t xml:space="preserve">   Maximum Relationship</t>
  </si>
  <si>
    <t xml:space="preserve">   Our Product</t>
  </si>
  <si>
    <r>
      <t xml:space="preserve">   Competitor #1: </t>
    </r>
    <r>
      <rPr>
        <i/>
        <sz val="10"/>
        <color theme="1"/>
        <rFont val="Century Schoolbook"/>
        <family val="1"/>
      </rPr>
      <t>Gocycle GX</t>
    </r>
  </si>
  <si>
    <r>
      <t xml:space="preserve">   Competitor #2: </t>
    </r>
    <r>
      <rPr>
        <i/>
        <sz val="10"/>
        <color theme="1"/>
        <rFont val="Century Schoolbook"/>
        <family val="1"/>
      </rPr>
      <t>Volt Pulse</t>
    </r>
  </si>
  <si>
    <t xml:space="preserve">   Competitor #3: Vanmoof S2</t>
  </si>
  <si>
    <r>
      <t xml:space="preserve">   Competitor #4: </t>
    </r>
    <r>
      <rPr>
        <i/>
        <sz val="10"/>
        <color theme="1"/>
        <rFont val="Century Schoolbook"/>
        <family val="1"/>
      </rPr>
      <t>Emu Crossbar</t>
    </r>
  </si>
  <si>
    <t xml:space="preserve">0
</t>
  </si>
  <si>
    <t xml:space="preserve">1
</t>
  </si>
  <si>
    <t xml:space="preserve">2
</t>
  </si>
  <si>
    <t xml:space="preserve">3
</t>
  </si>
  <si>
    <t xml:space="preserve">4
</t>
  </si>
  <si>
    <t xml:space="preserve">5
</t>
  </si>
  <si>
    <t xml:space="preserve">Target    </t>
  </si>
  <si>
    <t xml:space="preserve">Max Relationship   </t>
  </si>
  <si>
    <t xml:space="preserve">Technical Importance Rating   </t>
  </si>
  <si>
    <t xml:space="preserve">Relative Weight   </t>
  </si>
  <si>
    <t xml:space="preserve">Weight Chart   </t>
  </si>
  <si>
    <t>Different sizes</t>
  </si>
  <si>
    <t>Long-lasting battery</t>
  </si>
  <si>
    <t>Display</t>
  </si>
  <si>
    <t>Smartphone connectivity</t>
  </si>
  <si>
    <t>GPS tracking</t>
  </si>
  <si>
    <t>Basket</t>
  </si>
  <si>
    <t>Gear system</t>
  </si>
  <si>
    <t>Break system</t>
  </si>
  <si>
    <t>Different colors</t>
  </si>
  <si>
    <t>Custom design</t>
  </si>
  <si>
    <t>Customer Requirements (Explicit and Implicit) 
WHAT?</t>
  </si>
  <si>
    <t>Functional Requirements 
HOW?</t>
  </si>
  <si>
    <t>…</t>
  </si>
  <si>
    <t>Material strength</t>
  </si>
  <si>
    <t>Smart lock</t>
  </si>
  <si>
    <t>Charge voltage</t>
  </si>
  <si>
    <t>Standard parts</t>
  </si>
  <si>
    <t>S-52-800</t>
  </si>
  <si>
    <t>H-90-80-250</t>
  </si>
  <si>
    <t>S-10-300-T8</t>
  </si>
  <si>
    <t>S-10-300-T9</t>
  </si>
  <si>
    <t>S-10-300-T10</t>
  </si>
  <si>
    <t>S-23-230</t>
  </si>
  <si>
    <t>S-23-290</t>
  </si>
  <si>
    <t>S-23-360-T3</t>
  </si>
  <si>
    <t>S-30-200</t>
  </si>
  <si>
    <t>S-30-230</t>
  </si>
  <si>
    <t>S-30-260</t>
  </si>
  <si>
    <t>S-30-290</t>
  </si>
  <si>
    <t>S-30-300</t>
  </si>
  <si>
    <t>S-15-300-T11</t>
  </si>
  <si>
    <t>S-15-300-T12</t>
  </si>
  <si>
    <t>S-15-300-T13</t>
  </si>
  <si>
    <t>S-15-300-T14</t>
  </si>
  <si>
    <t>S-15-300-T15</t>
  </si>
  <si>
    <t>S-15-300-T16</t>
  </si>
  <si>
    <t>I-90-80-350</t>
  </si>
  <si>
    <t>I-90-80-400</t>
  </si>
  <si>
    <t>I-90-80-450</t>
  </si>
  <si>
    <t>I-90-80-500</t>
  </si>
  <si>
    <t>I-90-80-550</t>
  </si>
  <si>
    <t>I-90-80-600</t>
  </si>
  <si>
    <t>I-90-80-650</t>
  </si>
  <si>
    <t>H-80-65-300-T4</t>
  </si>
  <si>
    <t>H-80-65-350-T5</t>
  </si>
  <si>
    <t>H-80-65-400-T6</t>
  </si>
  <si>
    <t>K-10-200</t>
  </si>
  <si>
    <t>K-20-200-T2</t>
  </si>
  <si>
    <t>K-20-220</t>
  </si>
  <si>
    <t>K-18-300-T10</t>
  </si>
  <si>
    <t>K-19-350-T11</t>
  </si>
  <si>
    <t>L-10-100</t>
  </si>
  <si>
    <t>L-12-200</t>
  </si>
  <si>
    <t>L-11-150</t>
  </si>
  <si>
    <t>L-13-250</t>
  </si>
  <si>
    <t>L-14-300</t>
  </si>
  <si>
    <t>L-15-350</t>
  </si>
  <si>
    <t>L-16-400</t>
  </si>
  <si>
    <t>L-17-450</t>
  </si>
  <si>
    <t>L-18-500</t>
  </si>
  <si>
    <t>L-19-550-G1</t>
  </si>
  <si>
    <t>L-20-600-G2</t>
  </si>
  <si>
    <t>L-21-650-G3</t>
  </si>
  <si>
    <t>K-25-100</t>
  </si>
  <si>
    <t>K-27-200</t>
  </si>
  <si>
    <t>K-29-300</t>
  </si>
  <si>
    <t>L-22-700-G4</t>
  </si>
  <si>
    <t>L-50-80-800</t>
  </si>
  <si>
    <t>L-50-80-801</t>
  </si>
  <si>
    <t>L-50-80-802</t>
  </si>
  <si>
    <t>L-50-80-803</t>
  </si>
  <si>
    <t>L-50-80-804</t>
  </si>
  <si>
    <t>L-50-80-805</t>
  </si>
  <si>
    <t>L-50-80-806</t>
  </si>
  <si>
    <t>L-50-80-807</t>
  </si>
  <si>
    <t>L-50-80-808</t>
  </si>
  <si>
    <t>Traffic conditions</t>
  </si>
  <si>
    <t>Total weight</t>
  </si>
  <si>
    <t>Norm. Weight</t>
  </si>
  <si>
    <t>WF</t>
  </si>
  <si>
    <t>Proximity to seaports</t>
  </si>
  <si>
    <t>Initial</t>
  </si>
  <si>
    <t>Product A</t>
  </si>
  <si>
    <t>Initial costs (A)</t>
  </si>
  <si>
    <t>Sales Price (A)</t>
  </si>
  <si>
    <t>Cost per unit (A)</t>
  </si>
  <si>
    <t xml:space="preserve">Sales (A) </t>
  </si>
  <si>
    <t>Overhead costs A</t>
  </si>
  <si>
    <t>Revenue (A)</t>
  </si>
  <si>
    <t>Cumulative Revenue (A)</t>
  </si>
  <si>
    <t>Profit (A)</t>
  </si>
  <si>
    <t>Product B</t>
  </si>
  <si>
    <t>Initial costs (B)</t>
  </si>
  <si>
    <t>Sales Price (B)</t>
  </si>
  <si>
    <t>Cost per unit (B)</t>
  </si>
  <si>
    <t>Sales (B)</t>
  </si>
  <si>
    <t>Overhead costs (B)</t>
  </si>
  <si>
    <t>Revenue (B)</t>
  </si>
  <si>
    <t>Cumulative Revenue (B)</t>
  </si>
  <si>
    <t>Profit (B)</t>
  </si>
  <si>
    <t>Product C</t>
  </si>
  <si>
    <t>Initial costs (C)</t>
  </si>
  <si>
    <t>Sales Price (C)</t>
  </si>
  <si>
    <t xml:space="preserve">Cost per unit (C) </t>
  </si>
  <si>
    <t xml:space="preserve">Sales (C) </t>
  </si>
  <si>
    <t xml:space="preserve">Overhead costs (C) </t>
  </si>
  <si>
    <t xml:space="preserve">Revenue (C) </t>
  </si>
  <si>
    <t>Cumulative Revenue (C)</t>
  </si>
  <si>
    <t xml:space="preserve">Profit  (C) </t>
  </si>
  <si>
    <t>Unique frame shape</t>
  </si>
  <si>
    <t>Lightweight material</t>
  </si>
  <si>
    <t>Diamond shape</t>
  </si>
  <si>
    <t>80% carbon fiber</t>
  </si>
  <si>
    <t>3.6 Gpa</t>
  </si>
  <si>
    <t>Fingerprint lock</t>
  </si>
  <si>
    <t>48 V</t>
  </si>
  <si>
    <t>Current Year</t>
  </si>
  <si>
    <t>Unsorted</t>
  </si>
  <si>
    <t>Sorted</t>
  </si>
  <si>
    <t xml:space="preserve">Assembly Part No:  </t>
  </si>
  <si>
    <t xml:space="preserve">Assembly Name:  </t>
  </si>
  <si>
    <t>James Smith</t>
  </si>
  <si>
    <t>I-1001</t>
  </si>
  <si>
    <t>Stainless Steel X12Cr13</t>
  </si>
  <si>
    <t>Innovative Battery pack</t>
  </si>
  <si>
    <t>Graphene-based baterries</t>
  </si>
  <si>
    <t>Item ID &amp; OP</t>
  </si>
  <si>
    <t>Item ID &amp; WS</t>
  </si>
  <si>
    <t>Relative</t>
  </si>
  <si>
    <t xml:space="preserve">Performance Index (γ) </t>
  </si>
  <si>
    <t>Safety Factor 
Working Stress</t>
  </si>
  <si>
    <t xml:space="preserve">Material </t>
  </si>
  <si>
    <t xml:space="preserve">Yield Strength (MPa) </t>
  </si>
  <si>
    <t xml:space="preserve">Working Stress (MPa) </t>
  </si>
  <si>
    <t>Specific Gravity (kg/m3)</t>
  </si>
  <si>
    <t xml:space="preserve">Relative Cost b </t>
  </si>
  <si>
    <t>Cost of Unit Strength (€/Nm)</t>
  </si>
  <si>
    <t xml:space="preserve">Scaled Properties </t>
  </si>
  <si>
    <t>Levelized Cost of Unit Strength (€/Nm)</t>
  </si>
  <si>
    <t>Figure of merit</t>
  </si>
  <si>
    <t xml:space="preserve">Steel 1020 </t>
  </si>
  <si>
    <t xml:space="preserve">Ti-alloy </t>
  </si>
  <si>
    <t xml:space="preserve">CFRP </t>
  </si>
  <si>
    <t xml:space="preserve">KFRP </t>
  </si>
  <si>
    <t xml:space="preserve">GFRP </t>
  </si>
  <si>
    <t>Tensile Strength</t>
  </si>
  <si>
    <t>Yield Strength</t>
  </si>
  <si>
    <t xml:space="preserve">Young’s Modulus </t>
  </si>
  <si>
    <t xml:space="preserve">Toughness  </t>
  </si>
  <si>
    <t xml:space="preserve">Density </t>
  </si>
  <si>
    <t>Specific Gravity</t>
  </si>
  <si>
    <t>Cost per ton</t>
  </si>
  <si>
    <t>Density of water at 4℃ (kg/m3)</t>
  </si>
  <si>
    <t>Unit</t>
  </si>
  <si>
    <t>MPa</t>
  </si>
  <si>
    <t>GPa</t>
  </si>
  <si>
    <t>MN m-3/2</t>
  </si>
  <si>
    <t>t/m3</t>
  </si>
  <si>
    <t>kg/m3</t>
  </si>
  <si>
    <t xml:space="preserve"> €/t</t>
  </si>
  <si>
    <t>Acetylene</t>
  </si>
  <si>
    <t>Air, dry</t>
  </si>
  <si>
    <t>Alcohol</t>
  </si>
  <si>
    <t>Aluminum</t>
  </si>
  <si>
    <t>Brass</t>
  </si>
  <si>
    <t>Cadmium</t>
  </si>
  <si>
    <t>Carbon dioxide</t>
  </si>
  <si>
    <t>Carbon monoxide</t>
  </si>
  <si>
    <t>Cast iron</t>
  </si>
  <si>
    <t>Chromium</t>
  </si>
  <si>
    <t>Copper</t>
  </si>
  <si>
    <t>Hydrogen</t>
  </si>
  <si>
    <t>Lead</t>
  </si>
  <si>
    <t>Mercury</t>
  </si>
  <si>
    <t>Nickel</t>
  </si>
  <si>
    <t>Nitrogen</t>
  </si>
  <si>
    <t>Nylon</t>
  </si>
  <si>
    <t>Oxygen</t>
  </si>
  <si>
    <t>Paraffin</t>
  </si>
  <si>
    <t>Petrol</t>
  </si>
  <si>
    <t>PVC</t>
  </si>
  <si>
    <t>Rubber</t>
  </si>
  <si>
    <t>Tin</t>
  </si>
  <si>
    <t>Water (4℃)</t>
  </si>
  <si>
    <t>Water, sea</t>
  </si>
  <si>
    <t>Wood, Oak</t>
  </si>
  <si>
    <t>Zinc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</si>
</sst>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#,##0.00\ [$€-407]"/>
    <numFmt numFmtId="165" formatCode="0.000%"/>
    <numFmt numFmtId="166" formatCode="0.0"/>
    <numFmt numFmtId="167" formatCode="0.000"/>
  </numFmts>
  <fonts count="34" x14ac:knownFonts="1"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name val="Calibri"/>
      <family val="2"/>
      <scheme val="minor"/>
    </font>
    <font>
      <sz val="12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1"/>
      <color theme="1"/>
      <name val="Calibri"/>
      <family val="2"/>
    </font>
    <font>
      <sz val="10"/>
      <color theme="1"/>
      <name val="Century Schoolbook"/>
      <family val="2"/>
    </font>
    <font>
      <sz val="12"/>
      <color theme="1"/>
      <name val="Century Schoolbook"/>
      <family val="2"/>
    </font>
    <font>
      <sz val="16"/>
      <color theme="1"/>
      <name val="Century Schoolbook"/>
      <family val="2"/>
    </font>
    <font>
      <sz val="10"/>
      <color theme="1"/>
      <name val="Arial Unicode MS"/>
      <family val="2"/>
    </font>
    <font>
      <sz val="10"/>
      <color theme="1"/>
      <name val="Lucida Sans"/>
      <family val="2"/>
    </font>
    <font>
      <sz val="16"/>
      <color theme="1"/>
      <name val="Lucida Sans"/>
      <family val="2"/>
    </font>
    <font>
      <b/>
      <sz val="10"/>
      <color theme="1"/>
      <name val="Century Schoolbook"/>
      <family val="1"/>
    </font>
    <font>
      <sz val="16"/>
      <color theme="1"/>
      <name val="Arial Unicode MS"/>
      <family val="2"/>
    </font>
    <font>
      <sz val="10"/>
      <color theme="1"/>
      <name val="Century Schoolbook"/>
      <family val="1"/>
    </font>
    <font>
      <sz val="20"/>
      <color theme="1"/>
      <name val="Arial Unicode MS"/>
      <family val="2"/>
    </font>
    <font>
      <i/>
      <sz val="10"/>
      <color theme="1"/>
      <name val="Century Schoolbook"/>
      <family val="1"/>
    </font>
    <font>
      <b/>
      <sz val="11"/>
      <color rgb="FF0070C0"/>
      <name val="Stencil"/>
      <family val="5"/>
    </font>
    <font>
      <sz val="24"/>
      <color theme="1"/>
      <name val="Arial Unicode MS"/>
      <family val="2"/>
    </font>
    <font>
      <sz val="12"/>
      <color theme="1"/>
      <name val="Century Schoolbook"/>
      <family val="1"/>
    </font>
    <font>
      <b/>
      <sz val="11"/>
      <color rgb="FF00B050"/>
      <name val="Stencil"/>
      <family val="5"/>
    </font>
    <font>
      <sz val="8"/>
      <name val="Calibri"/>
      <family val="2"/>
      <scheme val="minor"/>
    </font>
    <font>
      <sz val="12"/>
      <color rgb="FF000000"/>
      <name val="Calibri"/>
      <family val="2"/>
    </font>
    <font>
      <sz val="12"/>
      <color rgb="FFFF0000"/>
      <name val="Calibri"/>
      <family val="2"/>
      <scheme val="minor"/>
    </font>
    <font>
      <b/>
      <i/>
      <sz val="12"/>
      <name val="Calibri"/>
      <family val="2"/>
      <scheme val="minor"/>
    </font>
    <font>
      <sz val="12"/>
      <color rgb="FF00B050"/>
      <name val="Calibri"/>
      <family val="2"/>
      <scheme val="minor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i/>
      <sz val="10"/>
      <color rgb="FF000000"/>
      <name val="Calibri"/>
      <family val="2"/>
    </font>
    <font>
      <b/>
      <i/>
      <sz val="12"/>
      <color theme="0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darkUp">
        <bgColor auto="1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000"/>
        <bgColor indexed="64"/>
      </patternFill>
    </fill>
  </fills>
  <borders count="7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 style="thin">
        <color auto="1"/>
      </bottom>
      <diagonal/>
    </border>
    <border>
      <left/>
      <right/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thin">
        <color auto="1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/>
      <top style="thick">
        <color auto="1"/>
      </top>
      <bottom/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/>
      <top style="thick">
        <color auto="1"/>
      </top>
      <bottom style="thick">
        <color auto="1"/>
      </bottom>
      <diagonal/>
    </border>
    <border>
      <left/>
      <right style="thick">
        <color auto="1"/>
      </right>
      <top/>
      <bottom style="thick">
        <color auto="1"/>
      </bottom>
      <diagonal/>
    </border>
    <border>
      <left style="mediumDashDot">
        <color rgb="FFFF0000"/>
      </left>
      <right/>
      <top/>
      <bottom/>
      <diagonal/>
    </border>
    <border>
      <left style="mediumDashDot">
        <color rgb="FFFF0000"/>
      </left>
      <right style="mediumDashDot">
        <color rgb="FFFF0000"/>
      </right>
      <top/>
      <bottom/>
      <diagonal/>
    </border>
    <border>
      <left style="mediumDashDot">
        <color rgb="FFFF0000"/>
      </left>
      <right style="mediumDashDot">
        <color rgb="FFFF0000"/>
      </right>
      <top style="thick">
        <color auto="1"/>
      </top>
      <bottom/>
      <diagonal/>
    </border>
    <border>
      <left style="mediumDashDot">
        <color rgb="FFFF0000"/>
      </left>
      <right style="mediumDashed">
        <color rgb="FFFF0000"/>
      </right>
      <top/>
      <bottom/>
      <diagonal/>
    </border>
    <border>
      <left style="thick">
        <color auto="1"/>
      </left>
      <right/>
      <top/>
      <bottom/>
      <diagonal/>
    </border>
    <border>
      <left style="mediumDashDot">
        <color rgb="FFFF0000"/>
      </left>
      <right/>
      <top/>
      <bottom style="mediumDashDot">
        <color rgb="FFFF0000"/>
      </bottom>
      <diagonal/>
    </border>
    <border>
      <left style="mediumDashDot">
        <color rgb="FFFF0000"/>
      </left>
      <right style="mediumDashed">
        <color rgb="FFFF0000"/>
      </right>
      <top/>
      <bottom style="mediumDashed">
        <color rgb="FFFF0000"/>
      </bottom>
      <diagonal/>
    </border>
    <border>
      <left style="thick">
        <color auto="1"/>
      </left>
      <right/>
      <top/>
      <bottom style="thick">
        <color auto="1"/>
      </bottom>
      <diagonal/>
    </border>
    <border>
      <left/>
      <right/>
      <top/>
      <bottom style="thick">
        <color auto="1"/>
      </bottom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thin">
        <color auto="1"/>
      </right>
      <top style="thick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ck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/>
      <diagonal/>
    </border>
    <border>
      <left style="mediumDashDot">
        <color rgb="FFFF0000"/>
      </left>
      <right style="mediumDashDot">
        <color rgb="FFFF0000"/>
      </right>
      <top/>
      <bottom style="mediumDashDot">
        <color rgb="FFFF0000"/>
      </bottom>
      <diagonal/>
    </border>
    <border diagonalUp="1">
      <left/>
      <right/>
      <top/>
      <bottom/>
      <diagonal style="thin">
        <color auto="1"/>
      </diagonal>
    </border>
    <border diagonalDown="1">
      <left/>
      <right/>
      <top/>
      <bottom/>
      <diagonal style="thin">
        <color auto="1"/>
      </diagonal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 diagonalDown="1">
      <left style="thin">
        <color indexed="64"/>
      </left>
      <right/>
      <top style="thin">
        <color indexed="64"/>
      </top>
      <bottom/>
      <diagonal style="thin">
        <color auto="1"/>
      </diagonal>
    </border>
    <border diagonalDown="1">
      <left/>
      <right style="thin">
        <color indexed="64"/>
      </right>
      <top/>
      <bottom style="thin">
        <color indexed="64"/>
      </bottom>
      <diagonal style="thin">
        <color auto="1"/>
      </diagonal>
    </border>
    <border>
      <left style="medium">
        <color indexed="64"/>
      </left>
      <right style="medium">
        <color indexed="64"/>
      </right>
      <top style="thin">
        <color auto="1"/>
      </top>
      <bottom/>
      <diagonal/>
    </border>
    <border>
      <left style="medium">
        <color indexed="64"/>
      </left>
      <right/>
      <top/>
      <bottom style="thin">
        <color auto="1"/>
      </bottom>
      <diagonal/>
    </border>
  </borders>
  <cellStyleXfs count="4">
    <xf numFmtId="0" fontId="0" fillId="0" borderId="0"/>
    <xf numFmtId="0" fontId="8" fillId="0" borderId="0" applyNumberFormat="0" applyFill="0" applyBorder="0" applyAlignment="0" applyProtection="0"/>
    <xf numFmtId="0" fontId="10" fillId="0" borderId="0"/>
    <xf numFmtId="9" fontId="10" fillId="0" borderId="0" applyFont="0" applyFill="0" applyBorder="0" applyAlignment="0" applyProtection="0"/>
  </cellStyleXfs>
  <cellXfs count="342">
    <xf numFmtId="0" fontId="0" fillId="0" borderId="0" xfId="0"/>
    <xf numFmtId="0" fontId="1" fillId="2" borderId="1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vertical="center"/>
    </xf>
    <xf numFmtId="0" fontId="0" fillId="0" borderId="1" xfId="0" applyBorder="1"/>
    <xf numFmtId="0" fontId="2" fillId="0" borderId="1" xfId="0" applyFont="1" applyBorder="1" applyAlignment="1">
      <alignment horizontal="center" vertical="center" wrapText="1" readingOrder="1"/>
    </xf>
    <xf numFmtId="0" fontId="1" fillId="2" borderId="1" xfId="0" applyFont="1" applyFill="1" applyBorder="1"/>
    <xf numFmtId="0" fontId="1" fillId="2" borderId="7" xfId="0" applyFont="1" applyFill="1" applyBorder="1"/>
    <xf numFmtId="0" fontId="1" fillId="2" borderId="2" xfId="0" applyFont="1" applyFill="1" applyBorder="1"/>
    <xf numFmtId="0" fontId="1" fillId="2" borderId="3" xfId="0" applyFont="1" applyFill="1" applyBorder="1"/>
    <xf numFmtId="2" fontId="0" fillId="0" borderId="1" xfId="0" applyNumberFormat="1" applyBorder="1"/>
    <xf numFmtId="0" fontId="0" fillId="0" borderId="2" xfId="0" applyBorder="1"/>
    <xf numFmtId="0" fontId="0" fillId="0" borderId="3" xfId="0" applyBorder="1"/>
    <xf numFmtId="0" fontId="0" fillId="0" borderId="7" xfId="0" applyBorder="1"/>
    <xf numFmtId="0" fontId="0" fillId="0" borderId="0" xfId="0" applyBorder="1"/>
    <xf numFmtId="0" fontId="0" fillId="0" borderId="0" xfId="0" applyFont="1"/>
    <xf numFmtId="0" fontId="3" fillId="2" borderId="1" xfId="0" applyFont="1" applyFill="1" applyBorder="1" applyAlignment="1">
      <alignment horizontal="center"/>
    </xf>
    <xf numFmtId="0" fontId="3" fillId="2" borderId="1" xfId="0" applyFont="1" applyFill="1" applyBorder="1"/>
    <xf numFmtId="0" fontId="2" fillId="0" borderId="1" xfId="0" applyFont="1" applyBorder="1" applyAlignment="1">
      <alignment vertical="center" wrapText="1" readingOrder="1"/>
    </xf>
    <xf numFmtId="0" fontId="2" fillId="0" borderId="1" xfId="0" applyFont="1" applyBorder="1" applyAlignment="1">
      <alignment horizontal="left" vertical="center" wrapText="1" readingOrder="1"/>
    </xf>
    <xf numFmtId="0" fontId="0" fillId="3" borderId="1" xfId="0" applyFill="1" applyBorder="1"/>
    <xf numFmtId="0" fontId="0" fillId="3" borderId="7" xfId="0" applyFill="1" applyBorder="1"/>
    <xf numFmtId="0" fontId="0" fillId="2" borderId="0" xfId="0" applyFill="1"/>
    <xf numFmtId="0" fontId="0" fillId="0" borderId="0" xfId="0" applyFont="1" applyAlignment="1">
      <alignment vertical="center"/>
    </xf>
    <xf numFmtId="0" fontId="0" fillId="0" borderId="9" xfId="0" applyBorder="1"/>
    <xf numFmtId="0" fontId="0" fillId="0" borderId="4" xfId="0" applyBorder="1"/>
    <xf numFmtId="0" fontId="0" fillId="0" borderId="10" xfId="0" applyBorder="1"/>
    <xf numFmtId="0" fontId="0" fillId="0" borderId="11" xfId="0" applyBorder="1"/>
    <xf numFmtId="0" fontId="0" fillId="0" borderId="20" xfId="0" applyBorder="1"/>
    <xf numFmtId="0" fontId="0" fillId="0" borderId="18" xfId="0" applyBorder="1"/>
    <xf numFmtId="0" fontId="0" fillId="0" borderId="17" xfId="0" applyBorder="1"/>
    <xf numFmtId="0" fontId="0" fillId="0" borderId="19" xfId="0" applyBorder="1"/>
    <xf numFmtId="0" fontId="0" fillId="2" borderId="12" xfId="0" applyFill="1" applyBorder="1"/>
    <xf numFmtId="0" fontId="1" fillId="2" borderId="1" xfId="0" applyFont="1" applyFill="1" applyBorder="1" applyAlignment="1">
      <alignment horizontal="center" vertical="center" wrapText="1"/>
    </xf>
    <xf numFmtId="0" fontId="0" fillId="0" borderId="1" xfId="0" applyBorder="1" applyAlignment="1">
      <alignment horizontal="right" vertical="center" wrapText="1"/>
    </xf>
    <xf numFmtId="4" fontId="0" fillId="0" borderId="1" xfId="0" applyNumberFormat="1" applyBorder="1" applyAlignment="1">
      <alignment horizontal="right" vertical="center" wrapText="1"/>
    </xf>
    <xf numFmtId="10" fontId="0" fillId="0" borderId="1" xfId="0" applyNumberFormat="1" applyBorder="1" applyAlignment="1">
      <alignment horizontal="right" vertical="center" wrapText="1"/>
    </xf>
    <xf numFmtId="0" fontId="2" fillId="4" borderId="1" xfId="0" applyFont="1" applyFill="1" applyBorder="1" applyAlignment="1">
      <alignment horizontal="center" vertical="center" wrapText="1" readingOrder="1"/>
    </xf>
    <xf numFmtId="0" fontId="0" fillId="0" borderId="1" xfId="0" applyBorder="1" applyAlignment="1">
      <alignment vertical="center"/>
    </xf>
    <xf numFmtId="3" fontId="0" fillId="0" borderId="0" xfId="0" applyNumberFormat="1"/>
    <xf numFmtId="0" fontId="0" fillId="0" borderId="1" xfId="0" applyBorder="1" applyAlignment="1">
      <alignment horizontal="left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right" vertical="center"/>
    </xf>
    <xf numFmtId="0" fontId="2" fillId="0" borderId="26" xfId="0" applyFont="1" applyBorder="1" applyAlignment="1">
      <alignment horizontal="center" vertical="center"/>
    </xf>
    <xf numFmtId="0" fontId="0" fillId="0" borderId="26" xfId="0" applyBorder="1"/>
    <xf numFmtId="0" fontId="2" fillId="0" borderId="0" xfId="0" applyFont="1"/>
    <xf numFmtId="0" fontId="2" fillId="0" borderId="1" xfId="0" applyFont="1" applyBorder="1" applyAlignment="1">
      <alignment horizontal="center" vertical="center"/>
    </xf>
    <xf numFmtId="0" fontId="4" fillId="0" borderId="30" xfId="0" applyFont="1" applyBorder="1" applyAlignment="1">
      <alignment horizontal="left" vertical="center"/>
    </xf>
    <xf numFmtId="0" fontId="1" fillId="2" borderId="23" xfId="0" applyFont="1" applyFill="1" applyBorder="1" applyAlignment="1">
      <alignment horizontal="center" vertical="center"/>
    </xf>
    <xf numFmtId="0" fontId="1" fillId="2" borderId="24" xfId="0" applyFont="1" applyFill="1" applyBorder="1" applyAlignment="1">
      <alignment horizontal="center" vertical="center"/>
    </xf>
    <xf numFmtId="0" fontId="1" fillId="2" borderId="25" xfId="0" applyFont="1" applyFill="1" applyBorder="1" applyAlignment="1">
      <alignment horizontal="center" vertical="center"/>
    </xf>
    <xf numFmtId="0" fontId="0" fillId="0" borderId="31" xfId="0" applyBorder="1" applyAlignment="1">
      <alignment vertical="center"/>
    </xf>
    <xf numFmtId="0" fontId="0" fillId="0" borderId="32" xfId="0" applyBorder="1" applyAlignment="1">
      <alignment vertical="center"/>
    </xf>
    <xf numFmtId="0" fontId="1" fillId="2" borderId="35" xfId="0" applyFont="1" applyFill="1" applyBorder="1" applyAlignment="1">
      <alignment horizontal="center" vertical="center" wrapText="1" readingOrder="1"/>
    </xf>
    <xf numFmtId="0" fontId="5" fillId="0" borderId="30" xfId="0" applyFont="1" applyBorder="1" applyAlignment="1">
      <alignment horizontal="left" vertical="center" wrapText="1" readingOrder="1"/>
    </xf>
    <xf numFmtId="0" fontId="1" fillId="2" borderId="23" xfId="0" applyFont="1" applyFill="1" applyBorder="1" applyAlignment="1">
      <alignment horizontal="center" vertical="center" wrapText="1" readingOrder="1"/>
    </xf>
    <xf numFmtId="0" fontId="1" fillId="2" borderId="24" xfId="0" applyFont="1" applyFill="1" applyBorder="1" applyAlignment="1">
      <alignment horizontal="center" vertical="center" wrapText="1" readingOrder="1"/>
    </xf>
    <xf numFmtId="0" fontId="1" fillId="2" borderId="25" xfId="0" applyFont="1" applyFill="1" applyBorder="1" applyAlignment="1">
      <alignment horizontal="center" vertical="center" wrapText="1" readingOrder="1"/>
    </xf>
    <xf numFmtId="0" fontId="5" fillId="0" borderId="31" xfId="0" applyFont="1" applyBorder="1" applyAlignment="1">
      <alignment horizontal="center" vertical="center" wrapText="1" readingOrder="1"/>
    </xf>
    <xf numFmtId="0" fontId="2" fillId="0" borderId="32" xfId="0" applyFont="1" applyBorder="1" applyAlignment="1">
      <alignment horizontal="center" vertical="center" wrapText="1" readingOrder="1"/>
    </xf>
    <xf numFmtId="0" fontId="2" fillId="0" borderId="33" xfId="0" applyFont="1" applyBorder="1" applyAlignment="1">
      <alignment horizontal="center" vertical="center" wrapText="1" readingOrder="1"/>
    </xf>
    <xf numFmtId="0" fontId="2" fillId="0" borderId="2" xfId="0" applyFont="1" applyBorder="1" applyAlignment="1">
      <alignment horizontal="center" vertical="center" wrapText="1" readingOrder="1"/>
    </xf>
    <xf numFmtId="0" fontId="2" fillId="0" borderId="3" xfId="0" applyFont="1" applyBorder="1" applyAlignment="1">
      <alignment horizontal="center" vertical="center" wrapText="1" readingOrder="1"/>
    </xf>
    <xf numFmtId="0" fontId="2" fillId="0" borderId="34" xfId="0" applyFont="1" applyBorder="1" applyAlignment="1">
      <alignment horizontal="center" vertical="center" wrapText="1" readingOrder="1"/>
    </xf>
    <xf numFmtId="0" fontId="2" fillId="0" borderId="23" xfId="0" applyFont="1" applyBorder="1" applyAlignment="1">
      <alignment horizontal="center" vertical="center" wrapText="1" readingOrder="1"/>
    </xf>
    <xf numFmtId="0" fontId="2" fillId="0" borderId="24" xfId="0" applyFont="1" applyBorder="1" applyAlignment="1">
      <alignment horizontal="center" vertical="center" wrapText="1" readingOrder="1"/>
    </xf>
    <xf numFmtId="0" fontId="2" fillId="0" borderId="25" xfId="0" applyFont="1" applyBorder="1" applyAlignment="1">
      <alignment horizontal="center" vertical="center" wrapText="1" readingOrder="1"/>
    </xf>
    <xf numFmtId="0" fontId="4" fillId="0" borderId="0" xfId="0" applyFont="1"/>
    <xf numFmtId="0" fontId="5" fillId="0" borderId="0" xfId="0" applyFont="1"/>
    <xf numFmtId="0" fontId="0" fillId="0" borderId="36" xfId="0" applyBorder="1"/>
    <xf numFmtId="0" fontId="7" fillId="0" borderId="0" xfId="0" applyFont="1" applyAlignment="1">
      <alignment horizontal="right"/>
    </xf>
    <xf numFmtId="0" fontId="0" fillId="0" borderId="0" xfId="0" applyAlignment="1">
      <alignment horizontal="left"/>
    </xf>
    <xf numFmtId="0" fontId="7" fillId="5" borderId="37" xfId="0" applyFont="1" applyFill="1" applyBorder="1"/>
    <xf numFmtId="0" fontId="7" fillId="5" borderId="38" xfId="0" applyFont="1" applyFill="1" applyBorder="1"/>
    <xf numFmtId="0" fontId="7" fillId="5" borderId="38" xfId="0" applyFont="1" applyFill="1" applyBorder="1" applyAlignment="1">
      <alignment horizontal="center"/>
    </xf>
    <xf numFmtId="0" fontId="7" fillId="5" borderId="39" xfId="0" applyFont="1" applyFill="1" applyBorder="1"/>
    <xf numFmtId="14" fontId="0" fillId="0" borderId="0" xfId="0" applyNumberFormat="1" applyAlignment="1">
      <alignment horizontal="left"/>
    </xf>
    <xf numFmtId="0" fontId="9" fillId="0" borderId="40" xfId="0" applyFont="1" applyBorder="1" applyAlignment="1">
      <alignment horizontal="center"/>
    </xf>
    <xf numFmtId="0" fontId="0" fillId="0" borderId="41" xfId="0" applyBorder="1" applyAlignment="1">
      <alignment horizontal="center"/>
    </xf>
    <xf numFmtId="0" fontId="0" fillId="0" borderId="40" xfId="0" applyBorder="1" applyAlignment="1">
      <alignment horizontal="center"/>
    </xf>
    <xf numFmtId="0" fontId="0" fillId="0" borderId="42" xfId="0" applyBorder="1" applyAlignment="1">
      <alignment horizontal="center"/>
    </xf>
    <xf numFmtId="0" fontId="0" fillId="0" borderId="43" xfId="0" applyBorder="1" applyAlignment="1">
      <alignment horizontal="center"/>
    </xf>
    <xf numFmtId="0" fontId="0" fillId="0" borderId="44" xfId="0" applyBorder="1"/>
    <xf numFmtId="0" fontId="0" fillId="0" borderId="45" xfId="0" applyBorder="1"/>
    <xf numFmtId="0" fontId="0" fillId="0" borderId="46" xfId="0" applyBorder="1" applyAlignment="1">
      <alignment horizontal="center"/>
    </xf>
    <xf numFmtId="0" fontId="0" fillId="0" borderId="47" xfId="0" applyBorder="1"/>
    <xf numFmtId="0" fontId="0" fillId="0" borderId="48" xfId="0" applyBorder="1"/>
    <xf numFmtId="0" fontId="0" fillId="6" borderId="51" xfId="0" applyFill="1" applyBorder="1" applyAlignment="1">
      <alignment horizontal="center"/>
    </xf>
    <xf numFmtId="0" fontId="7" fillId="5" borderId="52" xfId="0" applyFont="1" applyFill="1" applyBorder="1" applyAlignment="1">
      <alignment horizontal="center"/>
    </xf>
    <xf numFmtId="0" fontId="7" fillId="5" borderId="17" xfId="0" applyFont="1" applyFill="1" applyBorder="1" applyAlignment="1">
      <alignment horizontal="center"/>
    </xf>
    <xf numFmtId="0" fontId="7" fillId="5" borderId="18" xfId="0" applyFont="1" applyFill="1" applyBorder="1" applyAlignment="1">
      <alignment horizontal="center"/>
    </xf>
    <xf numFmtId="0" fontId="7" fillId="5" borderId="53" xfId="0" applyFont="1" applyFill="1" applyBorder="1" applyAlignment="1">
      <alignment horizontal="center"/>
    </xf>
    <xf numFmtId="0" fontId="7" fillId="5" borderId="19" xfId="0" applyFont="1" applyFill="1" applyBorder="1" applyAlignment="1">
      <alignment horizontal="center"/>
    </xf>
    <xf numFmtId="0" fontId="7" fillId="5" borderId="54" xfId="0" applyFont="1" applyFill="1" applyBorder="1" applyAlignment="1">
      <alignment horizontal="center"/>
    </xf>
    <xf numFmtId="0" fontId="7" fillId="5" borderId="55" xfId="0" applyFont="1" applyFill="1" applyBorder="1" applyAlignment="1">
      <alignment horizontal="center"/>
    </xf>
    <xf numFmtId="0" fontId="7" fillId="5" borderId="56" xfId="0" applyFont="1" applyFill="1" applyBorder="1" applyAlignment="1">
      <alignment horizontal="center"/>
    </xf>
    <xf numFmtId="0" fontId="7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0" borderId="26" xfId="0" applyBorder="1" applyAlignment="1">
      <alignment horizontal="center"/>
    </xf>
    <xf numFmtId="0" fontId="0" fillId="0" borderId="57" xfId="0" applyBorder="1" applyAlignment="1">
      <alignment horizontal="center"/>
    </xf>
    <xf numFmtId="0" fontId="0" fillId="0" borderId="57" xfId="0" applyBorder="1" applyAlignment="1">
      <alignment horizontal="center" wrapText="1"/>
    </xf>
    <xf numFmtId="0" fontId="0" fillId="0" borderId="57" xfId="0" applyBorder="1" applyAlignment="1">
      <alignment wrapText="1"/>
    </xf>
    <xf numFmtId="164" fontId="0" fillId="0" borderId="57" xfId="0" applyNumberFormat="1" applyBorder="1" applyAlignment="1">
      <alignment horizontal="center" wrapText="1"/>
    </xf>
    <xf numFmtId="0" fontId="0" fillId="0" borderId="1" xfId="0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21" xfId="0" applyBorder="1" applyAlignment="1">
      <alignment horizontal="center" wrapText="1"/>
    </xf>
    <xf numFmtId="0" fontId="0" fillId="0" borderId="21" xfId="0" applyBorder="1" applyAlignment="1">
      <alignment wrapText="1"/>
    </xf>
    <xf numFmtId="164" fontId="0" fillId="0" borderId="21" xfId="0" applyNumberFormat="1" applyBorder="1" applyAlignment="1">
      <alignment horizontal="center" wrapText="1"/>
    </xf>
    <xf numFmtId="0" fontId="0" fillId="0" borderId="58" xfId="0" applyBorder="1" applyAlignment="1">
      <alignment horizontal="center"/>
    </xf>
    <xf numFmtId="0" fontId="1" fillId="2" borderId="1" xfId="0" applyFont="1" applyFill="1" applyBorder="1" applyAlignment="1">
      <alignment horizontal="right"/>
    </xf>
    <xf numFmtId="0" fontId="12" fillId="7" borderId="0" xfId="2" applyFont="1" applyFill="1"/>
    <xf numFmtId="0" fontId="10" fillId="7" borderId="0" xfId="2" applyFill="1"/>
    <xf numFmtId="0" fontId="13" fillId="7" borderId="0" xfId="2" applyFont="1" applyFill="1"/>
    <xf numFmtId="0" fontId="12" fillId="7" borderId="59" xfId="2" applyFont="1" applyFill="1" applyBorder="1"/>
    <xf numFmtId="0" fontId="12" fillId="7" borderId="60" xfId="2" applyFont="1" applyFill="1" applyBorder="1"/>
    <xf numFmtId="0" fontId="14" fillId="7" borderId="0" xfId="2" applyFont="1" applyFill="1"/>
    <xf numFmtId="0" fontId="15" fillId="7" borderId="0" xfId="2" applyFont="1" applyFill="1"/>
    <xf numFmtId="0" fontId="15" fillId="7" borderId="59" xfId="2" applyFont="1" applyFill="1" applyBorder="1" applyAlignment="1">
      <alignment horizontal="center" vertical="center"/>
    </xf>
    <xf numFmtId="0" fontId="15" fillId="7" borderId="60" xfId="2" applyFont="1" applyFill="1" applyBorder="1" applyAlignment="1">
      <alignment horizontal="center" vertical="center"/>
    </xf>
    <xf numFmtId="0" fontId="15" fillId="7" borderId="0" xfId="2" applyFont="1" applyFill="1" applyAlignment="1">
      <alignment vertical="center"/>
    </xf>
    <xf numFmtId="0" fontId="14" fillId="7" borderId="0" xfId="2" applyFont="1" applyFill="1" applyAlignment="1">
      <alignment vertical="center"/>
    </xf>
    <xf numFmtId="0" fontId="10" fillId="7" borderId="0" xfId="2" applyFill="1" applyAlignment="1">
      <alignment horizontal="center" vertical="center"/>
    </xf>
    <xf numFmtId="0" fontId="15" fillId="7" borderId="59" xfId="2" applyFont="1" applyFill="1" applyBorder="1"/>
    <xf numFmtId="0" fontId="15" fillId="7" borderId="60" xfId="2" applyFont="1" applyFill="1" applyBorder="1"/>
    <xf numFmtId="0" fontId="14" fillId="7" borderId="0" xfId="2" applyFont="1" applyFill="1" applyAlignment="1">
      <alignment horizontal="center" vertical="center"/>
    </xf>
    <xf numFmtId="0" fontId="13" fillId="7" borderId="0" xfId="2" applyFont="1" applyFill="1" applyAlignment="1">
      <alignment horizontal="center" vertical="center"/>
    </xf>
    <xf numFmtId="0" fontId="14" fillId="7" borderId="59" xfId="2" applyFont="1" applyFill="1" applyBorder="1"/>
    <xf numFmtId="0" fontId="14" fillId="7" borderId="60" xfId="2" applyFont="1" applyFill="1" applyBorder="1"/>
    <xf numFmtId="0" fontId="18" fillId="8" borderId="68" xfId="2" applyFont="1" applyFill="1" applyBorder="1"/>
    <xf numFmtId="0" fontId="18" fillId="8" borderId="62" xfId="2" applyFont="1" applyFill="1" applyBorder="1" applyAlignment="1">
      <alignment horizontal="center" vertical="center" textRotation="90" wrapText="1"/>
    </xf>
    <xf numFmtId="0" fontId="18" fillId="8" borderId="63" xfId="2" applyFont="1" applyFill="1" applyBorder="1" applyAlignment="1">
      <alignment horizontal="center" vertical="center" wrapText="1"/>
    </xf>
    <xf numFmtId="0" fontId="18" fillId="8" borderId="69" xfId="2" applyFont="1" applyFill="1" applyBorder="1"/>
    <xf numFmtId="0" fontId="10" fillId="8" borderId="1" xfId="2" applyFill="1" applyBorder="1" applyAlignment="1">
      <alignment horizontal="center" vertical="center"/>
    </xf>
    <xf numFmtId="0" fontId="21" fillId="9" borderId="1" xfId="2" applyFont="1" applyFill="1" applyBorder="1" applyAlignment="1">
      <alignment horizontal="left" vertical="center"/>
    </xf>
    <xf numFmtId="0" fontId="23" fillId="7" borderId="1" xfId="2" applyFont="1" applyFill="1" applyBorder="1" applyAlignment="1">
      <alignment horizontal="center" vertical="center"/>
    </xf>
    <xf numFmtId="0" fontId="18" fillId="7" borderId="0" xfId="2" applyFont="1" applyFill="1"/>
    <xf numFmtId="9" fontId="18" fillId="7" borderId="0" xfId="3" applyFont="1" applyFill="1"/>
    <xf numFmtId="0" fontId="4" fillId="0" borderId="0" xfId="2" applyFont="1"/>
    <xf numFmtId="0" fontId="6" fillId="0" borderId="0" xfId="2" applyFont="1"/>
    <xf numFmtId="0" fontId="6" fillId="2" borderId="1" xfId="2" applyFont="1" applyFill="1" applyBorder="1"/>
    <xf numFmtId="0" fontId="6" fillId="0" borderId="1" xfId="2" applyFont="1" applyBorder="1"/>
    <xf numFmtId="2" fontId="6" fillId="0" borderId="1" xfId="2" applyNumberFormat="1" applyFont="1" applyBorder="1"/>
    <xf numFmtId="0" fontId="6" fillId="0" borderId="7" xfId="2" applyFont="1" applyBorder="1"/>
    <xf numFmtId="0" fontId="6" fillId="2" borderId="7" xfId="2" applyFont="1" applyFill="1" applyBorder="1"/>
    <xf numFmtId="0" fontId="1" fillId="2" borderId="0" xfId="2" applyFont="1" applyFill="1"/>
    <xf numFmtId="0" fontId="1" fillId="2" borderId="1" xfId="2" applyFont="1" applyFill="1" applyBorder="1" applyAlignment="1">
      <alignment horizontal="center"/>
    </xf>
    <xf numFmtId="0" fontId="6" fillId="0" borderId="1" xfId="2" applyFont="1" applyBorder="1" applyAlignment="1">
      <alignment horizontal="center"/>
    </xf>
    <xf numFmtId="0" fontId="6" fillId="0" borderId="7" xfId="2" applyFont="1" applyBorder="1" applyAlignment="1">
      <alignment horizontal="center"/>
    </xf>
    <xf numFmtId="2" fontId="10" fillId="0" borderId="1" xfId="2" applyNumberFormat="1" applyBorder="1" applyAlignment="1">
      <alignment horizontal="center" vertical="center"/>
    </xf>
    <xf numFmtId="0" fontId="1" fillId="10" borderId="35" xfId="0" applyFont="1" applyFill="1" applyBorder="1" applyAlignment="1">
      <alignment horizontal="center" vertical="center" wrapText="1" readingOrder="1"/>
    </xf>
    <xf numFmtId="0" fontId="1" fillId="2" borderId="70" xfId="0" applyFont="1" applyFill="1" applyBorder="1" applyAlignment="1">
      <alignment horizontal="center" vertical="center" wrapText="1" readingOrder="1"/>
    </xf>
    <xf numFmtId="0" fontId="1" fillId="10" borderId="10" xfId="0" applyFont="1" applyFill="1" applyBorder="1" applyAlignment="1">
      <alignment horizontal="center" vertical="center" wrapText="1" readingOrder="1"/>
    </xf>
    <xf numFmtId="0" fontId="1" fillId="10" borderId="9" xfId="0" applyFont="1" applyFill="1" applyBorder="1" applyAlignment="1">
      <alignment horizontal="center" vertical="center" wrapText="1" readingOrder="1"/>
    </xf>
    <xf numFmtId="0" fontId="1" fillId="10" borderId="11" xfId="0" applyFont="1" applyFill="1" applyBorder="1" applyAlignment="1">
      <alignment horizontal="center" vertical="center" wrapText="1" readingOrder="1"/>
    </xf>
    <xf numFmtId="0" fontId="1" fillId="2" borderId="10" xfId="0" applyFont="1" applyFill="1" applyBorder="1" applyAlignment="1">
      <alignment horizontal="center" vertical="center" wrapText="1" readingOrder="1"/>
    </xf>
    <xf numFmtId="0" fontId="1" fillId="2" borderId="9" xfId="0" applyFont="1" applyFill="1" applyBorder="1" applyAlignment="1">
      <alignment horizontal="center" vertical="center" wrapText="1" readingOrder="1"/>
    </xf>
    <xf numFmtId="0" fontId="1" fillId="2" borderId="11" xfId="0" applyFont="1" applyFill="1" applyBorder="1" applyAlignment="1">
      <alignment horizontal="center" vertical="center" wrapText="1" readingOrder="1"/>
    </xf>
    <xf numFmtId="0" fontId="1" fillId="10" borderId="70" xfId="0" applyFont="1" applyFill="1" applyBorder="1" applyAlignment="1">
      <alignment horizontal="center" vertical="center" wrapText="1" readingOrder="1"/>
    </xf>
    <xf numFmtId="0" fontId="2" fillId="0" borderId="35" xfId="0" applyFont="1" applyBorder="1" applyAlignment="1">
      <alignment horizontal="center" vertical="center" wrapText="1" readingOrder="1"/>
    </xf>
    <xf numFmtId="0" fontId="2" fillId="10" borderId="35" xfId="0" applyFont="1" applyFill="1" applyBorder="1" applyAlignment="1">
      <alignment horizontal="center" vertical="center" wrapText="1" readingOrder="1"/>
    </xf>
    <xf numFmtId="0" fontId="5" fillId="0" borderId="71" xfId="0" applyFont="1" applyBorder="1" applyAlignment="1">
      <alignment horizontal="center" vertical="center" wrapText="1" readingOrder="1"/>
    </xf>
    <xf numFmtId="0" fontId="2" fillId="10" borderId="1" xfId="0" applyFont="1" applyFill="1" applyBorder="1" applyAlignment="1">
      <alignment horizontal="center" vertical="center" wrapText="1" readingOrder="1"/>
    </xf>
    <xf numFmtId="0" fontId="5" fillId="0" borderId="13" xfId="0" applyFont="1" applyBorder="1" applyAlignment="1">
      <alignment horizontal="left" vertical="center" wrapText="1" readingOrder="1"/>
    </xf>
    <xf numFmtId="0" fontId="2" fillId="10" borderId="2" xfId="0" applyFont="1" applyFill="1" applyBorder="1" applyAlignment="1">
      <alignment horizontal="center" vertical="center" wrapText="1" readingOrder="1"/>
    </xf>
    <xf numFmtId="0" fontId="2" fillId="10" borderId="3" xfId="0" applyFont="1" applyFill="1" applyBorder="1" applyAlignment="1">
      <alignment horizontal="center" vertical="center" wrapText="1" readingOrder="1"/>
    </xf>
    <xf numFmtId="0" fontId="2" fillId="10" borderId="23" xfId="0" applyFont="1" applyFill="1" applyBorder="1" applyAlignment="1">
      <alignment horizontal="center" vertical="center" wrapText="1" readingOrder="1"/>
    </xf>
    <xf numFmtId="0" fontId="2" fillId="10" borderId="24" xfId="0" applyFont="1" applyFill="1" applyBorder="1" applyAlignment="1">
      <alignment horizontal="center" vertical="center" wrapText="1" readingOrder="1"/>
    </xf>
    <xf numFmtId="0" fontId="2" fillId="10" borderId="25" xfId="0" applyFont="1" applyFill="1" applyBorder="1" applyAlignment="1">
      <alignment horizontal="center" vertical="center" wrapText="1" readingOrder="1"/>
    </xf>
    <xf numFmtId="0" fontId="2" fillId="10" borderId="33" xfId="0" applyFont="1" applyFill="1" applyBorder="1" applyAlignment="1">
      <alignment horizontal="center" vertical="center" wrapText="1" readingOrder="1"/>
    </xf>
    <xf numFmtId="0" fontId="2" fillId="10" borderId="34" xfId="0" applyFont="1" applyFill="1" applyBorder="1" applyAlignment="1">
      <alignment horizontal="center" vertical="center" wrapText="1" readingOrder="1"/>
    </xf>
    <xf numFmtId="0" fontId="2" fillId="10" borderId="5" xfId="0" applyFont="1" applyFill="1" applyBorder="1" applyAlignment="1">
      <alignment horizontal="center" vertical="center" wrapText="1" readingOrder="1"/>
    </xf>
    <xf numFmtId="0" fontId="2" fillId="10" borderId="22" xfId="0" applyFont="1" applyFill="1" applyBorder="1" applyAlignment="1">
      <alignment horizontal="center" vertical="center" wrapText="1" readingOrder="1"/>
    </xf>
    <xf numFmtId="0" fontId="2" fillId="10" borderId="6" xfId="0" applyFont="1" applyFill="1" applyBorder="1" applyAlignment="1">
      <alignment horizontal="center" vertical="center" wrapText="1" readingOrder="1"/>
    </xf>
    <xf numFmtId="0" fontId="2" fillId="0" borderId="5" xfId="0" applyFont="1" applyBorder="1" applyAlignment="1">
      <alignment horizontal="center" vertical="center" wrapText="1" readingOrder="1"/>
    </xf>
    <xf numFmtId="0" fontId="2" fillId="0" borderId="22" xfId="0" applyFont="1" applyBorder="1" applyAlignment="1">
      <alignment horizontal="center" vertical="center" wrapText="1" readingOrder="1"/>
    </xf>
    <xf numFmtId="0" fontId="2" fillId="0" borderId="6" xfId="0" applyFont="1" applyBorder="1" applyAlignment="1">
      <alignment horizontal="center" vertical="center" wrapText="1" readingOrder="1"/>
    </xf>
    <xf numFmtId="0" fontId="1" fillId="2" borderId="9" xfId="0" applyFont="1" applyFill="1" applyBorder="1"/>
    <xf numFmtId="0" fontId="1" fillId="2" borderId="0" xfId="0" applyFont="1" applyFill="1"/>
    <xf numFmtId="0" fontId="0" fillId="0" borderId="23" xfId="0" applyBorder="1"/>
    <xf numFmtId="0" fontId="0" fillId="0" borderId="24" xfId="0" applyBorder="1"/>
    <xf numFmtId="0" fontId="5" fillId="0" borderId="35" xfId="0" applyFont="1" applyBorder="1" applyAlignment="1">
      <alignment horizontal="center" vertical="center" wrapText="1" readingOrder="1"/>
    </xf>
    <xf numFmtId="0" fontId="5" fillId="0" borderId="33" xfId="0" applyFont="1" applyBorder="1" applyAlignment="1">
      <alignment horizontal="center" vertical="center" wrapText="1" readingOrder="1"/>
    </xf>
    <xf numFmtId="0" fontId="15" fillId="7" borderId="0" xfId="2" applyFont="1" applyFill="1" applyAlignment="1">
      <alignment horizontal="center" vertical="center"/>
    </xf>
    <xf numFmtId="0" fontId="10" fillId="0" borderId="1" xfId="2" applyBorder="1" applyAlignment="1">
      <alignment horizontal="center" vertical="center"/>
    </xf>
    <xf numFmtId="0" fontId="1" fillId="2" borderId="8" xfId="0" applyFont="1" applyFill="1" applyBorder="1"/>
    <xf numFmtId="0" fontId="0" fillId="0" borderId="21" xfId="0" applyBorder="1" applyAlignment="1">
      <alignment horizontal="right" vertical="center" wrapText="1"/>
    </xf>
    <xf numFmtId="2" fontId="0" fillId="0" borderId="7" xfId="0" applyNumberFormat="1" applyBorder="1"/>
    <xf numFmtId="0" fontId="5" fillId="2" borderId="1" xfId="0" applyFont="1" applyFill="1" applyBorder="1" applyAlignment="1">
      <alignment horizontal="center" vertical="center" wrapText="1"/>
    </xf>
    <xf numFmtId="0" fontId="27" fillId="0" borderId="1" xfId="0" applyFont="1" applyBorder="1" applyAlignment="1">
      <alignment horizontal="right" vertical="center" wrapText="1"/>
    </xf>
    <xf numFmtId="4" fontId="27" fillId="0" borderId="1" xfId="0" applyNumberFormat="1" applyFont="1" applyBorder="1" applyAlignment="1">
      <alignment horizontal="right" vertical="center" wrapText="1"/>
    </xf>
    <xf numFmtId="10" fontId="27" fillId="0" borderId="1" xfId="0" applyNumberFormat="1" applyFont="1" applyBorder="1" applyAlignment="1">
      <alignment horizontal="right" vertical="center" wrapText="1"/>
    </xf>
    <xf numFmtId="0" fontId="1" fillId="2" borderId="9" xfId="0" applyFont="1" applyFill="1" applyBorder="1" applyAlignment="1">
      <alignment horizontal="right"/>
    </xf>
    <xf numFmtId="17" fontId="1" fillId="2" borderId="9" xfId="0" applyNumberFormat="1" applyFont="1" applyFill="1" applyBorder="1"/>
    <xf numFmtId="0" fontId="4" fillId="0" borderId="5" xfId="0" applyFont="1" applyBorder="1"/>
    <xf numFmtId="0" fontId="4" fillId="0" borderId="22" xfId="0" applyFont="1" applyBorder="1" applyAlignment="1">
      <alignment horizontal="right"/>
    </xf>
    <xf numFmtId="17" fontId="4" fillId="0" borderId="22" xfId="0" applyNumberFormat="1" applyFont="1" applyBorder="1"/>
    <xf numFmtId="17" fontId="4" fillId="0" borderId="6" xfId="0" applyNumberFormat="1" applyFont="1" applyBorder="1"/>
    <xf numFmtId="0" fontId="0" fillId="0" borderId="21" xfId="0" applyBorder="1"/>
    <xf numFmtId="0" fontId="0" fillId="0" borderId="22" xfId="0" applyBorder="1"/>
    <xf numFmtId="0" fontId="0" fillId="0" borderId="6" xfId="0" applyBorder="1"/>
    <xf numFmtId="3" fontId="0" fillId="0" borderId="1" xfId="0" applyNumberFormat="1" applyBorder="1"/>
    <xf numFmtId="3" fontId="0" fillId="0" borderId="1" xfId="0" applyNumberFormat="1" applyFill="1" applyBorder="1" applyAlignment="1">
      <alignment horizontal="right" vertical="center"/>
    </xf>
    <xf numFmtId="0" fontId="0" fillId="0" borderId="1" xfId="0" applyFill="1" applyBorder="1" applyAlignment="1">
      <alignment vertical="center"/>
    </xf>
    <xf numFmtId="3" fontId="0" fillId="0" borderId="1" xfId="0" applyNumberFormat="1" applyFill="1" applyBorder="1" applyAlignment="1">
      <alignment vertical="center" wrapText="1"/>
    </xf>
    <xf numFmtId="165" fontId="0" fillId="0" borderId="1" xfId="0" applyNumberFormat="1" applyFill="1" applyBorder="1" applyAlignment="1">
      <alignment vertical="center" wrapText="1"/>
    </xf>
    <xf numFmtId="10" fontId="0" fillId="0" borderId="1" xfId="0" applyNumberFormat="1" applyFill="1" applyBorder="1" applyAlignment="1">
      <alignment vertical="center"/>
    </xf>
    <xf numFmtId="3" fontId="0" fillId="0" borderId="0" xfId="0" applyNumberFormat="1" applyFont="1" applyFill="1" applyBorder="1"/>
    <xf numFmtId="3" fontId="0" fillId="0" borderId="0" xfId="0" applyNumberFormat="1" applyFont="1" applyBorder="1"/>
    <xf numFmtId="3" fontId="0" fillId="11" borderId="1" xfId="0" applyNumberFormat="1" applyFill="1" applyBorder="1"/>
    <xf numFmtId="0" fontId="28" fillId="12" borderId="4" xfId="0" applyFont="1" applyFill="1" applyBorder="1" applyAlignment="1">
      <alignment horizontal="center" vertical="center" wrapText="1"/>
    </xf>
    <xf numFmtId="0" fontId="28" fillId="12" borderId="13" xfId="0" applyFont="1" applyFill="1" applyBorder="1" applyAlignment="1">
      <alignment horizontal="center" vertical="center" wrapText="1"/>
    </xf>
    <xf numFmtId="0" fontId="5" fillId="0" borderId="32" xfId="0" applyFont="1" applyBorder="1" applyAlignment="1">
      <alignment horizontal="center" vertical="center" wrapText="1" readingOrder="1"/>
    </xf>
    <xf numFmtId="0" fontId="2" fillId="0" borderId="26" xfId="0" applyFont="1" applyBorder="1" applyAlignment="1">
      <alignment horizontal="center" vertical="center" wrapText="1" readingOrder="1"/>
    </xf>
    <xf numFmtId="0" fontId="5" fillId="0" borderId="52" xfId="0" applyFont="1" applyBorder="1" applyAlignment="1">
      <alignment horizontal="left" vertical="center" wrapText="1" readingOrder="1"/>
    </xf>
    <xf numFmtId="0" fontId="1" fillId="2" borderId="34" xfId="0" applyFont="1" applyFill="1" applyBorder="1" applyAlignment="1">
      <alignment horizontal="center" vertical="center" wrapText="1" readingOrder="1"/>
    </xf>
    <xf numFmtId="0" fontId="1" fillId="10" borderId="23" xfId="0" applyFont="1" applyFill="1" applyBorder="1" applyAlignment="1">
      <alignment horizontal="center" vertical="center" wrapText="1" readingOrder="1"/>
    </xf>
    <xf numFmtId="0" fontId="1" fillId="10" borderId="24" xfId="0" applyFont="1" applyFill="1" applyBorder="1" applyAlignment="1">
      <alignment horizontal="center" vertical="center" wrapText="1" readingOrder="1"/>
    </xf>
    <xf numFmtId="0" fontId="1" fillId="10" borderId="25" xfId="0" applyFont="1" applyFill="1" applyBorder="1" applyAlignment="1">
      <alignment horizontal="center" vertical="center" wrapText="1" readingOrder="1"/>
    </xf>
    <xf numFmtId="0" fontId="1" fillId="10" borderId="34" xfId="0" applyFont="1" applyFill="1" applyBorder="1" applyAlignment="1">
      <alignment horizontal="center" vertical="center" wrapText="1" readingOrder="1"/>
    </xf>
    <xf numFmtId="0" fontId="8" fillId="0" borderId="0" xfId="1" applyAlignment="1" applyProtection="1"/>
    <xf numFmtId="0" fontId="29" fillId="0" borderId="1" xfId="0" applyFont="1" applyFill="1" applyBorder="1" applyAlignment="1">
      <alignment vertical="center"/>
    </xf>
    <xf numFmtId="3" fontId="29" fillId="0" borderId="1" xfId="0" applyNumberFormat="1" applyFont="1" applyFill="1" applyBorder="1" applyAlignment="1">
      <alignment horizontal="right" vertical="center"/>
    </xf>
    <xf numFmtId="3" fontId="29" fillId="0" borderId="1" xfId="0" applyNumberFormat="1" applyFont="1" applyFill="1" applyBorder="1" applyAlignment="1">
      <alignment vertical="center" wrapText="1"/>
    </xf>
    <xf numFmtId="165" fontId="29" fillId="0" borderId="1" xfId="0" applyNumberFormat="1" applyFont="1" applyFill="1" applyBorder="1" applyAlignment="1">
      <alignment vertical="center" wrapText="1"/>
    </xf>
    <xf numFmtId="10" fontId="29" fillId="0" borderId="1" xfId="0" applyNumberFormat="1" applyFont="1" applyFill="1" applyBorder="1" applyAlignment="1">
      <alignment vertical="center"/>
    </xf>
    <xf numFmtId="0" fontId="2" fillId="0" borderId="1" xfId="0" applyFont="1" applyBorder="1"/>
    <xf numFmtId="0" fontId="30" fillId="0" borderId="1" xfId="0" applyFont="1" applyBorder="1" applyAlignment="1">
      <alignment horizontal="center"/>
    </xf>
    <xf numFmtId="0" fontId="30" fillId="0" borderId="1" xfId="0" applyFont="1" applyBorder="1" applyAlignment="1">
      <alignment horizontal="left"/>
    </xf>
    <xf numFmtId="0" fontId="31" fillId="2" borderId="1" xfId="0" applyFont="1" applyFill="1" applyBorder="1" applyAlignment="1">
      <alignment horizontal="center"/>
    </xf>
    <xf numFmtId="0" fontId="31" fillId="0" borderId="1" xfId="0" applyFont="1" applyBorder="1" applyAlignment="1">
      <alignment horizontal="center"/>
    </xf>
    <xf numFmtId="2" fontId="31" fillId="0" borderId="1" xfId="0" applyNumberFormat="1" applyFont="1" applyBorder="1" applyAlignment="1">
      <alignment horizontal="center"/>
    </xf>
    <xf numFmtId="0" fontId="31" fillId="0" borderId="0" xfId="0" applyFont="1" applyAlignment="1">
      <alignment horizontal="center"/>
    </xf>
    <xf numFmtId="0" fontId="1" fillId="2" borderId="4" xfId="0" applyFont="1" applyFill="1" applyBorder="1" applyAlignment="1">
      <alignment horizontal="center"/>
    </xf>
    <xf numFmtId="0" fontId="1" fillId="2" borderId="9" xfId="0" applyFont="1" applyFill="1" applyBorder="1" applyAlignment="1">
      <alignment horizontal="center"/>
    </xf>
    <xf numFmtId="0" fontId="1" fillId="2" borderId="26" xfId="0" applyFont="1" applyFill="1" applyBorder="1" applyAlignment="1">
      <alignment horizontal="center" vertical="center"/>
    </xf>
    <xf numFmtId="0" fontId="4" fillId="0" borderId="1" xfId="0" applyFont="1" applyBorder="1"/>
    <xf numFmtId="0" fontId="1" fillId="2" borderId="0" xfId="0" applyFont="1" applyFill="1" applyAlignment="1">
      <alignment wrapText="1"/>
    </xf>
    <xf numFmtId="0" fontId="1" fillId="2" borderId="1" xfId="0" applyFont="1" applyFill="1" applyBorder="1" applyAlignment="1">
      <alignment horizontal="center"/>
    </xf>
    <xf numFmtId="0" fontId="4" fillId="0" borderId="1" xfId="0" applyFont="1" applyBorder="1" applyAlignment="1">
      <alignment horizontal="center"/>
    </xf>
    <xf numFmtId="2" fontId="0" fillId="0" borderId="1" xfId="0" applyNumberFormat="1" applyBorder="1" applyAlignment="1">
      <alignment horizontal="center"/>
    </xf>
    <xf numFmtId="166" fontId="0" fillId="0" borderId="1" xfId="0" applyNumberFormat="1" applyBorder="1" applyAlignment="1">
      <alignment horizontal="center"/>
    </xf>
    <xf numFmtId="167" fontId="0" fillId="0" borderId="1" xfId="0" applyNumberFormat="1" applyBorder="1" applyAlignment="1">
      <alignment horizontal="center"/>
    </xf>
    <xf numFmtId="0" fontId="4" fillId="0" borderId="0" xfId="0" applyFont="1" applyBorder="1"/>
    <xf numFmtId="11" fontId="1" fillId="2" borderId="1" xfId="0" applyNumberFormat="1" applyFont="1" applyFill="1" applyBorder="1" applyAlignment="1">
      <alignment horizontal="center" vertical="center"/>
    </xf>
    <xf numFmtId="0" fontId="1" fillId="2" borderId="9" xfId="0" applyFont="1" applyFill="1" applyBorder="1" applyAlignment="1">
      <alignment horizontal="center" vertical="center"/>
    </xf>
    <xf numFmtId="0" fontId="33" fillId="2" borderId="1" xfId="0" applyFont="1" applyFill="1" applyBorder="1" applyAlignment="1">
      <alignment horizontal="right" vertical="center"/>
    </xf>
    <xf numFmtId="0" fontId="33" fillId="2" borderId="1" xfId="0" applyFont="1" applyFill="1" applyBorder="1" applyAlignment="1">
      <alignment horizontal="center" vertical="center"/>
    </xf>
    <xf numFmtId="11" fontId="33" fillId="2" borderId="1" xfId="0" applyNumberFormat="1" applyFont="1" applyFill="1" applyBorder="1" applyAlignment="1">
      <alignment horizontal="center" vertical="center"/>
    </xf>
    <xf numFmtId="0" fontId="33" fillId="2" borderId="9" xfId="0" applyFont="1" applyFill="1" applyBorder="1" applyAlignment="1">
      <alignment horizontal="center" vertical="center"/>
    </xf>
    <xf numFmtId="0" fontId="4" fillId="0" borderId="0" xfId="0" applyFont="1" applyAlignment="1">
      <alignment horizontal="center"/>
    </xf>
    <xf numFmtId="2" fontId="4" fillId="0" borderId="0" xfId="0" applyNumberFormat="1" applyFont="1"/>
    <xf numFmtId="0" fontId="1" fillId="2" borderId="1" xfId="0" applyFont="1" applyFill="1" applyBorder="1" applyAlignment="1">
      <alignment horizontal="left" vertical="center"/>
    </xf>
    <xf numFmtId="0" fontId="2" fillId="0" borderId="7" xfId="0" applyFont="1" applyBorder="1" applyAlignment="1">
      <alignment horizontal="center" vertical="center" wrapText="1" readingOrder="1"/>
    </xf>
    <xf numFmtId="0" fontId="2" fillId="0" borderId="16" xfId="0" applyFont="1" applyBorder="1" applyAlignment="1">
      <alignment horizontal="center" vertical="center" wrapText="1" readingOrder="1"/>
    </xf>
    <xf numFmtId="0" fontId="2" fillId="4" borderId="7" xfId="0" applyFont="1" applyFill="1" applyBorder="1" applyAlignment="1">
      <alignment horizontal="center" vertical="center" wrapText="1" readingOrder="1"/>
    </xf>
    <xf numFmtId="0" fontId="2" fillId="4" borderId="16" xfId="0" applyFont="1" applyFill="1" applyBorder="1" applyAlignment="1">
      <alignment horizontal="center" vertical="center" wrapText="1" readingOrder="1"/>
    </xf>
    <xf numFmtId="0" fontId="1" fillId="2" borderId="13" xfId="0" applyFont="1" applyFill="1" applyBorder="1" applyAlignment="1">
      <alignment horizontal="center"/>
    </xf>
    <xf numFmtId="0" fontId="1" fillId="2" borderId="14" xfId="0" applyFont="1" applyFill="1" applyBorder="1" applyAlignment="1">
      <alignment horizontal="center"/>
    </xf>
    <xf numFmtId="0" fontId="1" fillId="2" borderId="15" xfId="0" applyFont="1" applyFill="1" applyBorder="1" applyAlignment="1">
      <alignment horizontal="center"/>
    </xf>
    <xf numFmtId="0" fontId="1" fillId="2" borderId="5" xfId="0" applyFont="1" applyFill="1" applyBorder="1" applyAlignment="1">
      <alignment horizontal="center"/>
    </xf>
    <xf numFmtId="0" fontId="1" fillId="2" borderId="6" xfId="0" applyFont="1" applyFill="1" applyBorder="1" applyAlignment="1">
      <alignment horizontal="center"/>
    </xf>
    <xf numFmtId="0" fontId="1" fillId="2" borderId="0" xfId="0" applyFont="1" applyFill="1" applyAlignment="1">
      <alignment horizontal="center"/>
    </xf>
    <xf numFmtId="0" fontId="15" fillId="7" borderId="0" xfId="2" applyFont="1" applyFill="1" applyAlignment="1">
      <alignment horizontal="center" vertical="center"/>
    </xf>
    <xf numFmtId="0" fontId="16" fillId="7" borderId="4" xfId="2" applyFont="1" applyFill="1" applyBorder="1" applyAlignment="1">
      <alignment horizontal="center" vertical="center"/>
    </xf>
    <xf numFmtId="0" fontId="16" fillId="7" borderId="61" xfId="2" applyFont="1" applyFill="1" applyBorder="1" applyAlignment="1">
      <alignment horizontal="center" vertical="center"/>
    </xf>
    <xf numFmtId="0" fontId="16" fillId="7" borderId="62" xfId="2" applyFont="1" applyFill="1" applyBorder="1" applyAlignment="1">
      <alignment horizontal="center" vertical="center"/>
    </xf>
    <xf numFmtId="0" fontId="16" fillId="7" borderId="63" xfId="2" applyFont="1" applyFill="1" applyBorder="1" applyAlignment="1">
      <alignment horizontal="center" vertical="center"/>
    </xf>
    <xf numFmtId="0" fontId="16" fillId="7" borderId="8" xfId="2" applyFont="1" applyFill="1" applyBorder="1" applyAlignment="1">
      <alignment horizontal="center" vertical="center"/>
    </xf>
    <xf numFmtId="0" fontId="16" fillId="7" borderId="64" xfId="2" applyFont="1" applyFill="1" applyBorder="1" applyAlignment="1">
      <alignment horizontal="center" vertical="center"/>
    </xf>
    <xf numFmtId="0" fontId="10" fillId="7" borderId="65" xfId="2" applyFill="1" applyBorder="1" applyAlignment="1">
      <alignment horizontal="right" vertical="center"/>
    </xf>
    <xf numFmtId="0" fontId="10" fillId="7" borderId="0" xfId="2" applyFill="1" applyAlignment="1">
      <alignment horizontal="right" vertical="center"/>
    </xf>
    <xf numFmtId="0" fontId="15" fillId="7" borderId="66" xfId="2" applyFont="1" applyFill="1" applyBorder="1" applyAlignment="1">
      <alignment horizontal="center" vertical="center"/>
    </xf>
    <xf numFmtId="0" fontId="10" fillId="7" borderId="63" xfId="2" applyFill="1" applyBorder="1" applyAlignment="1">
      <alignment horizontal="right" vertical="center"/>
    </xf>
    <xf numFmtId="0" fontId="10" fillId="7" borderId="8" xfId="2" applyFill="1" applyBorder="1" applyAlignment="1">
      <alignment horizontal="right" vertical="center"/>
    </xf>
    <xf numFmtId="0" fontId="15" fillId="7" borderId="64" xfId="2" applyFont="1" applyFill="1" applyBorder="1" applyAlignment="1">
      <alignment horizontal="center" vertical="center"/>
    </xf>
    <xf numFmtId="0" fontId="17" fillId="7" borderId="66" xfId="2" applyFont="1" applyFill="1" applyBorder="1" applyAlignment="1">
      <alignment horizontal="center" vertical="center"/>
    </xf>
    <xf numFmtId="0" fontId="17" fillId="7" borderId="64" xfId="2" applyFont="1" applyFill="1" applyBorder="1" applyAlignment="1">
      <alignment horizontal="center" vertical="center"/>
    </xf>
    <xf numFmtId="0" fontId="18" fillId="8" borderId="1" xfId="2" applyFont="1" applyFill="1" applyBorder="1" applyAlignment="1">
      <alignment horizontal="right" vertical="center"/>
    </xf>
    <xf numFmtId="0" fontId="10" fillId="8" borderId="4" xfId="2" applyFill="1" applyBorder="1" applyAlignment="1">
      <alignment horizontal="center" vertical="center"/>
    </xf>
    <xf numFmtId="0" fontId="10" fillId="8" borderId="61" xfId="2" applyFill="1" applyBorder="1" applyAlignment="1">
      <alignment horizontal="center" vertical="center"/>
    </xf>
    <xf numFmtId="0" fontId="10" fillId="8" borderId="62" xfId="2" applyFill="1" applyBorder="1" applyAlignment="1">
      <alignment horizontal="center" vertical="center"/>
    </xf>
    <xf numFmtId="0" fontId="19" fillId="0" borderId="4" xfId="2" applyFont="1" applyBorder="1" applyAlignment="1">
      <alignment horizontal="center" vertical="center"/>
    </xf>
    <xf numFmtId="0" fontId="19" fillId="0" borderId="61" xfId="2" applyFont="1" applyBorder="1" applyAlignment="1">
      <alignment horizontal="center" vertical="center"/>
    </xf>
    <xf numFmtId="0" fontId="19" fillId="0" borderId="62" xfId="2" applyFont="1" applyBorder="1" applyAlignment="1">
      <alignment horizontal="center" vertical="center"/>
    </xf>
    <xf numFmtId="0" fontId="10" fillId="8" borderId="7" xfId="2" applyFill="1" applyBorder="1" applyAlignment="1">
      <alignment horizontal="center" vertical="center" wrapText="1"/>
    </xf>
    <xf numFmtId="0" fontId="10" fillId="8" borderId="67" xfId="2" applyFill="1" applyBorder="1" applyAlignment="1">
      <alignment horizontal="center" vertical="center" wrapText="1"/>
    </xf>
    <xf numFmtId="0" fontId="10" fillId="8" borderId="16" xfId="2" applyFill="1" applyBorder="1" applyAlignment="1">
      <alignment horizontal="center" vertical="center" wrapText="1"/>
    </xf>
    <xf numFmtId="0" fontId="18" fillId="8" borderId="1" xfId="2" applyFont="1" applyFill="1" applyBorder="1" applyAlignment="1">
      <alignment horizontal="center" textRotation="90"/>
    </xf>
    <xf numFmtId="0" fontId="18" fillId="8" borderId="1" xfId="2" applyFont="1" applyFill="1" applyBorder="1" applyAlignment="1">
      <alignment horizontal="center" textRotation="90" wrapText="1"/>
    </xf>
    <xf numFmtId="0" fontId="10" fillId="0" borderId="4" xfId="2" applyBorder="1" applyAlignment="1">
      <alignment horizontal="center" vertical="center" textRotation="90"/>
    </xf>
    <xf numFmtId="0" fontId="10" fillId="0" borderId="61" xfId="2" applyBorder="1" applyAlignment="1">
      <alignment horizontal="center" vertical="center" textRotation="90"/>
    </xf>
    <xf numFmtId="0" fontId="10" fillId="0" borderId="62" xfId="2" applyBorder="1" applyAlignment="1">
      <alignment horizontal="center" vertical="center" textRotation="90"/>
    </xf>
    <xf numFmtId="0" fontId="10" fillId="0" borderId="63" xfId="2" applyBorder="1" applyAlignment="1">
      <alignment horizontal="center" vertical="center" textRotation="90"/>
    </xf>
    <xf numFmtId="0" fontId="10" fillId="0" borderId="8" xfId="2" applyBorder="1" applyAlignment="1">
      <alignment horizontal="center" vertical="center" textRotation="90"/>
    </xf>
    <xf numFmtId="0" fontId="10" fillId="0" borderId="64" xfId="2" applyBorder="1" applyAlignment="1">
      <alignment horizontal="center" vertical="center" textRotation="90"/>
    </xf>
    <xf numFmtId="0" fontId="11" fillId="8" borderId="61" xfId="2" applyFont="1" applyFill="1" applyBorder="1" applyAlignment="1">
      <alignment horizontal="center" wrapText="1"/>
    </xf>
    <xf numFmtId="0" fontId="11" fillId="8" borderId="8" xfId="2" applyFont="1" applyFill="1" applyBorder="1" applyAlignment="1">
      <alignment horizontal="center"/>
    </xf>
    <xf numFmtId="0" fontId="11" fillId="8" borderId="62" xfId="2" applyFont="1" applyFill="1" applyBorder="1" applyAlignment="1">
      <alignment horizontal="center" wrapText="1"/>
    </xf>
    <xf numFmtId="0" fontId="11" fillId="8" borderId="64" xfId="2" applyFont="1" applyFill="1" applyBorder="1" applyAlignment="1">
      <alignment horizontal="center"/>
    </xf>
    <xf numFmtId="0" fontId="18" fillId="8" borderId="9" xfId="2" applyFont="1" applyFill="1" applyBorder="1" applyAlignment="1">
      <alignment horizontal="center" textRotation="90"/>
    </xf>
    <xf numFmtId="0" fontId="18" fillId="8" borderId="26" xfId="2" applyFont="1" applyFill="1" applyBorder="1" applyAlignment="1">
      <alignment horizontal="center" textRotation="90"/>
    </xf>
    <xf numFmtId="0" fontId="10" fillId="0" borderId="1" xfId="2" applyBorder="1" applyAlignment="1">
      <alignment horizontal="center" vertical="center"/>
    </xf>
    <xf numFmtId="0" fontId="22" fillId="0" borderId="7" xfId="2" applyFont="1" applyBorder="1" applyAlignment="1">
      <alignment horizontal="center" vertical="center"/>
    </xf>
    <xf numFmtId="0" fontId="22" fillId="0" borderId="67" xfId="2" applyFont="1" applyBorder="1" applyAlignment="1">
      <alignment horizontal="center" vertical="center"/>
    </xf>
    <xf numFmtId="0" fontId="22" fillId="0" borderId="16" xfId="2" applyFont="1" applyBorder="1" applyAlignment="1">
      <alignment horizontal="center" vertical="center"/>
    </xf>
    <xf numFmtId="0" fontId="10" fillId="7" borderId="1" xfId="2" applyFill="1" applyBorder="1" applyAlignment="1">
      <alignment horizontal="center" textRotation="90"/>
    </xf>
    <xf numFmtId="0" fontId="11" fillId="8" borderId="4" xfId="2" applyFont="1" applyFill="1" applyBorder="1" applyAlignment="1">
      <alignment horizontal="center" wrapText="1"/>
    </xf>
    <xf numFmtId="0" fontId="11" fillId="8" borderId="63" xfId="2" applyFont="1" applyFill="1" applyBorder="1" applyAlignment="1">
      <alignment horizontal="center"/>
    </xf>
    <xf numFmtId="0" fontId="10" fillId="7" borderId="65" xfId="2" applyFill="1" applyBorder="1" applyAlignment="1">
      <alignment horizontal="center"/>
    </xf>
    <xf numFmtId="0" fontId="10" fillId="0" borderId="7" xfId="2" applyBorder="1" applyAlignment="1">
      <alignment horizontal="center" vertical="center" textRotation="90" wrapText="1"/>
    </xf>
    <xf numFmtId="0" fontId="10" fillId="0" borderId="67" xfId="2" applyBorder="1" applyAlignment="1">
      <alignment horizontal="center" vertical="center" textRotation="90" wrapText="1"/>
    </xf>
    <xf numFmtId="0" fontId="10" fillId="0" borderId="16" xfId="2" applyBorder="1" applyAlignment="1">
      <alignment horizontal="center" vertical="center" textRotation="90" wrapText="1"/>
    </xf>
    <xf numFmtId="1" fontId="18" fillId="0" borderId="7" xfId="2" applyNumberFormat="1" applyFont="1" applyBorder="1" applyAlignment="1">
      <alignment horizontal="center" vertical="center"/>
    </xf>
    <xf numFmtId="1" fontId="18" fillId="0" borderId="67" xfId="2" applyNumberFormat="1" applyFont="1" applyBorder="1" applyAlignment="1">
      <alignment horizontal="center" vertical="center"/>
    </xf>
    <xf numFmtId="1" fontId="18" fillId="0" borderId="16" xfId="2" applyNumberFormat="1" applyFont="1" applyBorder="1" applyAlignment="1">
      <alignment horizontal="center" vertical="center"/>
    </xf>
    <xf numFmtId="9" fontId="10" fillId="0" borderId="7" xfId="2" applyNumberFormat="1" applyBorder="1" applyAlignment="1">
      <alignment horizontal="center" vertical="center" textRotation="90" wrapText="1"/>
    </xf>
    <xf numFmtId="0" fontId="10" fillId="8" borderId="1" xfId="2" applyFill="1" applyBorder="1" applyAlignment="1">
      <alignment horizontal="right" vertical="center"/>
    </xf>
    <xf numFmtId="0" fontId="18" fillId="9" borderId="7" xfId="2" applyFont="1" applyFill="1" applyBorder="1" applyAlignment="1">
      <alignment horizontal="center" vertical="center"/>
    </xf>
    <xf numFmtId="0" fontId="18" fillId="9" borderId="67" xfId="2" applyFont="1" applyFill="1" applyBorder="1" applyAlignment="1">
      <alignment horizontal="center" vertical="center"/>
    </xf>
    <xf numFmtId="0" fontId="18" fillId="9" borderId="16" xfId="2" applyFont="1" applyFill="1" applyBorder="1" applyAlignment="1">
      <alignment horizontal="center" vertical="center"/>
    </xf>
    <xf numFmtId="9" fontId="18" fillId="8" borderId="1" xfId="3" applyFont="1" applyFill="1" applyBorder="1" applyAlignment="1">
      <alignment horizontal="right" vertical="center"/>
    </xf>
    <xf numFmtId="9" fontId="18" fillId="9" borderId="7" xfId="3" applyFont="1" applyFill="1" applyBorder="1" applyAlignment="1">
      <alignment horizontal="center" vertical="center"/>
    </xf>
    <xf numFmtId="9" fontId="18" fillId="9" borderId="67" xfId="3" applyFont="1" applyFill="1" applyBorder="1" applyAlignment="1">
      <alignment horizontal="center" vertical="center"/>
    </xf>
    <xf numFmtId="9" fontId="18" fillId="9" borderId="16" xfId="3" applyFont="1" applyFill="1" applyBorder="1" applyAlignment="1">
      <alignment horizontal="center" vertical="center"/>
    </xf>
    <xf numFmtId="0" fontId="24" fillId="9" borderId="7" xfId="2" applyFont="1" applyFill="1" applyBorder="1" applyAlignment="1">
      <alignment horizontal="center" textRotation="90"/>
    </xf>
    <xf numFmtId="0" fontId="24" fillId="9" borderId="67" xfId="2" applyFont="1" applyFill="1" applyBorder="1" applyAlignment="1">
      <alignment horizontal="center" textRotation="90"/>
    </xf>
    <xf numFmtId="0" fontId="24" fillId="9" borderId="16" xfId="2" applyFont="1" applyFill="1" applyBorder="1" applyAlignment="1">
      <alignment horizontal="center" textRotation="90"/>
    </xf>
    <xf numFmtId="0" fontId="7" fillId="5" borderId="49" xfId="0" applyFont="1" applyFill="1" applyBorder="1" applyAlignment="1">
      <alignment horizontal="center"/>
    </xf>
    <xf numFmtId="0" fontId="7" fillId="5" borderId="36" xfId="0" applyFont="1" applyFill="1" applyBorder="1" applyAlignment="1">
      <alignment horizontal="center"/>
    </xf>
    <xf numFmtId="0" fontId="7" fillId="5" borderId="50" xfId="0" applyFont="1" applyFill="1" applyBorder="1" applyAlignment="1">
      <alignment horizontal="center"/>
    </xf>
    <xf numFmtId="0" fontId="1" fillId="2" borderId="27" xfId="0" applyFont="1" applyFill="1" applyBorder="1" applyAlignment="1">
      <alignment horizontal="center"/>
    </xf>
    <xf numFmtId="0" fontId="1" fillId="2" borderId="28" xfId="0" applyFont="1" applyFill="1" applyBorder="1" applyAlignment="1">
      <alignment horizontal="center"/>
    </xf>
    <xf numFmtId="0" fontId="1" fillId="2" borderId="29" xfId="0" applyFont="1" applyFill="1" applyBorder="1" applyAlignment="1">
      <alignment horizontal="center"/>
    </xf>
    <xf numFmtId="0" fontId="1" fillId="2" borderId="5" xfId="0" applyFont="1" applyFill="1" applyBorder="1" applyAlignment="1">
      <alignment horizontal="center" vertical="center" wrapText="1" readingOrder="1"/>
    </xf>
    <xf numFmtId="0" fontId="1" fillId="2" borderId="22" xfId="0" applyFont="1" applyFill="1" applyBorder="1" applyAlignment="1">
      <alignment horizontal="center" vertical="center" wrapText="1" readingOrder="1"/>
    </xf>
    <xf numFmtId="0" fontId="1" fillId="2" borderId="6" xfId="0" applyFont="1" applyFill="1" applyBorder="1" applyAlignment="1">
      <alignment horizontal="center" vertical="center" wrapText="1" readingOrder="1"/>
    </xf>
    <xf numFmtId="0" fontId="1" fillId="10" borderId="5" xfId="0" applyFont="1" applyFill="1" applyBorder="1" applyAlignment="1">
      <alignment horizontal="center" vertical="center" wrapText="1" readingOrder="1"/>
    </xf>
    <xf numFmtId="0" fontId="1" fillId="10" borderId="22" xfId="0" applyFont="1" applyFill="1" applyBorder="1" applyAlignment="1">
      <alignment horizontal="center" vertical="center" wrapText="1" readingOrder="1"/>
    </xf>
    <xf numFmtId="0" fontId="1" fillId="10" borderId="6" xfId="0" applyFont="1" applyFill="1" applyBorder="1" applyAlignment="1">
      <alignment horizontal="center" vertical="center" wrapText="1" readingOrder="1"/>
    </xf>
    <xf numFmtId="0" fontId="4" fillId="0" borderId="21" xfId="0" applyFont="1" applyBorder="1" applyAlignment="1">
      <alignment horizontal="center"/>
    </xf>
    <xf numFmtId="0" fontId="4" fillId="0" borderId="26" xfId="0" applyFont="1" applyBorder="1" applyAlignment="1">
      <alignment horizontal="center"/>
    </xf>
    <xf numFmtId="0" fontId="1" fillId="2" borderId="9" xfId="0" applyFont="1" applyFill="1" applyBorder="1" applyAlignment="1">
      <alignment horizontal="center" vertical="center"/>
    </xf>
    <xf numFmtId="0" fontId="1" fillId="2" borderId="26" xfId="0" applyFont="1" applyFill="1" applyBorder="1" applyAlignment="1">
      <alignment horizontal="center" vertical="center"/>
    </xf>
  </cellXfs>
  <cellStyles count="4">
    <cellStyle name="Hyperlink" xfId="1" builtinId="8"/>
    <cellStyle name="Normal" xfId="0" builtinId="0"/>
    <cellStyle name="Normal 2" xfId="2" xr:uid="{58F7976B-1E5A-9043-B195-5532D66B1549}"/>
    <cellStyle name="Per cent 2" xfId="3" xr:uid="{2DC9D4FF-02EC-7245-BAAE-2C68B353EA7A}"/>
  </cellStyles>
  <dxfs count="29">
    <dxf>
      <alignment horizontal="general" vertical="bottom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</border>
    </dxf>
    <dxf>
      <alignment horizontal="center" vertical="bottom" textRotation="0" wrapText="1" relative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/>
        <horizontal/>
      </border>
    </dxf>
    <dxf>
      <alignment horizontal="center" vertical="bottom" textRotation="0" wrapText="1" relative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/>
        <horizontal/>
      </border>
    </dxf>
    <dxf>
      <numFmt numFmtId="164" formatCode="#,##0.00\ [$€-407]"/>
      <alignment horizontal="center" vertical="bottom" textRotation="0" wrapText="1" relative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/>
        <horizontal/>
      </border>
    </dxf>
    <dxf>
      <alignment horizontal="center" vertical="bottom" textRotation="0" wrapText="1" relative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/>
        <horizontal/>
      </border>
    </dxf>
    <dxf>
      <alignment horizontal="center" vertical="bottom" textRotation="0" wrapText="1" relative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/>
        <horizontal/>
      </border>
    </dxf>
    <dxf>
      <alignment horizontal="center" vertical="bottom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alignment horizontal="general" vertical="bottom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alignment horizontal="center" vertical="bottom" textRotation="0" wrapText="0" relative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/>
        <horizontal/>
      </border>
    </dxf>
    <dxf>
      <alignment horizontal="center" vertical="bottom" textRotation="0" wrapText="0" relative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/>
        <horizontal/>
      </border>
    </dxf>
    <dxf>
      <alignment horizontal="center" vertical="bottom" textRotation="0" wrapText="0" relative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/>
        <horizontal/>
      </border>
    </dxf>
    <dxf>
      <alignment horizontal="center" vertical="bottom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/>
        <horizontal/>
      </border>
    </dxf>
    <dxf>
      <alignment horizontal="center" vertical="bottom" textRotation="0" wrapText="0" relative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/>
        <horizontal/>
      </border>
    </dxf>
    <dxf>
      <alignment horizontal="center" vertical="bottom" textRotation="0" wrapText="0" relative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/>
        <horizontal/>
      </border>
    </dxf>
    <dxf>
      <numFmt numFmtId="0" formatCode="General"/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</border>
    </dxf>
    <dxf>
      <numFmt numFmtId="0" formatCode="General"/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</border>
    </dxf>
    <dxf>
      <numFmt numFmtId="0" formatCode="General"/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</border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</border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</border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</border>
    </dxf>
    <dxf>
      <alignment horizontal="center" vertical="bottom" textRotation="0" wrapText="0" relativeIndent="0" justifyLastLine="0" shrinkToFit="0" readingOrder="0"/>
    </dxf>
    <dxf>
      <alignment horizontal="center" vertical="bottom" textRotation="0" wrapText="0" relativeIndent="0" justifyLastLine="0" shrinkToFit="0" readingOrder="0"/>
    </dxf>
    <dxf>
      <border outline="0">
        <bottom style="thick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0.14996795556505021"/>
        </patternFill>
      </fill>
      <alignment horizontal="center" vertical="bottom" textRotation="0" wrapText="0" relative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color theme="0"/>
      </font>
      <fill>
        <patternFill>
          <bgColor rgb="FFFF0000"/>
        </patternFill>
      </fill>
    </dxf>
    <dxf>
      <font>
        <color auto="1"/>
      </font>
      <fill>
        <gradientFill type="path" left="0.5" right="0.5" top="0.5" bottom="0.5">
          <stop position="0">
            <color rgb="FFFFC000"/>
          </stop>
          <stop position="1">
            <color theme="0"/>
          </stop>
        </gradient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eetMetadata" Target="metadata.xml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externalLink" Target="externalLinks/externalLink2.xml"/><Relationship Id="rId27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'S03 Location Prioritization'!$F$1</c:f>
              <c:strCache>
                <c:ptCount val="1"/>
                <c:pt idx="0">
                  <c:v>Cum. Share
[%]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'S03 Location Prioritization'!$A$2:$A$22</c:f>
              <c:strCache>
                <c:ptCount val="21"/>
                <c:pt idx="0">
                  <c:v>0</c:v>
                </c:pt>
                <c:pt idx="1">
                  <c:v>F03</c:v>
                </c:pt>
                <c:pt idx="2">
                  <c:v>F04</c:v>
                </c:pt>
                <c:pt idx="3">
                  <c:v>F06</c:v>
                </c:pt>
                <c:pt idx="4">
                  <c:v>F09</c:v>
                </c:pt>
                <c:pt idx="5">
                  <c:v>F01</c:v>
                </c:pt>
                <c:pt idx="6">
                  <c:v>F02</c:v>
                </c:pt>
                <c:pt idx="7">
                  <c:v>F05</c:v>
                </c:pt>
                <c:pt idx="8">
                  <c:v>F08</c:v>
                </c:pt>
                <c:pt idx="9">
                  <c:v>F10</c:v>
                </c:pt>
                <c:pt idx="10">
                  <c:v>F19</c:v>
                </c:pt>
                <c:pt idx="11">
                  <c:v>F18</c:v>
                </c:pt>
                <c:pt idx="12">
                  <c:v>F17</c:v>
                </c:pt>
                <c:pt idx="13">
                  <c:v>F16</c:v>
                </c:pt>
                <c:pt idx="14">
                  <c:v>F15</c:v>
                </c:pt>
                <c:pt idx="15">
                  <c:v>F14</c:v>
                </c:pt>
                <c:pt idx="16">
                  <c:v>F13</c:v>
                </c:pt>
                <c:pt idx="17">
                  <c:v>F12</c:v>
                </c:pt>
                <c:pt idx="18">
                  <c:v>F11</c:v>
                </c:pt>
                <c:pt idx="19">
                  <c:v>F07</c:v>
                </c:pt>
                <c:pt idx="20">
                  <c:v>F20</c:v>
                </c:pt>
              </c:strCache>
            </c:strRef>
          </c:cat>
          <c:val>
            <c:numRef>
              <c:f>'S03 Location Prioritization'!$F$2:$F$22</c:f>
              <c:numCache>
                <c:formatCode>0.00%</c:formatCode>
                <c:ptCount val="21"/>
                <c:pt idx="0" formatCode="General">
                  <c:v>0</c:v>
                </c:pt>
                <c:pt idx="1">
                  <c:v>0.57531257051574214</c:v>
                </c:pt>
                <c:pt idx="2">
                  <c:v>0.73640009026014996</c:v>
                </c:pt>
                <c:pt idx="3">
                  <c:v>0.82141850345858747</c:v>
                </c:pt>
                <c:pt idx="4">
                  <c:v>0.87053741225684256</c:v>
                </c:pt>
                <c:pt idx="5">
                  <c:v>0.90697387505617288</c:v>
                </c:pt>
                <c:pt idx="6">
                  <c:v>0.93458887844092853</c:v>
                </c:pt>
                <c:pt idx="7">
                  <c:v>0.95280710984059369</c:v>
                </c:pt>
                <c:pt idx="8">
                  <c:v>0.96546398639193998</c:v>
                </c:pt>
                <c:pt idx="9">
                  <c:v>0.97307089704653704</c:v>
                </c:pt>
                <c:pt idx="10">
                  <c:v>0.9802303423685107</c:v>
                </c:pt>
                <c:pt idx="11">
                  <c:v>0.98540815550315242</c:v>
                </c:pt>
                <c:pt idx="12">
                  <c:v>0.98914129484961011</c:v>
                </c:pt>
                <c:pt idx="13">
                  <c:v>0.99216168584481779</c:v>
                </c:pt>
                <c:pt idx="14">
                  <c:v>0.99476976949782248</c:v>
                </c:pt>
                <c:pt idx="15">
                  <c:v>0.99679486974603793</c:v>
                </c:pt>
                <c:pt idx="16">
                  <c:v>0.9981756199152757</c:v>
                </c:pt>
                <c:pt idx="17">
                  <c:v>0.99894270334263002</c:v>
                </c:pt>
                <c:pt idx="18">
                  <c:v>0.99966504023672198</c:v>
                </c:pt>
                <c:pt idx="19">
                  <c:v>0.99990027915444402</c:v>
                </c:pt>
                <c:pt idx="2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302-4048-B4F4-17ADF4CDCE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58143519"/>
        <c:axId val="658114719"/>
      </c:lineChart>
      <c:catAx>
        <c:axId val="65814351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658114719"/>
        <c:crosses val="autoZero"/>
        <c:auto val="1"/>
        <c:lblAlgn val="ctr"/>
        <c:lblOffset val="100"/>
        <c:noMultiLvlLbl val="0"/>
      </c:catAx>
      <c:valAx>
        <c:axId val="658114719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65814351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E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'S04 Product Life Cyle'!$A$6</c:f>
              <c:strCache>
                <c:ptCount val="1"/>
                <c:pt idx="0">
                  <c:v>Sales (A) 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'S04 Product Life Cyle'!$B$1:$CH$1</c:f>
              <c:strCache>
                <c:ptCount val="85"/>
                <c:pt idx="0">
                  <c:v>Initial</c:v>
                </c:pt>
                <c:pt idx="1">
                  <c:v>Jan 14</c:v>
                </c:pt>
                <c:pt idx="2">
                  <c:v>Feb 14</c:v>
                </c:pt>
                <c:pt idx="3">
                  <c:v>Mar 14</c:v>
                </c:pt>
                <c:pt idx="4">
                  <c:v>Apr 14</c:v>
                </c:pt>
                <c:pt idx="5">
                  <c:v>May 14</c:v>
                </c:pt>
                <c:pt idx="6">
                  <c:v>Jun 14</c:v>
                </c:pt>
                <c:pt idx="7">
                  <c:v>Jul 14</c:v>
                </c:pt>
                <c:pt idx="8">
                  <c:v>Aug 14</c:v>
                </c:pt>
                <c:pt idx="9">
                  <c:v>Sep 14</c:v>
                </c:pt>
                <c:pt idx="10">
                  <c:v>Oct 14</c:v>
                </c:pt>
                <c:pt idx="11">
                  <c:v>Nov 14</c:v>
                </c:pt>
                <c:pt idx="12">
                  <c:v>Dec 14</c:v>
                </c:pt>
                <c:pt idx="13">
                  <c:v>Jan 15</c:v>
                </c:pt>
                <c:pt idx="14">
                  <c:v>Feb 15</c:v>
                </c:pt>
                <c:pt idx="15">
                  <c:v>Mar 15</c:v>
                </c:pt>
                <c:pt idx="16">
                  <c:v>Apr 15</c:v>
                </c:pt>
                <c:pt idx="17">
                  <c:v>May 15</c:v>
                </c:pt>
                <c:pt idx="18">
                  <c:v>Jun 15</c:v>
                </c:pt>
                <c:pt idx="19">
                  <c:v>Jul 15</c:v>
                </c:pt>
                <c:pt idx="20">
                  <c:v>Aug 15</c:v>
                </c:pt>
                <c:pt idx="21">
                  <c:v>Sep 15</c:v>
                </c:pt>
                <c:pt idx="22">
                  <c:v>Oct 15</c:v>
                </c:pt>
                <c:pt idx="23">
                  <c:v>Nov 15</c:v>
                </c:pt>
                <c:pt idx="24">
                  <c:v>Dec 15</c:v>
                </c:pt>
                <c:pt idx="25">
                  <c:v>Jan 16</c:v>
                </c:pt>
                <c:pt idx="26">
                  <c:v>Feb 16</c:v>
                </c:pt>
                <c:pt idx="27">
                  <c:v>Mar 16</c:v>
                </c:pt>
                <c:pt idx="28">
                  <c:v>Apr 16</c:v>
                </c:pt>
                <c:pt idx="29">
                  <c:v>May 16</c:v>
                </c:pt>
                <c:pt idx="30">
                  <c:v>Jun 16</c:v>
                </c:pt>
                <c:pt idx="31">
                  <c:v>Jul 16</c:v>
                </c:pt>
                <c:pt idx="32">
                  <c:v>Aug 16</c:v>
                </c:pt>
                <c:pt idx="33">
                  <c:v>Sep 16</c:v>
                </c:pt>
                <c:pt idx="34">
                  <c:v>Oct 16</c:v>
                </c:pt>
                <c:pt idx="35">
                  <c:v>Nov 16</c:v>
                </c:pt>
                <c:pt idx="36">
                  <c:v>Dec 16</c:v>
                </c:pt>
                <c:pt idx="37">
                  <c:v>Jan 17</c:v>
                </c:pt>
                <c:pt idx="38">
                  <c:v>Feb 17</c:v>
                </c:pt>
                <c:pt idx="39">
                  <c:v>Mar 17</c:v>
                </c:pt>
                <c:pt idx="40">
                  <c:v>Apr 17</c:v>
                </c:pt>
                <c:pt idx="41">
                  <c:v>May 17</c:v>
                </c:pt>
                <c:pt idx="42">
                  <c:v>Jun 17</c:v>
                </c:pt>
                <c:pt idx="43">
                  <c:v>Jul 17</c:v>
                </c:pt>
                <c:pt idx="44">
                  <c:v>Aug 17</c:v>
                </c:pt>
                <c:pt idx="45">
                  <c:v>Sep 17</c:v>
                </c:pt>
                <c:pt idx="46">
                  <c:v>Oct 17</c:v>
                </c:pt>
                <c:pt idx="47">
                  <c:v>Nov 17</c:v>
                </c:pt>
                <c:pt idx="48">
                  <c:v>Dec 17</c:v>
                </c:pt>
                <c:pt idx="49">
                  <c:v>Jan 18</c:v>
                </c:pt>
                <c:pt idx="50">
                  <c:v>Feb 18</c:v>
                </c:pt>
                <c:pt idx="51">
                  <c:v>Mar 18</c:v>
                </c:pt>
                <c:pt idx="52">
                  <c:v>Apr 18</c:v>
                </c:pt>
                <c:pt idx="53">
                  <c:v>May 18</c:v>
                </c:pt>
                <c:pt idx="54">
                  <c:v>Jun 18</c:v>
                </c:pt>
                <c:pt idx="55">
                  <c:v>Jul 18</c:v>
                </c:pt>
                <c:pt idx="56">
                  <c:v>Aug 18</c:v>
                </c:pt>
                <c:pt idx="57">
                  <c:v>Sep 18</c:v>
                </c:pt>
                <c:pt idx="58">
                  <c:v>Oct 18</c:v>
                </c:pt>
                <c:pt idx="59">
                  <c:v>Nov 18</c:v>
                </c:pt>
                <c:pt idx="60">
                  <c:v>Dec 18</c:v>
                </c:pt>
                <c:pt idx="61">
                  <c:v>Jan 19</c:v>
                </c:pt>
                <c:pt idx="62">
                  <c:v>Feb 19</c:v>
                </c:pt>
                <c:pt idx="63">
                  <c:v>Mar 19</c:v>
                </c:pt>
                <c:pt idx="64">
                  <c:v>Apr 19</c:v>
                </c:pt>
                <c:pt idx="65">
                  <c:v>May 19</c:v>
                </c:pt>
                <c:pt idx="66">
                  <c:v>Jun 19</c:v>
                </c:pt>
                <c:pt idx="67">
                  <c:v>Jul 19</c:v>
                </c:pt>
                <c:pt idx="68">
                  <c:v>Aug 19</c:v>
                </c:pt>
                <c:pt idx="69">
                  <c:v>Sep 19</c:v>
                </c:pt>
                <c:pt idx="70">
                  <c:v>Oct 19</c:v>
                </c:pt>
                <c:pt idx="71">
                  <c:v>Nov 19</c:v>
                </c:pt>
                <c:pt idx="72">
                  <c:v>Dec 19</c:v>
                </c:pt>
                <c:pt idx="73">
                  <c:v>Jan 20</c:v>
                </c:pt>
                <c:pt idx="74">
                  <c:v>Feb 20</c:v>
                </c:pt>
                <c:pt idx="75">
                  <c:v>Mar 20</c:v>
                </c:pt>
                <c:pt idx="76">
                  <c:v>Apr 20</c:v>
                </c:pt>
                <c:pt idx="77">
                  <c:v>May 20</c:v>
                </c:pt>
                <c:pt idx="78">
                  <c:v>Jun 20</c:v>
                </c:pt>
                <c:pt idx="79">
                  <c:v>Jul 20</c:v>
                </c:pt>
                <c:pt idx="80">
                  <c:v>Aug 20</c:v>
                </c:pt>
                <c:pt idx="81">
                  <c:v>Sep 20</c:v>
                </c:pt>
                <c:pt idx="82">
                  <c:v>Oct 20</c:v>
                </c:pt>
                <c:pt idx="83">
                  <c:v>Nov 20</c:v>
                </c:pt>
                <c:pt idx="84">
                  <c:v>Dec 20</c:v>
                </c:pt>
              </c:strCache>
            </c:strRef>
          </c:cat>
          <c:val>
            <c:numRef>
              <c:f>'S04 Product Life Cyle'!$B$6:$CH$6</c:f>
              <c:numCache>
                <c:formatCode>General</c:formatCode>
                <c:ptCount val="85"/>
                <c:pt idx="0">
                  <c:v>0</c:v>
                </c:pt>
                <c:pt idx="1">
                  <c:v>12</c:v>
                </c:pt>
                <c:pt idx="2">
                  <c:v>20</c:v>
                </c:pt>
                <c:pt idx="3">
                  <c:v>37</c:v>
                </c:pt>
                <c:pt idx="4">
                  <c:v>84</c:v>
                </c:pt>
                <c:pt idx="5">
                  <c:v>178</c:v>
                </c:pt>
                <c:pt idx="6">
                  <c:v>353</c:v>
                </c:pt>
                <c:pt idx="7">
                  <c:v>714</c:v>
                </c:pt>
                <c:pt idx="8">
                  <c:v>1430</c:v>
                </c:pt>
                <c:pt idx="9">
                  <c:v>2858</c:v>
                </c:pt>
                <c:pt idx="10">
                  <c:v>5724</c:v>
                </c:pt>
                <c:pt idx="11">
                  <c:v>11451</c:v>
                </c:pt>
                <c:pt idx="12">
                  <c:v>22903</c:v>
                </c:pt>
                <c:pt idx="13">
                  <c:v>29449</c:v>
                </c:pt>
                <c:pt idx="14">
                  <c:v>36368</c:v>
                </c:pt>
                <c:pt idx="15">
                  <c:v>42833</c:v>
                </c:pt>
                <c:pt idx="16">
                  <c:v>48833</c:v>
                </c:pt>
                <c:pt idx="17">
                  <c:v>51584</c:v>
                </c:pt>
                <c:pt idx="18">
                  <c:v>54451</c:v>
                </c:pt>
                <c:pt idx="19">
                  <c:v>56265</c:v>
                </c:pt>
                <c:pt idx="20">
                  <c:v>58065</c:v>
                </c:pt>
                <c:pt idx="21">
                  <c:v>59523</c:v>
                </c:pt>
                <c:pt idx="22">
                  <c:v>61015</c:v>
                </c:pt>
                <c:pt idx="23">
                  <c:v>62416</c:v>
                </c:pt>
                <c:pt idx="24">
                  <c:v>64277</c:v>
                </c:pt>
                <c:pt idx="25">
                  <c:v>65872</c:v>
                </c:pt>
                <c:pt idx="26">
                  <c:v>67004</c:v>
                </c:pt>
                <c:pt idx="27">
                  <c:v>68779</c:v>
                </c:pt>
                <c:pt idx="28">
                  <c:v>70726</c:v>
                </c:pt>
                <c:pt idx="29">
                  <c:v>72688</c:v>
                </c:pt>
                <c:pt idx="30">
                  <c:v>73738</c:v>
                </c:pt>
                <c:pt idx="31">
                  <c:v>75620</c:v>
                </c:pt>
                <c:pt idx="32">
                  <c:v>76838</c:v>
                </c:pt>
                <c:pt idx="33">
                  <c:v>78648</c:v>
                </c:pt>
                <c:pt idx="34">
                  <c:v>80492</c:v>
                </c:pt>
                <c:pt idx="35">
                  <c:v>82443</c:v>
                </c:pt>
                <c:pt idx="36">
                  <c:v>84196</c:v>
                </c:pt>
                <c:pt idx="37">
                  <c:v>85961</c:v>
                </c:pt>
                <c:pt idx="38">
                  <c:v>87294</c:v>
                </c:pt>
                <c:pt idx="39">
                  <c:v>88357</c:v>
                </c:pt>
                <c:pt idx="40">
                  <c:v>89219</c:v>
                </c:pt>
                <c:pt idx="41">
                  <c:v>89963</c:v>
                </c:pt>
                <c:pt idx="42">
                  <c:v>89886</c:v>
                </c:pt>
                <c:pt idx="43">
                  <c:v>89820</c:v>
                </c:pt>
                <c:pt idx="44">
                  <c:v>89837</c:v>
                </c:pt>
                <c:pt idx="45">
                  <c:v>89845</c:v>
                </c:pt>
                <c:pt idx="46">
                  <c:v>89819</c:v>
                </c:pt>
                <c:pt idx="47">
                  <c:v>89815</c:v>
                </c:pt>
                <c:pt idx="48">
                  <c:v>89819</c:v>
                </c:pt>
                <c:pt idx="49">
                  <c:v>89827</c:v>
                </c:pt>
                <c:pt idx="50">
                  <c:v>89821</c:v>
                </c:pt>
                <c:pt idx="51">
                  <c:v>89805</c:v>
                </c:pt>
                <c:pt idx="52">
                  <c:v>89779</c:v>
                </c:pt>
                <c:pt idx="53">
                  <c:v>89765</c:v>
                </c:pt>
                <c:pt idx="54">
                  <c:v>89752</c:v>
                </c:pt>
                <c:pt idx="55">
                  <c:v>89748</c:v>
                </c:pt>
                <c:pt idx="56">
                  <c:v>89732</c:v>
                </c:pt>
                <c:pt idx="57">
                  <c:v>89724</c:v>
                </c:pt>
                <c:pt idx="58">
                  <c:v>89696</c:v>
                </c:pt>
                <c:pt idx="59">
                  <c:v>89697</c:v>
                </c:pt>
                <c:pt idx="60">
                  <c:v>89706</c:v>
                </c:pt>
                <c:pt idx="61">
                  <c:v>89707</c:v>
                </c:pt>
                <c:pt idx="62">
                  <c:v>89682</c:v>
                </c:pt>
                <c:pt idx="63">
                  <c:v>89668</c:v>
                </c:pt>
                <c:pt idx="64">
                  <c:v>89675</c:v>
                </c:pt>
                <c:pt idx="65">
                  <c:v>89654</c:v>
                </c:pt>
                <c:pt idx="66">
                  <c:v>89661</c:v>
                </c:pt>
                <c:pt idx="67">
                  <c:v>89659</c:v>
                </c:pt>
                <c:pt idx="68">
                  <c:v>89494</c:v>
                </c:pt>
                <c:pt idx="69">
                  <c:v>89209</c:v>
                </c:pt>
                <c:pt idx="70">
                  <c:v>88872</c:v>
                </c:pt>
                <c:pt idx="71">
                  <c:v>88399</c:v>
                </c:pt>
                <c:pt idx="72">
                  <c:v>88255</c:v>
                </c:pt>
                <c:pt idx="73">
                  <c:v>87754</c:v>
                </c:pt>
                <c:pt idx="74">
                  <c:v>87151</c:v>
                </c:pt>
                <c:pt idx="75">
                  <c:v>85730</c:v>
                </c:pt>
                <c:pt idx="76">
                  <c:v>83311</c:v>
                </c:pt>
                <c:pt idx="77">
                  <c:v>80271</c:v>
                </c:pt>
                <c:pt idx="78">
                  <c:v>75028</c:v>
                </c:pt>
                <c:pt idx="79">
                  <c:v>65642</c:v>
                </c:pt>
                <c:pt idx="80">
                  <c:v>55659</c:v>
                </c:pt>
                <c:pt idx="81">
                  <c:v>43770</c:v>
                </c:pt>
                <c:pt idx="82">
                  <c:v>26776</c:v>
                </c:pt>
                <c:pt idx="83">
                  <c:v>11639</c:v>
                </c:pt>
                <c:pt idx="84">
                  <c:v>10239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D26-4540-88D5-C2E249A518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30005263"/>
        <c:axId val="877108143"/>
      </c:lineChart>
      <c:catAx>
        <c:axId val="7300052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877108143"/>
        <c:crosses val="autoZero"/>
        <c:auto val="1"/>
        <c:lblAlgn val="ctr"/>
        <c:lblOffset val="100"/>
        <c:noMultiLvlLbl val="0"/>
      </c:catAx>
      <c:valAx>
        <c:axId val="8771081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73000526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E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'S04 Product Life Cyle'!$A$16</c:f>
              <c:strCache>
                <c:ptCount val="1"/>
                <c:pt idx="0">
                  <c:v>Sales (B)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'S04 Product Life Cyle'!$B$1:$CH$1</c:f>
              <c:strCache>
                <c:ptCount val="85"/>
                <c:pt idx="0">
                  <c:v>Initial</c:v>
                </c:pt>
                <c:pt idx="1">
                  <c:v>Jan 14</c:v>
                </c:pt>
                <c:pt idx="2">
                  <c:v>Feb 14</c:v>
                </c:pt>
                <c:pt idx="3">
                  <c:v>Mar 14</c:v>
                </c:pt>
                <c:pt idx="4">
                  <c:v>Apr 14</c:v>
                </c:pt>
                <c:pt idx="5">
                  <c:v>May 14</c:v>
                </c:pt>
                <c:pt idx="6">
                  <c:v>Jun 14</c:v>
                </c:pt>
                <c:pt idx="7">
                  <c:v>Jul 14</c:v>
                </c:pt>
                <c:pt idx="8">
                  <c:v>Aug 14</c:v>
                </c:pt>
                <c:pt idx="9">
                  <c:v>Sep 14</c:v>
                </c:pt>
                <c:pt idx="10">
                  <c:v>Oct 14</c:v>
                </c:pt>
                <c:pt idx="11">
                  <c:v>Nov 14</c:v>
                </c:pt>
                <c:pt idx="12">
                  <c:v>Dec 14</c:v>
                </c:pt>
                <c:pt idx="13">
                  <c:v>Jan 15</c:v>
                </c:pt>
                <c:pt idx="14">
                  <c:v>Feb 15</c:v>
                </c:pt>
                <c:pt idx="15">
                  <c:v>Mar 15</c:v>
                </c:pt>
                <c:pt idx="16">
                  <c:v>Apr 15</c:v>
                </c:pt>
                <c:pt idx="17">
                  <c:v>May 15</c:v>
                </c:pt>
                <c:pt idx="18">
                  <c:v>Jun 15</c:v>
                </c:pt>
                <c:pt idx="19">
                  <c:v>Jul 15</c:v>
                </c:pt>
                <c:pt idx="20">
                  <c:v>Aug 15</c:v>
                </c:pt>
                <c:pt idx="21">
                  <c:v>Sep 15</c:v>
                </c:pt>
                <c:pt idx="22">
                  <c:v>Oct 15</c:v>
                </c:pt>
                <c:pt idx="23">
                  <c:v>Nov 15</c:v>
                </c:pt>
                <c:pt idx="24">
                  <c:v>Dec 15</c:v>
                </c:pt>
                <c:pt idx="25">
                  <c:v>Jan 16</c:v>
                </c:pt>
                <c:pt idx="26">
                  <c:v>Feb 16</c:v>
                </c:pt>
                <c:pt idx="27">
                  <c:v>Mar 16</c:v>
                </c:pt>
                <c:pt idx="28">
                  <c:v>Apr 16</c:v>
                </c:pt>
                <c:pt idx="29">
                  <c:v>May 16</c:v>
                </c:pt>
                <c:pt idx="30">
                  <c:v>Jun 16</c:v>
                </c:pt>
                <c:pt idx="31">
                  <c:v>Jul 16</c:v>
                </c:pt>
                <c:pt idx="32">
                  <c:v>Aug 16</c:v>
                </c:pt>
                <c:pt idx="33">
                  <c:v>Sep 16</c:v>
                </c:pt>
                <c:pt idx="34">
                  <c:v>Oct 16</c:v>
                </c:pt>
                <c:pt idx="35">
                  <c:v>Nov 16</c:v>
                </c:pt>
                <c:pt idx="36">
                  <c:v>Dec 16</c:v>
                </c:pt>
                <c:pt idx="37">
                  <c:v>Jan 17</c:v>
                </c:pt>
                <c:pt idx="38">
                  <c:v>Feb 17</c:v>
                </c:pt>
                <c:pt idx="39">
                  <c:v>Mar 17</c:v>
                </c:pt>
                <c:pt idx="40">
                  <c:v>Apr 17</c:v>
                </c:pt>
                <c:pt idx="41">
                  <c:v>May 17</c:v>
                </c:pt>
                <c:pt idx="42">
                  <c:v>Jun 17</c:v>
                </c:pt>
                <c:pt idx="43">
                  <c:v>Jul 17</c:v>
                </c:pt>
                <c:pt idx="44">
                  <c:v>Aug 17</c:v>
                </c:pt>
                <c:pt idx="45">
                  <c:v>Sep 17</c:v>
                </c:pt>
                <c:pt idx="46">
                  <c:v>Oct 17</c:v>
                </c:pt>
                <c:pt idx="47">
                  <c:v>Nov 17</c:v>
                </c:pt>
                <c:pt idx="48">
                  <c:v>Dec 17</c:v>
                </c:pt>
                <c:pt idx="49">
                  <c:v>Jan 18</c:v>
                </c:pt>
                <c:pt idx="50">
                  <c:v>Feb 18</c:v>
                </c:pt>
                <c:pt idx="51">
                  <c:v>Mar 18</c:v>
                </c:pt>
                <c:pt idx="52">
                  <c:v>Apr 18</c:v>
                </c:pt>
                <c:pt idx="53">
                  <c:v>May 18</c:v>
                </c:pt>
                <c:pt idx="54">
                  <c:v>Jun 18</c:v>
                </c:pt>
                <c:pt idx="55">
                  <c:v>Jul 18</c:v>
                </c:pt>
                <c:pt idx="56">
                  <c:v>Aug 18</c:v>
                </c:pt>
                <c:pt idx="57">
                  <c:v>Sep 18</c:v>
                </c:pt>
                <c:pt idx="58">
                  <c:v>Oct 18</c:v>
                </c:pt>
                <c:pt idx="59">
                  <c:v>Nov 18</c:v>
                </c:pt>
                <c:pt idx="60">
                  <c:v>Dec 18</c:v>
                </c:pt>
                <c:pt idx="61">
                  <c:v>Jan 19</c:v>
                </c:pt>
                <c:pt idx="62">
                  <c:v>Feb 19</c:v>
                </c:pt>
                <c:pt idx="63">
                  <c:v>Mar 19</c:v>
                </c:pt>
                <c:pt idx="64">
                  <c:v>Apr 19</c:v>
                </c:pt>
                <c:pt idx="65">
                  <c:v>May 19</c:v>
                </c:pt>
                <c:pt idx="66">
                  <c:v>Jun 19</c:v>
                </c:pt>
                <c:pt idx="67">
                  <c:v>Jul 19</c:v>
                </c:pt>
                <c:pt idx="68">
                  <c:v>Aug 19</c:v>
                </c:pt>
                <c:pt idx="69">
                  <c:v>Sep 19</c:v>
                </c:pt>
                <c:pt idx="70">
                  <c:v>Oct 19</c:v>
                </c:pt>
                <c:pt idx="71">
                  <c:v>Nov 19</c:v>
                </c:pt>
                <c:pt idx="72">
                  <c:v>Dec 19</c:v>
                </c:pt>
                <c:pt idx="73">
                  <c:v>Jan 20</c:v>
                </c:pt>
                <c:pt idx="74">
                  <c:v>Feb 20</c:v>
                </c:pt>
                <c:pt idx="75">
                  <c:v>Mar 20</c:v>
                </c:pt>
                <c:pt idx="76">
                  <c:v>Apr 20</c:v>
                </c:pt>
                <c:pt idx="77">
                  <c:v>May 20</c:v>
                </c:pt>
                <c:pt idx="78">
                  <c:v>Jun 20</c:v>
                </c:pt>
                <c:pt idx="79">
                  <c:v>Jul 20</c:v>
                </c:pt>
                <c:pt idx="80">
                  <c:v>Aug 20</c:v>
                </c:pt>
                <c:pt idx="81">
                  <c:v>Sep 20</c:v>
                </c:pt>
                <c:pt idx="82">
                  <c:v>Oct 20</c:v>
                </c:pt>
                <c:pt idx="83">
                  <c:v>Nov 20</c:v>
                </c:pt>
                <c:pt idx="84">
                  <c:v>Dec 20</c:v>
                </c:pt>
              </c:strCache>
            </c:strRef>
          </c:cat>
          <c:val>
            <c:numRef>
              <c:f>'S04 Product Life Cyle'!$B$16:$CH$16</c:f>
              <c:numCache>
                <c:formatCode>General</c:formatCode>
                <c:ptCount val="85"/>
                <c:pt idx="0">
                  <c:v>0</c:v>
                </c:pt>
                <c:pt idx="1">
                  <c:v>4</c:v>
                </c:pt>
                <c:pt idx="2">
                  <c:v>12</c:v>
                </c:pt>
                <c:pt idx="3">
                  <c:v>14</c:v>
                </c:pt>
                <c:pt idx="4">
                  <c:v>16</c:v>
                </c:pt>
                <c:pt idx="5">
                  <c:v>19</c:v>
                </c:pt>
                <c:pt idx="6">
                  <c:v>22</c:v>
                </c:pt>
                <c:pt idx="7">
                  <c:v>26</c:v>
                </c:pt>
                <c:pt idx="8">
                  <c:v>31</c:v>
                </c:pt>
                <c:pt idx="9">
                  <c:v>37</c:v>
                </c:pt>
                <c:pt idx="10">
                  <c:v>44</c:v>
                </c:pt>
                <c:pt idx="11">
                  <c:v>52</c:v>
                </c:pt>
                <c:pt idx="12">
                  <c:v>62</c:v>
                </c:pt>
                <c:pt idx="13">
                  <c:v>74</c:v>
                </c:pt>
                <c:pt idx="14">
                  <c:v>88</c:v>
                </c:pt>
                <c:pt idx="15">
                  <c:v>89</c:v>
                </c:pt>
                <c:pt idx="16">
                  <c:v>93</c:v>
                </c:pt>
                <c:pt idx="17">
                  <c:v>97</c:v>
                </c:pt>
                <c:pt idx="18">
                  <c:v>92</c:v>
                </c:pt>
                <c:pt idx="19">
                  <c:v>94</c:v>
                </c:pt>
                <c:pt idx="20">
                  <c:v>91</c:v>
                </c:pt>
                <c:pt idx="21">
                  <c:v>86</c:v>
                </c:pt>
                <c:pt idx="22">
                  <c:v>70</c:v>
                </c:pt>
                <c:pt idx="23">
                  <c:v>58</c:v>
                </c:pt>
                <c:pt idx="24">
                  <c:v>47</c:v>
                </c:pt>
                <c:pt idx="25">
                  <c:v>30</c:v>
                </c:pt>
                <c:pt idx="26">
                  <c:v>20</c:v>
                </c:pt>
                <c:pt idx="27">
                  <c:v>4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E3D-BC42-A3B4-7D61A08F4E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28514031"/>
        <c:axId val="828093391"/>
      </c:lineChart>
      <c:catAx>
        <c:axId val="82851403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828093391"/>
        <c:crosses val="autoZero"/>
        <c:auto val="1"/>
        <c:lblAlgn val="ctr"/>
        <c:lblOffset val="100"/>
        <c:noMultiLvlLbl val="0"/>
      </c:catAx>
      <c:valAx>
        <c:axId val="8280933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82851403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E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'S04 Product Life Cyle'!$A$26</c:f>
              <c:strCache>
                <c:ptCount val="1"/>
                <c:pt idx="0">
                  <c:v>Sales (C) 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'S04 Product Life Cyle'!$B$26:$CH$26</c:f>
              <c:numCache>
                <c:formatCode>General</c:formatCode>
                <c:ptCount val="85"/>
                <c:pt idx="0">
                  <c:v>0</c:v>
                </c:pt>
                <c:pt idx="1">
                  <c:v>10</c:v>
                </c:pt>
                <c:pt idx="2">
                  <c:v>11</c:v>
                </c:pt>
                <c:pt idx="3">
                  <c:v>12</c:v>
                </c:pt>
                <c:pt idx="4">
                  <c:v>13</c:v>
                </c:pt>
                <c:pt idx="5">
                  <c:v>14</c:v>
                </c:pt>
                <c:pt idx="6">
                  <c:v>15</c:v>
                </c:pt>
                <c:pt idx="7">
                  <c:v>16</c:v>
                </c:pt>
                <c:pt idx="8">
                  <c:v>17</c:v>
                </c:pt>
                <c:pt idx="9">
                  <c:v>18</c:v>
                </c:pt>
                <c:pt idx="10">
                  <c:v>19</c:v>
                </c:pt>
                <c:pt idx="11">
                  <c:v>20</c:v>
                </c:pt>
                <c:pt idx="12">
                  <c:v>22</c:v>
                </c:pt>
                <c:pt idx="13">
                  <c:v>24</c:v>
                </c:pt>
                <c:pt idx="14">
                  <c:v>26</c:v>
                </c:pt>
                <c:pt idx="15">
                  <c:v>28</c:v>
                </c:pt>
                <c:pt idx="16">
                  <c:v>30</c:v>
                </c:pt>
                <c:pt idx="17">
                  <c:v>33</c:v>
                </c:pt>
                <c:pt idx="18">
                  <c:v>36</c:v>
                </c:pt>
                <c:pt idx="19">
                  <c:v>39</c:v>
                </c:pt>
                <c:pt idx="20">
                  <c:v>42</c:v>
                </c:pt>
                <c:pt idx="21">
                  <c:v>46</c:v>
                </c:pt>
                <c:pt idx="22">
                  <c:v>50</c:v>
                </c:pt>
                <c:pt idx="23">
                  <c:v>55</c:v>
                </c:pt>
                <c:pt idx="24">
                  <c:v>60</c:v>
                </c:pt>
                <c:pt idx="25">
                  <c:v>66</c:v>
                </c:pt>
                <c:pt idx="26">
                  <c:v>72</c:v>
                </c:pt>
                <c:pt idx="27">
                  <c:v>79</c:v>
                </c:pt>
                <c:pt idx="28">
                  <c:v>86</c:v>
                </c:pt>
                <c:pt idx="29">
                  <c:v>94</c:v>
                </c:pt>
                <c:pt idx="30">
                  <c:v>103</c:v>
                </c:pt>
                <c:pt idx="31">
                  <c:v>113</c:v>
                </c:pt>
                <c:pt idx="32">
                  <c:v>124</c:v>
                </c:pt>
                <c:pt idx="33">
                  <c:v>136</c:v>
                </c:pt>
                <c:pt idx="34">
                  <c:v>149</c:v>
                </c:pt>
                <c:pt idx="35">
                  <c:v>163</c:v>
                </c:pt>
                <c:pt idx="36">
                  <c:v>179</c:v>
                </c:pt>
                <c:pt idx="37">
                  <c:v>196</c:v>
                </c:pt>
                <c:pt idx="38">
                  <c:v>215</c:v>
                </c:pt>
                <c:pt idx="39">
                  <c:v>236</c:v>
                </c:pt>
                <c:pt idx="40">
                  <c:v>259</c:v>
                </c:pt>
                <c:pt idx="41">
                  <c:v>284</c:v>
                </c:pt>
                <c:pt idx="42">
                  <c:v>312</c:v>
                </c:pt>
                <c:pt idx="43">
                  <c:v>343</c:v>
                </c:pt>
                <c:pt idx="44">
                  <c:v>377</c:v>
                </c:pt>
                <c:pt idx="45">
                  <c:v>414</c:v>
                </c:pt>
                <c:pt idx="46">
                  <c:v>455</c:v>
                </c:pt>
                <c:pt idx="47">
                  <c:v>500</c:v>
                </c:pt>
                <c:pt idx="48">
                  <c:v>550</c:v>
                </c:pt>
                <c:pt idx="49">
                  <c:v>605</c:v>
                </c:pt>
                <c:pt idx="50">
                  <c:v>665</c:v>
                </c:pt>
                <c:pt idx="51">
                  <c:v>675</c:v>
                </c:pt>
                <c:pt idx="52">
                  <c:v>687</c:v>
                </c:pt>
                <c:pt idx="53">
                  <c:v>698</c:v>
                </c:pt>
                <c:pt idx="54">
                  <c:v>714</c:v>
                </c:pt>
                <c:pt idx="55">
                  <c:v>730</c:v>
                </c:pt>
                <c:pt idx="56">
                  <c:v>749</c:v>
                </c:pt>
                <c:pt idx="57">
                  <c:v>735</c:v>
                </c:pt>
                <c:pt idx="58">
                  <c:v>716</c:v>
                </c:pt>
                <c:pt idx="59">
                  <c:v>702</c:v>
                </c:pt>
                <c:pt idx="60">
                  <c:v>682</c:v>
                </c:pt>
                <c:pt idx="61">
                  <c:v>662</c:v>
                </c:pt>
                <c:pt idx="62">
                  <c:v>643</c:v>
                </c:pt>
                <c:pt idx="63">
                  <c:v>632</c:v>
                </c:pt>
                <c:pt idx="64">
                  <c:v>617</c:v>
                </c:pt>
                <c:pt idx="65">
                  <c:v>600</c:v>
                </c:pt>
                <c:pt idx="66">
                  <c:v>589</c:v>
                </c:pt>
                <c:pt idx="67">
                  <c:v>569</c:v>
                </c:pt>
                <c:pt idx="68">
                  <c:v>557</c:v>
                </c:pt>
                <c:pt idx="69">
                  <c:v>538</c:v>
                </c:pt>
                <c:pt idx="70">
                  <c:v>521</c:v>
                </c:pt>
                <c:pt idx="71">
                  <c:v>511</c:v>
                </c:pt>
                <c:pt idx="72">
                  <c:v>494</c:v>
                </c:pt>
                <c:pt idx="73">
                  <c:v>482</c:v>
                </c:pt>
                <c:pt idx="74">
                  <c:v>468</c:v>
                </c:pt>
                <c:pt idx="75">
                  <c:v>454</c:v>
                </c:pt>
                <c:pt idx="76">
                  <c:v>438</c:v>
                </c:pt>
                <c:pt idx="77">
                  <c:v>427</c:v>
                </c:pt>
                <c:pt idx="78">
                  <c:v>410</c:v>
                </c:pt>
                <c:pt idx="79">
                  <c:v>396</c:v>
                </c:pt>
                <c:pt idx="80">
                  <c:v>379</c:v>
                </c:pt>
                <c:pt idx="81">
                  <c:v>361</c:v>
                </c:pt>
                <c:pt idx="82">
                  <c:v>351</c:v>
                </c:pt>
                <c:pt idx="83">
                  <c:v>338</c:v>
                </c:pt>
                <c:pt idx="84">
                  <c:v>322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1AC-3143-AD14-EFC7E126AB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22514223"/>
        <c:axId val="878570383"/>
      </c:lineChart>
      <c:catAx>
        <c:axId val="822514223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878570383"/>
        <c:crosses val="autoZero"/>
        <c:auto val="1"/>
        <c:lblAlgn val="ctr"/>
        <c:lblOffset val="100"/>
        <c:noMultiLvlLbl val="0"/>
      </c:catAx>
      <c:valAx>
        <c:axId val="8785703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82251422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E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Sales</a:t>
            </a:r>
            <a:r>
              <a:rPr lang="en-GB" baseline="0"/>
              <a:t> &amp; Cum. Revenue (A)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E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'S04 Product Life Cyle'!$A$6</c:f>
              <c:strCache>
                <c:ptCount val="1"/>
                <c:pt idx="0">
                  <c:v>Sales (A) 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'S04 Product Life Cyle'!$B$1:$CH$1</c:f>
              <c:strCache>
                <c:ptCount val="85"/>
                <c:pt idx="0">
                  <c:v>Initial</c:v>
                </c:pt>
                <c:pt idx="1">
                  <c:v>Jan 14</c:v>
                </c:pt>
                <c:pt idx="2">
                  <c:v>Feb 14</c:v>
                </c:pt>
                <c:pt idx="3">
                  <c:v>Mar 14</c:v>
                </c:pt>
                <c:pt idx="4">
                  <c:v>Apr 14</c:v>
                </c:pt>
                <c:pt idx="5">
                  <c:v>May 14</c:v>
                </c:pt>
                <c:pt idx="6">
                  <c:v>Jun 14</c:v>
                </c:pt>
                <c:pt idx="7">
                  <c:v>Jul 14</c:v>
                </c:pt>
                <c:pt idx="8">
                  <c:v>Aug 14</c:v>
                </c:pt>
                <c:pt idx="9">
                  <c:v>Sep 14</c:v>
                </c:pt>
                <c:pt idx="10">
                  <c:v>Oct 14</c:v>
                </c:pt>
                <c:pt idx="11">
                  <c:v>Nov 14</c:v>
                </c:pt>
                <c:pt idx="12">
                  <c:v>Dec 14</c:v>
                </c:pt>
                <c:pt idx="13">
                  <c:v>Jan 15</c:v>
                </c:pt>
                <c:pt idx="14">
                  <c:v>Feb 15</c:v>
                </c:pt>
                <c:pt idx="15">
                  <c:v>Mar 15</c:v>
                </c:pt>
                <c:pt idx="16">
                  <c:v>Apr 15</c:v>
                </c:pt>
                <c:pt idx="17">
                  <c:v>May 15</c:v>
                </c:pt>
                <c:pt idx="18">
                  <c:v>Jun 15</c:v>
                </c:pt>
                <c:pt idx="19">
                  <c:v>Jul 15</c:v>
                </c:pt>
                <c:pt idx="20">
                  <c:v>Aug 15</c:v>
                </c:pt>
                <c:pt idx="21">
                  <c:v>Sep 15</c:v>
                </c:pt>
                <c:pt idx="22">
                  <c:v>Oct 15</c:v>
                </c:pt>
                <c:pt idx="23">
                  <c:v>Nov 15</c:v>
                </c:pt>
                <c:pt idx="24">
                  <c:v>Dec 15</c:v>
                </c:pt>
                <c:pt idx="25">
                  <c:v>Jan 16</c:v>
                </c:pt>
                <c:pt idx="26">
                  <c:v>Feb 16</c:v>
                </c:pt>
                <c:pt idx="27">
                  <c:v>Mar 16</c:v>
                </c:pt>
                <c:pt idx="28">
                  <c:v>Apr 16</c:v>
                </c:pt>
                <c:pt idx="29">
                  <c:v>May 16</c:v>
                </c:pt>
                <c:pt idx="30">
                  <c:v>Jun 16</c:v>
                </c:pt>
                <c:pt idx="31">
                  <c:v>Jul 16</c:v>
                </c:pt>
                <c:pt idx="32">
                  <c:v>Aug 16</c:v>
                </c:pt>
                <c:pt idx="33">
                  <c:v>Sep 16</c:v>
                </c:pt>
                <c:pt idx="34">
                  <c:v>Oct 16</c:v>
                </c:pt>
                <c:pt idx="35">
                  <c:v>Nov 16</c:v>
                </c:pt>
                <c:pt idx="36">
                  <c:v>Dec 16</c:v>
                </c:pt>
                <c:pt idx="37">
                  <c:v>Jan 17</c:v>
                </c:pt>
                <c:pt idx="38">
                  <c:v>Feb 17</c:v>
                </c:pt>
                <c:pt idx="39">
                  <c:v>Mar 17</c:v>
                </c:pt>
                <c:pt idx="40">
                  <c:v>Apr 17</c:v>
                </c:pt>
                <c:pt idx="41">
                  <c:v>May 17</c:v>
                </c:pt>
                <c:pt idx="42">
                  <c:v>Jun 17</c:v>
                </c:pt>
                <c:pt idx="43">
                  <c:v>Jul 17</c:v>
                </c:pt>
                <c:pt idx="44">
                  <c:v>Aug 17</c:v>
                </c:pt>
                <c:pt idx="45">
                  <c:v>Sep 17</c:v>
                </c:pt>
                <c:pt idx="46">
                  <c:v>Oct 17</c:v>
                </c:pt>
                <c:pt idx="47">
                  <c:v>Nov 17</c:v>
                </c:pt>
                <c:pt idx="48">
                  <c:v>Dec 17</c:v>
                </c:pt>
                <c:pt idx="49">
                  <c:v>Jan 18</c:v>
                </c:pt>
                <c:pt idx="50">
                  <c:v>Feb 18</c:v>
                </c:pt>
                <c:pt idx="51">
                  <c:v>Mar 18</c:v>
                </c:pt>
                <c:pt idx="52">
                  <c:v>Apr 18</c:v>
                </c:pt>
                <c:pt idx="53">
                  <c:v>May 18</c:v>
                </c:pt>
                <c:pt idx="54">
                  <c:v>Jun 18</c:v>
                </c:pt>
                <c:pt idx="55">
                  <c:v>Jul 18</c:v>
                </c:pt>
                <c:pt idx="56">
                  <c:v>Aug 18</c:v>
                </c:pt>
                <c:pt idx="57">
                  <c:v>Sep 18</c:v>
                </c:pt>
                <c:pt idx="58">
                  <c:v>Oct 18</c:v>
                </c:pt>
                <c:pt idx="59">
                  <c:v>Nov 18</c:v>
                </c:pt>
                <c:pt idx="60">
                  <c:v>Dec 18</c:v>
                </c:pt>
                <c:pt idx="61">
                  <c:v>Jan 19</c:v>
                </c:pt>
                <c:pt idx="62">
                  <c:v>Feb 19</c:v>
                </c:pt>
                <c:pt idx="63">
                  <c:v>Mar 19</c:v>
                </c:pt>
                <c:pt idx="64">
                  <c:v>Apr 19</c:v>
                </c:pt>
                <c:pt idx="65">
                  <c:v>May 19</c:v>
                </c:pt>
                <c:pt idx="66">
                  <c:v>Jun 19</c:v>
                </c:pt>
                <c:pt idx="67">
                  <c:v>Jul 19</c:v>
                </c:pt>
                <c:pt idx="68">
                  <c:v>Aug 19</c:v>
                </c:pt>
                <c:pt idx="69">
                  <c:v>Sep 19</c:v>
                </c:pt>
                <c:pt idx="70">
                  <c:v>Oct 19</c:v>
                </c:pt>
                <c:pt idx="71">
                  <c:v>Nov 19</c:v>
                </c:pt>
                <c:pt idx="72">
                  <c:v>Dec 19</c:v>
                </c:pt>
                <c:pt idx="73">
                  <c:v>Jan 20</c:v>
                </c:pt>
                <c:pt idx="74">
                  <c:v>Feb 20</c:v>
                </c:pt>
                <c:pt idx="75">
                  <c:v>Mar 20</c:v>
                </c:pt>
                <c:pt idx="76">
                  <c:v>Apr 20</c:v>
                </c:pt>
                <c:pt idx="77">
                  <c:v>May 20</c:v>
                </c:pt>
                <c:pt idx="78">
                  <c:v>Jun 20</c:v>
                </c:pt>
                <c:pt idx="79">
                  <c:v>Jul 20</c:v>
                </c:pt>
                <c:pt idx="80">
                  <c:v>Aug 20</c:v>
                </c:pt>
                <c:pt idx="81">
                  <c:v>Sep 20</c:v>
                </c:pt>
                <c:pt idx="82">
                  <c:v>Oct 20</c:v>
                </c:pt>
                <c:pt idx="83">
                  <c:v>Nov 20</c:v>
                </c:pt>
                <c:pt idx="84">
                  <c:v>Dec 20</c:v>
                </c:pt>
              </c:strCache>
            </c:strRef>
          </c:cat>
          <c:val>
            <c:numRef>
              <c:f>'S04 Product Life Cyle'!$B$6:$CH$6</c:f>
              <c:numCache>
                <c:formatCode>General</c:formatCode>
                <c:ptCount val="85"/>
                <c:pt idx="0">
                  <c:v>0</c:v>
                </c:pt>
                <c:pt idx="1">
                  <c:v>12</c:v>
                </c:pt>
                <c:pt idx="2">
                  <c:v>20</c:v>
                </c:pt>
                <c:pt idx="3">
                  <c:v>37</c:v>
                </c:pt>
                <c:pt idx="4">
                  <c:v>84</c:v>
                </c:pt>
                <c:pt idx="5">
                  <c:v>178</c:v>
                </c:pt>
                <c:pt idx="6">
                  <c:v>353</c:v>
                </c:pt>
                <c:pt idx="7">
                  <c:v>714</c:v>
                </c:pt>
                <c:pt idx="8">
                  <c:v>1430</c:v>
                </c:pt>
                <c:pt idx="9">
                  <c:v>2858</c:v>
                </c:pt>
                <c:pt idx="10">
                  <c:v>5724</c:v>
                </c:pt>
                <c:pt idx="11">
                  <c:v>11451</c:v>
                </c:pt>
                <c:pt idx="12">
                  <c:v>22903</c:v>
                </c:pt>
                <c:pt idx="13">
                  <c:v>29449</c:v>
                </c:pt>
                <c:pt idx="14">
                  <c:v>36368</c:v>
                </c:pt>
                <c:pt idx="15">
                  <c:v>42833</c:v>
                </c:pt>
                <c:pt idx="16">
                  <c:v>48833</c:v>
                </c:pt>
                <c:pt idx="17">
                  <c:v>51584</c:v>
                </c:pt>
                <c:pt idx="18">
                  <c:v>54451</c:v>
                </c:pt>
                <c:pt idx="19">
                  <c:v>56265</c:v>
                </c:pt>
                <c:pt idx="20">
                  <c:v>58065</c:v>
                </c:pt>
                <c:pt idx="21">
                  <c:v>59523</c:v>
                </c:pt>
                <c:pt idx="22">
                  <c:v>61015</c:v>
                </c:pt>
                <c:pt idx="23">
                  <c:v>62416</c:v>
                </c:pt>
                <c:pt idx="24">
                  <c:v>64277</c:v>
                </c:pt>
                <c:pt idx="25">
                  <c:v>65872</c:v>
                </c:pt>
                <c:pt idx="26">
                  <c:v>67004</c:v>
                </c:pt>
                <c:pt idx="27">
                  <c:v>68779</c:v>
                </c:pt>
                <c:pt idx="28">
                  <c:v>70726</c:v>
                </c:pt>
                <c:pt idx="29">
                  <c:v>72688</c:v>
                </c:pt>
                <c:pt idx="30">
                  <c:v>73738</c:v>
                </c:pt>
                <c:pt idx="31">
                  <c:v>75620</c:v>
                </c:pt>
                <c:pt idx="32">
                  <c:v>76838</c:v>
                </c:pt>
                <c:pt idx="33">
                  <c:v>78648</c:v>
                </c:pt>
                <c:pt idx="34">
                  <c:v>80492</c:v>
                </c:pt>
                <c:pt idx="35">
                  <c:v>82443</c:v>
                </c:pt>
                <c:pt idx="36">
                  <c:v>84196</c:v>
                </c:pt>
                <c:pt idx="37">
                  <c:v>85961</c:v>
                </c:pt>
                <c:pt idx="38">
                  <c:v>87294</c:v>
                </c:pt>
                <c:pt idx="39">
                  <c:v>88357</c:v>
                </c:pt>
                <c:pt idx="40">
                  <c:v>89219</c:v>
                </c:pt>
                <c:pt idx="41">
                  <c:v>89963</c:v>
                </c:pt>
                <c:pt idx="42">
                  <c:v>89886</c:v>
                </c:pt>
                <c:pt idx="43">
                  <c:v>89820</c:v>
                </c:pt>
                <c:pt idx="44">
                  <c:v>89837</c:v>
                </c:pt>
                <c:pt idx="45">
                  <c:v>89845</c:v>
                </c:pt>
                <c:pt idx="46">
                  <c:v>89819</c:v>
                </c:pt>
                <c:pt idx="47">
                  <c:v>89815</c:v>
                </c:pt>
                <c:pt idx="48">
                  <c:v>89819</c:v>
                </c:pt>
                <c:pt idx="49">
                  <c:v>89827</c:v>
                </c:pt>
                <c:pt idx="50">
                  <c:v>89821</c:v>
                </c:pt>
                <c:pt idx="51">
                  <c:v>89805</c:v>
                </c:pt>
                <c:pt idx="52">
                  <c:v>89779</c:v>
                </c:pt>
                <c:pt idx="53">
                  <c:v>89765</c:v>
                </c:pt>
                <c:pt idx="54">
                  <c:v>89752</c:v>
                </c:pt>
                <c:pt idx="55">
                  <c:v>89748</c:v>
                </c:pt>
                <c:pt idx="56">
                  <c:v>89732</c:v>
                </c:pt>
                <c:pt idx="57">
                  <c:v>89724</c:v>
                </c:pt>
                <c:pt idx="58">
                  <c:v>89696</c:v>
                </c:pt>
                <c:pt idx="59">
                  <c:v>89697</c:v>
                </c:pt>
                <c:pt idx="60">
                  <c:v>89706</c:v>
                </c:pt>
                <c:pt idx="61">
                  <c:v>89707</c:v>
                </c:pt>
                <c:pt idx="62">
                  <c:v>89682</c:v>
                </c:pt>
                <c:pt idx="63">
                  <c:v>89668</c:v>
                </c:pt>
                <c:pt idx="64">
                  <c:v>89675</c:v>
                </c:pt>
                <c:pt idx="65">
                  <c:v>89654</c:v>
                </c:pt>
                <c:pt idx="66">
                  <c:v>89661</c:v>
                </c:pt>
                <c:pt idx="67">
                  <c:v>89659</c:v>
                </c:pt>
                <c:pt idx="68">
                  <c:v>89494</c:v>
                </c:pt>
                <c:pt idx="69">
                  <c:v>89209</c:v>
                </c:pt>
                <c:pt idx="70">
                  <c:v>88872</c:v>
                </c:pt>
                <c:pt idx="71">
                  <c:v>88399</c:v>
                </c:pt>
                <c:pt idx="72">
                  <c:v>88255</c:v>
                </c:pt>
                <c:pt idx="73">
                  <c:v>87754</c:v>
                </c:pt>
                <c:pt idx="74">
                  <c:v>87151</c:v>
                </c:pt>
                <c:pt idx="75">
                  <c:v>85730</c:v>
                </c:pt>
                <c:pt idx="76">
                  <c:v>83311</c:v>
                </c:pt>
                <c:pt idx="77">
                  <c:v>80271</c:v>
                </c:pt>
                <c:pt idx="78">
                  <c:v>75028</c:v>
                </c:pt>
                <c:pt idx="79">
                  <c:v>65642</c:v>
                </c:pt>
                <c:pt idx="80">
                  <c:v>55659</c:v>
                </c:pt>
                <c:pt idx="81">
                  <c:v>43770</c:v>
                </c:pt>
                <c:pt idx="82">
                  <c:v>26776</c:v>
                </c:pt>
                <c:pt idx="83">
                  <c:v>11639</c:v>
                </c:pt>
                <c:pt idx="84">
                  <c:v>10239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76-DD45-98A4-7E4F3CB96B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69463183"/>
        <c:axId val="369736863"/>
      </c:barChart>
      <c:lineChart>
        <c:grouping val="standard"/>
        <c:varyColors val="0"/>
        <c:ser>
          <c:idx val="1"/>
          <c:order val="1"/>
          <c:tx>
            <c:strRef>
              <c:f>'S04 Product Life Cyle'!$A$9</c:f>
              <c:strCache>
                <c:ptCount val="1"/>
                <c:pt idx="0">
                  <c:v>Cumulative Revenue (A)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'S04 Product Life Cyle'!$B$1:$CH$1</c:f>
              <c:strCache>
                <c:ptCount val="85"/>
                <c:pt idx="0">
                  <c:v>Initial</c:v>
                </c:pt>
                <c:pt idx="1">
                  <c:v>Jan 14</c:v>
                </c:pt>
                <c:pt idx="2">
                  <c:v>Feb 14</c:v>
                </c:pt>
                <c:pt idx="3">
                  <c:v>Mar 14</c:v>
                </c:pt>
                <c:pt idx="4">
                  <c:v>Apr 14</c:v>
                </c:pt>
                <c:pt idx="5">
                  <c:v>May 14</c:v>
                </c:pt>
                <c:pt idx="6">
                  <c:v>Jun 14</c:v>
                </c:pt>
                <c:pt idx="7">
                  <c:v>Jul 14</c:v>
                </c:pt>
                <c:pt idx="8">
                  <c:v>Aug 14</c:v>
                </c:pt>
                <c:pt idx="9">
                  <c:v>Sep 14</c:v>
                </c:pt>
                <c:pt idx="10">
                  <c:v>Oct 14</c:v>
                </c:pt>
                <c:pt idx="11">
                  <c:v>Nov 14</c:v>
                </c:pt>
                <c:pt idx="12">
                  <c:v>Dec 14</c:v>
                </c:pt>
                <c:pt idx="13">
                  <c:v>Jan 15</c:v>
                </c:pt>
                <c:pt idx="14">
                  <c:v>Feb 15</c:v>
                </c:pt>
                <c:pt idx="15">
                  <c:v>Mar 15</c:v>
                </c:pt>
                <c:pt idx="16">
                  <c:v>Apr 15</c:v>
                </c:pt>
                <c:pt idx="17">
                  <c:v>May 15</c:v>
                </c:pt>
                <c:pt idx="18">
                  <c:v>Jun 15</c:v>
                </c:pt>
                <c:pt idx="19">
                  <c:v>Jul 15</c:v>
                </c:pt>
                <c:pt idx="20">
                  <c:v>Aug 15</c:v>
                </c:pt>
                <c:pt idx="21">
                  <c:v>Sep 15</c:v>
                </c:pt>
                <c:pt idx="22">
                  <c:v>Oct 15</c:v>
                </c:pt>
                <c:pt idx="23">
                  <c:v>Nov 15</c:v>
                </c:pt>
                <c:pt idx="24">
                  <c:v>Dec 15</c:v>
                </c:pt>
                <c:pt idx="25">
                  <c:v>Jan 16</c:v>
                </c:pt>
                <c:pt idx="26">
                  <c:v>Feb 16</c:v>
                </c:pt>
                <c:pt idx="27">
                  <c:v>Mar 16</c:v>
                </c:pt>
                <c:pt idx="28">
                  <c:v>Apr 16</c:v>
                </c:pt>
                <c:pt idx="29">
                  <c:v>May 16</c:v>
                </c:pt>
                <c:pt idx="30">
                  <c:v>Jun 16</c:v>
                </c:pt>
                <c:pt idx="31">
                  <c:v>Jul 16</c:v>
                </c:pt>
                <c:pt idx="32">
                  <c:v>Aug 16</c:v>
                </c:pt>
                <c:pt idx="33">
                  <c:v>Sep 16</c:v>
                </c:pt>
                <c:pt idx="34">
                  <c:v>Oct 16</c:v>
                </c:pt>
                <c:pt idx="35">
                  <c:v>Nov 16</c:v>
                </c:pt>
                <c:pt idx="36">
                  <c:v>Dec 16</c:v>
                </c:pt>
                <c:pt idx="37">
                  <c:v>Jan 17</c:v>
                </c:pt>
                <c:pt idx="38">
                  <c:v>Feb 17</c:v>
                </c:pt>
                <c:pt idx="39">
                  <c:v>Mar 17</c:v>
                </c:pt>
                <c:pt idx="40">
                  <c:v>Apr 17</c:v>
                </c:pt>
                <c:pt idx="41">
                  <c:v>May 17</c:v>
                </c:pt>
                <c:pt idx="42">
                  <c:v>Jun 17</c:v>
                </c:pt>
                <c:pt idx="43">
                  <c:v>Jul 17</c:v>
                </c:pt>
                <c:pt idx="44">
                  <c:v>Aug 17</c:v>
                </c:pt>
                <c:pt idx="45">
                  <c:v>Sep 17</c:v>
                </c:pt>
                <c:pt idx="46">
                  <c:v>Oct 17</c:v>
                </c:pt>
                <c:pt idx="47">
                  <c:v>Nov 17</c:v>
                </c:pt>
                <c:pt idx="48">
                  <c:v>Dec 17</c:v>
                </c:pt>
                <c:pt idx="49">
                  <c:v>Jan 18</c:v>
                </c:pt>
                <c:pt idx="50">
                  <c:v>Feb 18</c:v>
                </c:pt>
                <c:pt idx="51">
                  <c:v>Mar 18</c:v>
                </c:pt>
                <c:pt idx="52">
                  <c:v>Apr 18</c:v>
                </c:pt>
                <c:pt idx="53">
                  <c:v>May 18</c:v>
                </c:pt>
                <c:pt idx="54">
                  <c:v>Jun 18</c:v>
                </c:pt>
                <c:pt idx="55">
                  <c:v>Jul 18</c:v>
                </c:pt>
                <c:pt idx="56">
                  <c:v>Aug 18</c:v>
                </c:pt>
                <c:pt idx="57">
                  <c:v>Sep 18</c:v>
                </c:pt>
                <c:pt idx="58">
                  <c:v>Oct 18</c:v>
                </c:pt>
                <c:pt idx="59">
                  <c:v>Nov 18</c:v>
                </c:pt>
                <c:pt idx="60">
                  <c:v>Dec 18</c:v>
                </c:pt>
                <c:pt idx="61">
                  <c:v>Jan 19</c:v>
                </c:pt>
                <c:pt idx="62">
                  <c:v>Feb 19</c:v>
                </c:pt>
                <c:pt idx="63">
                  <c:v>Mar 19</c:v>
                </c:pt>
                <c:pt idx="64">
                  <c:v>Apr 19</c:v>
                </c:pt>
                <c:pt idx="65">
                  <c:v>May 19</c:v>
                </c:pt>
                <c:pt idx="66">
                  <c:v>Jun 19</c:v>
                </c:pt>
                <c:pt idx="67">
                  <c:v>Jul 19</c:v>
                </c:pt>
                <c:pt idx="68">
                  <c:v>Aug 19</c:v>
                </c:pt>
                <c:pt idx="69">
                  <c:v>Sep 19</c:v>
                </c:pt>
                <c:pt idx="70">
                  <c:v>Oct 19</c:v>
                </c:pt>
                <c:pt idx="71">
                  <c:v>Nov 19</c:v>
                </c:pt>
                <c:pt idx="72">
                  <c:v>Dec 19</c:v>
                </c:pt>
                <c:pt idx="73">
                  <c:v>Jan 20</c:v>
                </c:pt>
                <c:pt idx="74">
                  <c:v>Feb 20</c:v>
                </c:pt>
                <c:pt idx="75">
                  <c:v>Mar 20</c:v>
                </c:pt>
                <c:pt idx="76">
                  <c:v>Apr 20</c:v>
                </c:pt>
                <c:pt idx="77">
                  <c:v>May 20</c:v>
                </c:pt>
                <c:pt idx="78">
                  <c:v>Jun 20</c:v>
                </c:pt>
                <c:pt idx="79">
                  <c:v>Jul 20</c:v>
                </c:pt>
                <c:pt idx="80">
                  <c:v>Aug 20</c:v>
                </c:pt>
                <c:pt idx="81">
                  <c:v>Sep 20</c:v>
                </c:pt>
                <c:pt idx="82">
                  <c:v>Oct 20</c:v>
                </c:pt>
                <c:pt idx="83">
                  <c:v>Nov 20</c:v>
                </c:pt>
                <c:pt idx="84">
                  <c:v>Dec 20</c:v>
                </c:pt>
              </c:strCache>
            </c:strRef>
          </c:cat>
          <c:val>
            <c:numRef>
              <c:f>'S04 Product Life Cyle'!$B$9:$CH$9</c:f>
              <c:numCache>
                <c:formatCode>General</c:formatCode>
                <c:ptCount val="85"/>
                <c:pt idx="0">
                  <c:v>0</c:v>
                </c:pt>
                <c:pt idx="1">
                  <c:v>948</c:v>
                </c:pt>
                <c:pt idx="2">
                  <c:v>2528</c:v>
                </c:pt>
                <c:pt idx="3">
                  <c:v>5451</c:v>
                </c:pt>
                <c:pt idx="4">
                  <c:v>12087</c:v>
                </c:pt>
                <c:pt idx="5">
                  <c:v>26149</c:v>
                </c:pt>
                <c:pt idx="6">
                  <c:v>54036</c:v>
                </c:pt>
                <c:pt idx="7">
                  <c:v>110442</c:v>
                </c:pt>
                <c:pt idx="8">
                  <c:v>223412</c:v>
                </c:pt>
                <c:pt idx="9">
                  <c:v>449194</c:v>
                </c:pt>
                <c:pt idx="10">
                  <c:v>901390</c:v>
                </c:pt>
                <c:pt idx="11">
                  <c:v>1806019</c:v>
                </c:pt>
                <c:pt idx="12">
                  <c:v>3615356</c:v>
                </c:pt>
                <c:pt idx="13">
                  <c:v>5941827</c:v>
                </c:pt>
                <c:pt idx="14">
                  <c:v>8814899</c:v>
                </c:pt>
                <c:pt idx="15">
                  <c:v>12198706</c:v>
                </c:pt>
                <c:pt idx="16">
                  <c:v>16056513</c:v>
                </c:pt>
                <c:pt idx="17">
                  <c:v>20131649</c:v>
                </c:pt>
                <c:pt idx="18">
                  <c:v>24433278</c:v>
                </c:pt>
                <c:pt idx="19">
                  <c:v>28878213</c:v>
                </c:pt>
                <c:pt idx="20">
                  <c:v>33465348</c:v>
                </c:pt>
                <c:pt idx="21">
                  <c:v>38167665</c:v>
                </c:pt>
                <c:pt idx="22">
                  <c:v>42987850</c:v>
                </c:pt>
                <c:pt idx="23">
                  <c:v>47918714</c:v>
                </c:pt>
                <c:pt idx="24">
                  <c:v>52996597</c:v>
                </c:pt>
                <c:pt idx="25">
                  <c:v>58200485</c:v>
                </c:pt>
                <c:pt idx="26">
                  <c:v>63493801</c:v>
                </c:pt>
                <c:pt idx="27">
                  <c:v>68927342</c:v>
                </c:pt>
                <c:pt idx="28">
                  <c:v>74514696</c:v>
                </c:pt>
                <c:pt idx="29">
                  <c:v>80257048</c:v>
                </c:pt>
                <c:pt idx="30">
                  <c:v>86082350</c:v>
                </c:pt>
                <c:pt idx="31">
                  <c:v>92056330</c:v>
                </c:pt>
                <c:pt idx="32">
                  <c:v>98126532</c:v>
                </c:pt>
                <c:pt idx="33">
                  <c:v>104339724</c:v>
                </c:pt>
                <c:pt idx="34">
                  <c:v>110698592</c:v>
                </c:pt>
                <c:pt idx="35">
                  <c:v>117211589</c:v>
                </c:pt>
                <c:pt idx="36">
                  <c:v>123863073</c:v>
                </c:pt>
                <c:pt idx="37">
                  <c:v>130653992</c:v>
                </c:pt>
                <c:pt idx="38">
                  <c:v>137550218</c:v>
                </c:pt>
                <c:pt idx="39">
                  <c:v>144530421</c:v>
                </c:pt>
                <c:pt idx="40">
                  <c:v>151578722</c:v>
                </c:pt>
                <c:pt idx="41">
                  <c:v>158685799</c:v>
                </c:pt>
                <c:pt idx="42">
                  <c:v>165786793</c:v>
                </c:pt>
                <c:pt idx="43">
                  <c:v>172882573</c:v>
                </c:pt>
                <c:pt idx="44">
                  <c:v>179979696</c:v>
                </c:pt>
                <c:pt idx="45">
                  <c:v>187077451</c:v>
                </c:pt>
                <c:pt idx="46">
                  <c:v>194173152</c:v>
                </c:pt>
                <c:pt idx="47">
                  <c:v>201268537</c:v>
                </c:pt>
                <c:pt idx="48">
                  <c:v>208364238</c:v>
                </c:pt>
                <c:pt idx="49">
                  <c:v>215460571</c:v>
                </c:pt>
                <c:pt idx="50">
                  <c:v>222556430</c:v>
                </c:pt>
                <c:pt idx="51">
                  <c:v>229651025</c:v>
                </c:pt>
                <c:pt idx="52">
                  <c:v>236743566</c:v>
                </c:pt>
                <c:pt idx="53">
                  <c:v>243835001</c:v>
                </c:pt>
                <c:pt idx="54">
                  <c:v>250925409</c:v>
                </c:pt>
                <c:pt idx="55">
                  <c:v>258015501</c:v>
                </c:pt>
                <c:pt idx="56">
                  <c:v>265104329</c:v>
                </c:pt>
                <c:pt idx="57">
                  <c:v>272192525</c:v>
                </c:pt>
                <c:pt idx="58">
                  <c:v>279278509</c:v>
                </c:pt>
                <c:pt idx="59">
                  <c:v>286364572</c:v>
                </c:pt>
                <c:pt idx="60">
                  <c:v>293451346</c:v>
                </c:pt>
                <c:pt idx="61">
                  <c:v>300538199</c:v>
                </c:pt>
                <c:pt idx="62">
                  <c:v>307623077</c:v>
                </c:pt>
                <c:pt idx="63">
                  <c:v>314706849</c:v>
                </c:pt>
                <c:pt idx="64">
                  <c:v>321791174</c:v>
                </c:pt>
                <c:pt idx="65">
                  <c:v>328873840</c:v>
                </c:pt>
                <c:pt idx="66">
                  <c:v>335957059</c:v>
                </c:pt>
                <c:pt idx="67">
                  <c:v>343040120</c:v>
                </c:pt>
                <c:pt idx="68">
                  <c:v>350110146</c:v>
                </c:pt>
                <c:pt idx="69">
                  <c:v>357157657</c:v>
                </c:pt>
                <c:pt idx="70">
                  <c:v>364178545</c:v>
                </c:pt>
                <c:pt idx="71">
                  <c:v>371162066</c:v>
                </c:pt>
                <c:pt idx="72">
                  <c:v>378134211</c:v>
                </c:pt>
                <c:pt idx="73">
                  <c:v>385066777</c:v>
                </c:pt>
                <c:pt idx="74">
                  <c:v>391951706</c:v>
                </c:pt>
                <c:pt idx="75">
                  <c:v>398724376</c:v>
                </c:pt>
                <c:pt idx="76">
                  <c:v>405305945</c:v>
                </c:pt>
                <c:pt idx="77">
                  <c:v>411647354</c:v>
                </c:pt>
                <c:pt idx="78">
                  <c:v>417574566</c:v>
                </c:pt>
                <c:pt idx="79">
                  <c:v>422760284</c:v>
                </c:pt>
                <c:pt idx="80">
                  <c:v>427157345</c:v>
                </c:pt>
                <c:pt idx="81">
                  <c:v>430615175</c:v>
                </c:pt>
                <c:pt idx="82">
                  <c:v>432730479</c:v>
                </c:pt>
                <c:pt idx="83">
                  <c:v>433649960</c:v>
                </c:pt>
                <c:pt idx="84">
                  <c:v>434458841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376-DD45-98A4-7E4F3CB96B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23207103"/>
        <c:axId val="794467567"/>
      </c:lineChart>
      <c:catAx>
        <c:axId val="36946318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369736863"/>
        <c:crosses val="autoZero"/>
        <c:auto val="1"/>
        <c:lblAlgn val="ctr"/>
        <c:lblOffset val="100"/>
        <c:noMultiLvlLbl val="0"/>
      </c:catAx>
      <c:valAx>
        <c:axId val="3697368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accent1"/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369463183"/>
        <c:crosses val="autoZero"/>
        <c:crossBetween val="between"/>
        <c:dispUnits>
          <c:builtInUnit val="thousand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endParaRPr lang="en-DE"/>
              </a:p>
            </c:txPr>
          </c:dispUnitsLbl>
        </c:dispUnits>
      </c:valAx>
      <c:valAx>
        <c:axId val="794467567"/>
        <c:scaling>
          <c:orientation val="minMax"/>
        </c:scaling>
        <c:delete val="0"/>
        <c:axPos val="r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accent2"/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823207103"/>
        <c:crosses val="max"/>
        <c:crossBetween val="between"/>
        <c:dispUnits>
          <c:builtInUnit val="m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accent2"/>
                    </a:solidFill>
                    <a:latin typeface="+mn-lt"/>
                    <a:ea typeface="+mn-ea"/>
                    <a:cs typeface="+mn-cs"/>
                  </a:defRPr>
                </a:pPr>
                <a:endParaRPr lang="en-DE"/>
              </a:p>
            </c:txPr>
          </c:dispUnitsLbl>
        </c:dispUnits>
      </c:valAx>
      <c:catAx>
        <c:axId val="823207103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794467567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E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Sales &amp; Profit (A)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E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'S04 Product Life Cyle'!$A$6</c:f>
              <c:strCache>
                <c:ptCount val="1"/>
                <c:pt idx="0">
                  <c:v>Sales (A) 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'S04 Product Life Cyle'!$B$1:$CH$1</c:f>
              <c:strCache>
                <c:ptCount val="85"/>
                <c:pt idx="0">
                  <c:v>Initial</c:v>
                </c:pt>
                <c:pt idx="1">
                  <c:v>Jan 14</c:v>
                </c:pt>
                <c:pt idx="2">
                  <c:v>Feb 14</c:v>
                </c:pt>
                <c:pt idx="3">
                  <c:v>Mar 14</c:v>
                </c:pt>
                <c:pt idx="4">
                  <c:v>Apr 14</c:v>
                </c:pt>
                <c:pt idx="5">
                  <c:v>May 14</c:v>
                </c:pt>
                <c:pt idx="6">
                  <c:v>Jun 14</c:v>
                </c:pt>
                <c:pt idx="7">
                  <c:v>Jul 14</c:v>
                </c:pt>
                <c:pt idx="8">
                  <c:v>Aug 14</c:v>
                </c:pt>
                <c:pt idx="9">
                  <c:v>Sep 14</c:v>
                </c:pt>
                <c:pt idx="10">
                  <c:v>Oct 14</c:v>
                </c:pt>
                <c:pt idx="11">
                  <c:v>Nov 14</c:v>
                </c:pt>
                <c:pt idx="12">
                  <c:v>Dec 14</c:v>
                </c:pt>
                <c:pt idx="13">
                  <c:v>Jan 15</c:v>
                </c:pt>
                <c:pt idx="14">
                  <c:v>Feb 15</c:v>
                </c:pt>
                <c:pt idx="15">
                  <c:v>Mar 15</c:v>
                </c:pt>
                <c:pt idx="16">
                  <c:v>Apr 15</c:v>
                </c:pt>
                <c:pt idx="17">
                  <c:v>May 15</c:v>
                </c:pt>
                <c:pt idx="18">
                  <c:v>Jun 15</c:v>
                </c:pt>
                <c:pt idx="19">
                  <c:v>Jul 15</c:v>
                </c:pt>
                <c:pt idx="20">
                  <c:v>Aug 15</c:v>
                </c:pt>
                <c:pt idx="21">
                  <c:v>Sep 15</c:v>
                </c:pt>
                <c:pt idx="22">
                  <c:v>Oct 15</c:v>
                </c:pt>
                <c:pt idx="23">
                  <c:v>Nov 15</c:v>
                </c:pt>
                <c:pt idx="24">
                  <c:v>Dec 15</c:v>
                </c:pt>
                <c:pt idx="25">
                  <c:v>Jan 16</c:v>
                </c:pt>
                <c:pt idx="26">
                  <c:v>Feb 16</c:v>
                </c:pt>
                <c:pt idx="27">
                  <c:v>Mar 16</c:v>
                </c:pt>
                <c:pt idx="28">
                  <c:v>Apr 16</c:v>
                </c:pt>
                <c:pt idx="29">
                  <c:v>May 16</c:v>
                </c:pt>
                <c:pt idx="30">
                  <c:v>Jun 16</c:v>
                </c:pt>
                <c:pt idx="31">
                  <c:v>Jul 16</c:v>
                </c:pt>
                <c:pt idx="32">
                  <c:v>Aug 16</c:v>
                </c:pt>
                <c:pt idx="33">
                  <c:v>Sep 16</c:v>
                </c:pt>
                <c:pt idx="34">
                  <c:v>Oct 16</c:v>
                </c:pt>
                <c:pt idx="35">
                  <c:v>Nov 16</c:v>
                </c:pt>
                <c:pt idx="36">
                  <c:v>Dec 16</c:v>
                </c:pt>
                <c:pt idx="37">
                  <c:v>Jan 17</c:v>
                </c:pt>
                <c:pt idx="38">
                  <c:v>Feb 17</c:v>
                </c:pt>
                <c:pt idx="39">
                  <c:v>Mar 17</c:v>
                </c:pt>
                <c:pt idx="40">
                  <c:v>Apr 17</c:v>
                </c:pt>
                <c:pt idx="41">
                  <c:v>May 17</c:v>
                </c:pt>
                <c:pt idx="42">
                  <c:v>Jun 17</c:v>
                </c:pt>
                <c:pt idx="43">
                  <c:v>Jul 17</c:v>
                </c:pt>
                <c:pt idx="44">
                  <c:v>Aug 17</c:v>
                </c:pt>
                <c:pt idx="45">
                  <c:v>Sep 17</c:v>
                </c:pt>
                <c:pt idx="46">
                  <c:v>Oct 17</c:v>
                </c:pt>
                <c:pt idx="47">
                  <c:v>Nov 17</c:v>
                </c:pt>
                <c:pt idx="48">
                  <c:v>Dec 17</c:v>
                </c:pt>
                <c:pt idx="49">
                  <c:v>Jan 18</c:v>
                </c:pt>
                <c:pt idx="50">
                  <c:v>Feb 18</c:v>
                </c:pt>
                <c:pt idx="51">
                  <c:v>Mar 18</c:v>
                </c:pt>
                <c:pt idx="52">
                  <c:v>Apr 18</c:v>
                </c:pt>
                <c:pt idx="53">
                  <c:v>May 18</c:v>
                </c:pt>
                <c:pt idx="54">
                  <c:v>Jun 18</c:v>
                </c:pt>
                <c:pt idx="55">
                  <c:v>Jul 18</c:v>
                </c:pt>
                <c:pt idx="56">
                  <c:v>Aug 18</c:v>
                </c:pt>
                <c:pt idx="57">
                  <c:v>Sep 18</c:v>
                </c:pt>
                <c:pt idx="58">
                  <c:v>Oct 18</c:v>
                </c:pt>
                <c:pt idx="59">
                  <c:v>Nov 18</c:v>
                </c:pt>
                <c:pt idx="60">
                  <c:v>Dec 18</c:v>
                </c:pt>
                <c:pt idx="61">
                  <c:v>Jan 19</c:v>
                </c:pt>
                <c:pt idx="62">
                  <c:v>Feb 19</c:v>
                </c:pt>
                <c:pt idx="63">
                  <c:v>Mar 19</c:v>
                </c:pt>
                <c:pt idx="64">
                  <c:v>Apr 19</c:v>
                </c:pt>
                <c:pt idx="65">
                  <c:v>May 19</c:v>
                </c:pt>
                <c:pt idx="66">
                  <c:v>Jun 19</c:v>
                </c:pt>
                <c:pt idx="67">
                  <c:v>Jul 19</c:v>
                </c:pt>
                <c:pt idx="68">
                  <c:v>Aug 19</c:v>
                </c:pt>
                <c:pt idx="69">
                  <c:v>Sep 19</c:v>
                </c:pt>
                <c:pt idx="70">
                  <c:v>Oct 19</c:v>
                </c:pt>
                <c:pt idx="71">
                  <c:v>Nov 19</c:v>
                </c:pt>
                <c:pt idx="72">
                  <c:v>Dec 19</c:v>
                </c:pt>
                <c:pt idx="73">
                  <c:v>Jan 20</c:v>
                </c:pt>
                <c:pt idx="74">
                  <c:v>Feb 20</c:v>
                </c:pt>
                <c:pt idx="75">
                  <c:v>Mar 20</c:v>
                </c:pt>
                <c:pt idx="76">
                  <c:v>Apr 20</c:v>
                </c:pt>
                <c:pt idx="77">
                  <c:v>May 20</c:v>
                </c:pt>
                <c:pt idx="78">
                  <c:v>Jun 20</c:v>
                </c:pt>
                <c:pt idx="79">
                  <c:v>Jul 20</c:v>
                </c:pt>
                <c:pt idx="80">
                  <c:v>Aug 20</c:v>
                </c:pt>
                <c:pt idx="81">
                  <c:v>Sep 20</c:v>
                </c:pt>
                <c:pt idx="82">
                  <c:v>Oct 20</c:v>
                </c:pt>
                <c:pt idx="83">
                  <c:v>Nov 20</c:v>
                </c:pt>
                <c:pt idx="84">
                  <c:v>Dec 20</c:v>
                </c:pt>
              </c:strCache>
            </c:strRef>
          </c:cat>
          <c:val>
            <c:numRef>
              <c:f>'S04 Product Life Cyle'!$B$6:$CH$6</c:f>
              <c:numCache>
                <c:formatCode>General</c:formatCode>
                <c:ptCount val="85"/>
                <c:pt idx="0">
                  <c:v>0</c:v>
                </c:pt>
                <c:pt idx="1">
                  <c:v>12</c:v>
                </c:pt>
                <c:pt idx="2">
                  <c:v>20</c:v>
                </c:pt>
                <c:pt idx="3">
                  <c:v>37</c:v>
                </c:pt>
                <c:pt idx="4">
                  <c:v>84</c:v>
                </c:pt>
                <c:pt idx="5">
                  <c:v>178</c:v>
                </c:pt>
                <c:pt idx="6">
                  <c:v>353</c:v>
                </c:pt>
                <c:pt idx="7">
                  <c:v>714</c:v>
                </c:pt>
                <c:pt idx="8">
                  <c:v>1430</c:v>
                </c:pt>
                <c:pt idx="9">
                  <c:v>2858</c:v>
                </c:pt>
                <c:pt idx="10">
                  <c:v>5724</c:v>
                </c:pt>
                <c:pt idx="11">
                  <c:v>11451</c:v>
                </c:pt>
                <c:pt idx="12">
                  <c:v>22903</c:v>
                </c:pt>
                <c:pt idx="13">
                  <c:v>29449</c:v>
                </c:pt>
                <c:pt idx="14">
                  <c:v>36368</c:v>
                </c:pt>
                <c:pt idx="15">
                  <c:v>42833</c:v>
                </c:pt>
                <c:pt idx="16">
                  <c:v>48833</c:v>
                </c:pt>
                <c:pt idx="17">
                  <c:v>51584</c:v>
                </c:pt>
                <c:pt idx="18">
                  <c:v>54451</c:v>
                </c:pt>
                <c:pt idx="19">
                  <c:v>56265</c:v>
                </c:pt>
                <c:pt idx="20">
                  <c:v>58065</c:v>
                </c:pt>
                <c:pt idx="21">
                  <c:v>59523</c:v>
                </c:pt>
                <c:pt idx="22">
                  <c:v>61015</c:v>
                </c:pt>
                <c:pt idx="23">
                  <c:v>62416</c:v>
                </c:pt>
                <c:pt idx="24">
                  <c:v>64277</c:v>
                </c:pt>
                <c:pt idx="25">
                  <c:v>65872</c:v>
                </c:pt>
                <c:pt idx="26">
                  <c:v>67004</c:v>
                </c:pt>
                <c:pt idx="27">
                  <c:v>68779</c:v>
                </c:pt>
                <c:pt idx="28">
                  <c:v>70726</c:v>
                </c:pt>
                <c:pt idx="29">
                  <c:v>72688</c:v>
                </c:pt>
                <c:pt idx="30">
                  <c:v>73738</c:v>
                </c:pt>
                <c:pt idx="31">
                  <c:v>75620</c:v>
                </c:pt>
                <c:pt idx="32">
                  <c:v>76838</c:v>
                </c:pt>
                <c:pt idx="33">
                  <c:v>78648</c:v>
                </c:pt>
                <c:pt idx="34">
                  <c:v>80492</c:v>
                </c:pt>
                <c:pt idx="35">
                  <c:v>82443</c:v>
                </c:pt>
                <c:pt idx="36">
                  <c:v>84196</c:v>
                </c:pt>
                <c:pt idx="37">
                  <c:v>85961</c:v>
                </c:pt>
                <c:pt idx="38">
                  <c:v>87294</c:v>
                </c:pt>
                <c:pt idx="39">
                  <c:v>88357</c:v>
                </c:pt>
                <c:pt idx="40">
                  <c:v>89219</c:v>
                </c:pt>
                <c:pt idx="41">
                  <c:v>89963</c:v>
                </c:pt>
                <c:pt idx="42">
                  <c:v>89886</c:v>
                </c:pt>
                <c:pt idx="43">
                  <c:v>89820</c:v>
                </c:pt>
                <c:pt idx="44">
                  <c:v>89837</c:v>
                </c:pt>
                <c:pt idx="45">
                  <c:v>89845</c:v>
                </c:pt>
                <c:pt idx="46">
                  <c:v>89819</c:v>
                </c:pt>
                <c:pt idx="47">
                  <c:v>89815</c:v>
                </c:pt>
                <c:pt idx="48">
                  <c:v>89819</c:v>
                </c:pt>
                <c:pt idx="49">
                  <c:v>89827</c:v>
                </c:pt>
                <c:pt idx="50">
                  <c:v>89821</c:v>
                </c:pt>
                <c:pt idx="51">
                  <c:v>89805</c:v>
                </c:pt>
                <c:pt idx="52">
                  <c:v>89779</c:v>
                </c:pt>
                <c:pt idx="53">
                  <c:v>89765</c:v>
                </c:pt>
                <c:pt idx="54">
                  <c:v>89752</c:v>
                </c:pt>
                <c:pt idx="55">
                  <c:v>89748</c:v>
                </c:pt>
                <c:pt idx="56">
                  <c:v>89732</c:v>
                </c:pt>
                <c:pt idx="57">
                  <c:v>89724</c:v>
                </c:pt>
                <c:pt idx="58">
                  <c:v>89696</c:v>
                </c:pt>
                <c:pt idx="59">
                  <c:v>89697</c:v>
                </c:pt>
                <c:pt idx="60">
                  <c:v>89706</c:v>
                </c:pt>
                <c:pt idx="61">
                  <c:v>89707</c:v>
                </c:pt>
                <c:pt idx="62">
                  <c:v>89682</c:v>
                </c:pt>
                <c:pt idx="63">
                  <c:v>89668</c:v>
                </c:pt>
                <c:pt idx="64">
                  <c:v>89675</c:v>
                </c:pt>
                <c:pt idx="65">
                  <c:v>89654</c:v>
                </c:pt>
                <c:pt idx="66">
                  <c:v>89661</c:v>
                </c:pt>
                <c:pt idx="67">
                  <c:v>89659</c:v>
                </c:pt>
                <c:pt idx="68">
                  <c:v>89494</c:v>
                </c:pt>
                <c:pt idx="69">
                  <c:v>89209</c:v>
                </c:pt>
                <c:pt idx="70">
                  <c:v>88872</c:v>
                </c:pt>
                <c:pt idx="71">
                  <c:v>88399</c:v>
                </c:pt>
                <c:pt idx="72">
                  <c:v>88255</c:v>
                </c:pt>
                <c:pt idx="73">
                  <c:v>87754</c:v>
                </c:pt>
                <c:pt idx="74">
                  <c:v>87151</c:v>
                </c:pt>
                <c:pt idx="75">
                  <c:v>85730</c:v>
                </c:pt>
                <c:pt idx="76">
                  <c:v>83311</c:v>
                </c:pt>
                <c:pt idx="77">
                  <c:v>80271</c:v>
                </c:pt>
                <c:pt idx="78">
                  <c:v>75028</c:v>
                </c:pt>
                <c:pt idx="79">
                  <c:v>65642</c:v>
                </c:pt>
                <c:pt idx="80">
                  <c:v>55659</c:v>
                </c:pt>
                <c:pt idx="81">
                  <c:v>43770</c:v>
                </c:pt>
                <c:pt idx="82">
                  <c:v>26776</c:v>
                </c:pt>
                <c:pt idx="83">
                  <c:v>11639</c:v>
                </c:pt>
                <c:pt idx="84">
                  <c:v>10239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761-AF41-A180-91740EA752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50344047"/>
        <c:axId val="750658591"/>
      </c:barChart>
      <c:lineChart>
        <c:grouping val="standard"/>
        <c:varyColors val="0"/>
        <c:ser>
          <c:idx val="1"/>
          <c:order val="1"/>
          <c:tx>
            <c:strRef>
              <c:f>'S04 Product Life Cyle'!$A$10</c:f>
              <c:strCache>
                <c:ptCount val="1"/>
                <c:pt idx="0">
                  <c:v>Profit (A)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'S04 Product Life Cyle'!$B$1:$CH$1</c:f>
              <c:strCache>
                <c:ptCount val="85"/>
                <c:pt idx="0">
                  <c:v>Initial</c:v>
                </c:pt>
                <c:pt idx="1">
                  <c:v>Jan 14</c:v>
                </c:pt>
                <c:pt idx="2">
                  <c:v>Feb 14</c:v>
                </c:pt>
                <c:pt idx="3">
                  <c:v>Mar 14</c:v>
                </c:pt>
                <c:pt idx="4">
                  <c:v>Apr 14</c:v>
                </c:pt>
                <c:pt idx="5">
                  <c:v>May 14</c:v>
                </c:pt>
                <c:pt idx="6">
                  <c:v>Jun 14</c:v>
                </c:pt>
                <c:pt idx="7">
                  <c:v>Jul 14</c:v>
                </c:pt>
                <c:pt idx="8">
                  <c:v>Aug 14</c:v>
                </c:pt>
                <c:pt idx="9">
                  <c:v>Sep 14</c:v>
                </c:pt>
                <c:pt idx="10">
                  <c:v>Oct 14</c:v>
                </c:pt>
                <c:pt idx="11">
                  <c:v>Nov 14</c:v>
                </c:pt>
                <c:pt idx="12">
                  <c:v>Dec 14</c:v>
                </c:pt>
                <c:pt idx="13">
                  <c:v>Jan 15</c:v>
                </c:pt>
                <c:pt idx="14">
                  <c:v>Feb 15</c:v>
                </c:pt>
                <c:pt idx="15">
                  <c:v>Mar 15</c:v>
                </c:pt>
                <c:pt idx="16">
                  <c:v>Apr 15</c:v>
                </c:pt>
                <c:pt idx="17">
                  <c:v>May 15</c:v>
                </c:pt>
                <c:pt idx="18">
                  <c:v>Jun 15</c:v>
                </c:pt>
                <c:pt idx="19">
                  <c:v>Jul 15</c:v>
                </c:pt>
                <c:pt idx="20">
                  <c:v>Aug 15</c:v>
                </c:pt>
                <c:pt idx="21">
                  <c:v>Sep 15</c:v>
                </c:pt>
                <c:pt idx="22">
                  <c:v>Oct 15</c:v>
                </c:pt>
                <c:pt idx="23">
                  <c:v>Nov 15</c:v>
                </c:pt>
                <c:pt idx="24">
                  <c:v>Dec 15</c:v>
                </c:pt>
                <c:pt idx="25">
                  <c:v>Jan 16</c:v>
                </c:pt>
                <c:pt idx="26">
                  <c:v>Feb 16</c:v>
                </c:pt>
                <c:pt idx="27">
                  <c:v>Mar 16</c:v>
                </c:pt>
                <c:pt idx="28">
                  <c:v>Apr 16</c:v>
                </c:pt>
                <c:pt idx="29">
                  <c:v>May 16</c:v>
                </c:pt>
                <c:pt idx="30">
                  <c:v>Jun 16</c:v>
                </c:pt>
                <c:pt idx="31">
                  <c:v>Jul 16</c:v>
                </c:pt>
                <c:pt idx="32">
                  <c:v>Aug 16</c:v>
                </c:pt>
                <c:pt idx="33">
                  <c:v>Sep 16</c:v>
                </c:pt>
                <c:pt idx="34">
                  <c:v>Oct 16</c:v>
                </c:pt>
                <c:pt idx="35">
                  <c:v>Nov 16</c:v>
                </c:pt>
                <c:pt idx="36">
                  <c:v>Dec 16</c:v>
                </c:pt>
                <c:pt idx="37">
                  <c:v>Jan 17</c:v>
                </c:pt>
                <c:pt idx="38">
                  <c:v>Feb 17</c:v>
                </c:pt>
                <c:pt idx="39">
                  <c:v>Mar 17</c:v>
                </c:pt>
                <c:pt idx="40">
                  <c:v>Apr 17</c:v>
                </c:pt>
                <c:pt idx="41">
                  <c:v>May 17</c:v>
                </c:pt>
                <c:pt idx="42">
                  <c:v>Jun 17</c:v>
                </c:pt>
                <c:pt idx="43">
                  <c:v>Jul 17</c:v>
                </c:pt>
                <c:pt idx="44">
                  <c:v>Aug 17</c:v>
                </c:pt>
                <c:pt idx="45">
                  <c:v>Sep 17</c:v>
                </c:pt>
                <c:pt idx="46">
                  <c:v>Oct 17</c:v>
                </c:pt>
                <c:pt idx="47">
                  <c:v>Nov 17</c:v>
                </c:pt>
                <c:pt idx="48">
                  <c:v>Dec 17</c:v>
                </c:pt>
                <c:pt idx="49">
                  <c:v>Jan 18</c:v>
                </c:pt>
                <c:pt idx="50">
                  <c:v>Feb 18</c:v>
                </c:pt>
                <c:pt idx="51">
                  <c:v>Mar 18</c:v>
                </c:pt>
                <c:pt idx="52">
                  <c:v>Apr 18</c:v>
                </c:pt>
                <c:pt idx="53">
                  <c:v>May 18</c:v>
                </c:pt>
                <c:pt idx="54">
                  <c:v>Jun 18</c:v>
                </c:pt>
                <c:pt idx="55">
                  <c:v>Jul 18</c:v>
                </c:pt>
                <c:pt idx="56">
                  <c:v>Aug 18</c:v>
                </c:pt>
                <c:pt idx="57">
                  <c:v>Sep 18</c:v>
                </c:pt>
                <c:pt idx="58">
                  <c:v>Oct 18</c:v>
                </c:pt>
                <c:pt idx="59">
                  <c:v>Nov 18</c:v>
                </c:pt>
                <c:pt idx="60">
                  <c:v>Dec 18</c:v>
                </c:pt>
                <c:pt idx="61">
                  <c:v>Jan 19</c:v>
                </c:pt>
                <c:pt idx="62">
                  <c:v>Feb 19</c:v>
                </c:pt>
                <c:pt idx="63">
                  <c:v>Mar 19</c:v>
                </c:pt>
                <c:pt idx="64">
                  <c:v>Apr 19</c:v>
                </c:pt>
                <c:pt idx="65">
                  <c:v>May 19</c:v>
                </c:pt>
                <c:pt idx="66">
                  <c:v>Jun 19</c:v>
                </c:pt>
                <c:pt idx="67">
                  <c:v>Jul 19</c:v>
                </c:pt>
                <c:pt idx="68">
                  <c:v>Aug 19</c:v>
                </c:pt>
                <c:pt idx="69">
                  <c:v>Sep 19</c:v>
                </c:pt>
                <c:pt idx="70">
                  <c:v>Oct 19</c:v>
                </c:pt>
                <c:pt idx="71">
                  <c:v>Nov 19</c:v>
                </c:pt>
                <c:pt idx="72">
                  <c:v>Dec 19</c:v>
                </c:pt>
                <c:pt idx="73">
                  <c:v>Jan 20</c:v>
                </c:pt>
                <c:pt idx="74">
                  <c:v>Feb 20</c:v>
                </c:pt>
                <c:pt idx="75">
                  <c:v>Mar 20</c:v>
                </c:pt>
                <c:pt idx="76">
                  <c:v>Apr 20</c:v>
                </c:pt>
                <c:pt idx="77">
                  <c:v>May 20</c:v>
                </c:pt>
                <c:pt idx="78">
                  <c:v>Jun 20</c:v>
                </c:pt>
                <c:pt idx="79">
                  <c:v>Jul 20</c:v>
                </c:pt>
                <c:pt idx="80">
                  <c:v>Aug 20</c:v>
                </c:pt>
                <c:pt idx="81">
                  <c:v>Sep 20</c:v>
                </c:pt>
                <c:pt idx="82">
                  <c:v>Oct 20</c:v>
                </c:pt>
                <c:pt idx="83">
                  <c:v>Nov 20</c:v>
                </c:pt>
                <c:pt idx="84">
                  <c:v>Dec 20</c:v>
                </c:pt>
              </c:strCache>
            </c:strRef>
          </c:cat>
          <c:val>
            <c:numRef>
              <c:f>'S04 Product Life Cyle'!$B$10:$CH$10</c:f>
              <c:numCache>
                <c:formatCode>General</c:formatCode>
                <c:ptCount val="85"/>
                <c:pt idx="0">
                  <c:v>-4556598</c:v>
                </c:pt>
                <c:pt idx="1">
                  <c:v>-199310.36</c:v>
                </c:pt>
                <c:pt idx="2">
                  <c:v>-202850.6</c:v>
                </c:pt>
                <c:pt idx="3">
                  <c:v>-205953.61</c:v>
                </c:pt>
                <c:pt idx="4">
                  <c:v>-207414.12</c:v>
                </c:pt>
                <c:pt idx="5">
                  <c:v>-206256.772</c:v>
                </c:pt>
                <c:pt idx="6">
                  <c:v>-200529.25064000001</c:v>
                </c:pt>
                <c:pt idx="7">
                  <c:v>-184198.90385280002</c:v>
                </c:pt>
                <c:pt idx="8">
                  <c:v>-147555.03352985601</c:v>
                </c:pt>
                <c:pt idx="9">
                  <c:v>-70082.616200453136</c:v>
                </c:pt>
                <c:pt idx="10">
                  <c:v>89939.766275537811</c:v>
                </c:pt>
                <c:pt idx="11">
                  <c:v>414290.0860010485</c:v>
                </c:pt>
                <c:pt idx="12">
                  <c:v>1067560.5483210695</c:v>
                </c:pt>
                <c:pt idx="13">
                  <c:v>1438785.6710874906</c:v>
                </c:pt>
                <c:pt idx="14">
                  <c:v>1831347.6339092406</c:v>
                </c:pt>
                <c:pt idx="15">
                  <c:v>2197716.7573874253</c:v>
                </c:pt>
                <c:pt idx="16">
                  <c:v>2537258.8423351739</c:v>
                </c:pt>
                <c:pt idx="17">
                  <c:v>2689975.3389818775</c:v>
                </c:pt>
                <c:pt idx="18">
                  <c:v>2849250.6861615148</c:v>
                </c:pt>
                <c:pt idx="19">
                  <c:v>2947900.3004847453</c:v>
                </c:pt>
                <c:pt idx="20">
                  <c:v>3045633.31549444</c:v>
                </c:pt>
                <c:pt idx="21">
                  <c:v>3123597.3308043284</c:v>
                </c:pt>
                <c:pt idx="22">
                  <c:v>3203398.7812204156</c:v>
                </c:pt>
                <c:pt idx="23">
                  <c:v>3277851.5858448241</c:v>
                </c:pt>
                <c:pt idx="24">
                  <c:v>3378619.3371617203</c:v>
                </c:pt>
                <c:pt idx="25">
                  <c:v>3463976.3901049546</c:v>
                </c:pt>
                <c:pt idx="26">
                  <c:v>3522598.6811070535</c:v>
                </c:pt>
                <c:pt idx="27">
                  <c:v>3618045.5071291947</c:v>
                </c:pt>
                <c:pt idx="28">
                  <c:v>3723245.9246717785</c:v>
                </c:pt>
                <c:pt idx="29">
                  <c:v>3829174.5187652144</c:v>
                </c:pt>
                <c:pt idx="30">
                  <c:v>3882553.9219405181</c:v>
                </c:pt>
                <c:pt idx="31">
                  <c:v>3983609.0831793295</c:v>
                </c:pt>
                <c:pt idx="32">
                  <c:v>4046362.0968429148</c:v>
                </c:pt>
                <c:pt idx="33">
                  <c:v>4142992.4415797736</c:v>
                </c:pt>
                <c:pt idx="34">
                  <c:v>4241428.95921137</c:v>
                </c:pt>
                <c:pt idx="35">
                  <c:v>4345864.0035955971</c:v>
                </c:pt>
                <c:pt idx="36">
                  <c:v>4438766.2094675088</c:v>
                </c:pt>
                <c:pt idx="37">
                  <c:v>4532201.2012568591</c:v>
                </c:pt>
                <c:pt idx="38">
                  <c:v>4600649.1618819954</c:v>
                </c:pt>
                <c:pt idx="39">
                  <c:v>4653417.0315196365</c:v>
                </c:pt>
                <c:pt idx="40">
                  <c:v>4694466.9763500281</c:v>
                </c:pt>
                <c:pt idx="41">
                  <c:v>4728565.6772770286</c:v>
                </c:pt>
                <c:pt idx="42">
                  <c:v>4715308.3286225703</c:v>
                </c:pt>
                <c:pt idx="43">
                  <c:v>4702506.5067950217</c:v>
                </c:pt>
                <c:pt idx="44">
                  <c:v>4694294.5189309213</c:v>
                </c:pt>
                <c:pt idx="45">
                  <c:v>4685381.5215095403</c:v>
                </c:pt>
                <c:pt idx="46">
                  <c:v>4674327.0889397301</c:v>
                </c:pt>
                <c:pt idx="47">
                  <c:v>4664345.7921185251</c:v>
                </c:pt>
                <c:pt idx="48">
                  <c:v>4654629.2269608956</c:v>
                </c:pt>
                <c:pt idx="49">
                  <c:v>4644943.6129001137</c:v>
                </c:pt>
                <c:pt idx="50">
                  <c:v>4634250.5113581158</c:v>
                </c:pt>
                <c:pt idx="51">
                  <c:v>4622775.7441852782</c:v>
                </c:pt>
                <c:pt idx="52">
                  <c:v>4610515.1720689842</c:v>
                </c:pt>
                <c:pt idx="53">
                  <c:v>4598728.9129103636</c:v>
                </c:pt>
                <c:pt idx="54">
                  <c:v>4586780.4901685705</c:v>
                </c:pt>
                <c:pt idx="55">
                  <c:v>4575125.2711719424</c:v>
                </c:pt>
                <c:pt idx="56">
                  <c:v>4562551.9053953812</c:v>
                </c:pt>
                <c:pt idx="57">
                  <c:v>4550205.2227032883</c:v>
                </c:pt>
                <c:pt idx="58">
                  <c:v>4536471.4015573543</c:v>
                </c:pt>
                <c:pt idx="59">
                  <c:v>4524161.7171885017</c:v>
                </c:pt>
                <c:pt idx="60">
                  <c:v>4512064.449732272</c:v>
                </c:pt>
                <c:pt idx="61">
                  <c:v>4499255.1323269168</c:v>
                </c:pt>
                <c:pt idx="62">
                  <c:v>4484694.2591734556</c:v>
                </c:pt>
                <c:pt idx="63">
                  <c:v>4470503.0735569242</c:v>
                </c:pt>
                <c:pt idx="64">
                  <c:v>4457251.0258280626</c:v>
                </c:pt>
                <c:pt idx="65">
                  <c:v>4442116.7313446244</c:v>
                </c:pt>
                <c:pt idx="66">
                  <c:v>4428313.0483715162</c:v>
                </c:pt>
                <c:pt idx="67">
                  <c:v>4413708.015938947</c:v>
                </c:pt>
                <c:pt idx="68">
                  <c:v>4389445.5716577256</c:v>
                </c:pt>
                <c:pt idx="69">
                  <c:v>4357991.1294908812</c:v>
                </c:pt>
                <c:pt idx="70">
                  <c:v>4323246.7374806982</c:v>
                </c:pt>
                <c:pt idx="71">
                  <c:v>4280378.8854303118</c:v>
                </c:pt>
                <c:pt idx="72">
                  <c:v>4256104.9725389183</c:v>
                </c:pt>
                <c:pt idx="73">
                  <c:v>4210994.3049896965</c:v>
                </c:pt>
                <c:pt idx="74">
                  <c:v>4159695.3334894902</c:v>
                </c:pt>
                <c:pt idx="75">
                  <c:v>4061053.0107592796</c:v>
                </c:pt>
                <c:pt idx="76">
                  <c:v>3904716.0789744658</c:v>
                </c:pt>
                <c:pt idx="77">
                  <c:v>3712343.937153955</c:v>
                </c:pt>
                <c:pt idx="78">
                  <c:v>3393012.1184970341</c:v>
                </c:pt>
                <c:pt idx="79">
                  <c:v>2835221.7576669748</c:v>
                </c:pt>
                <c:pt idx="80">
                  <c:v>2242754.2680203142</c:v>
                </c:pt>
                <c:pt idx="81">
                  <c:v>1540374.0687807202</c:v>
                </c:pt>
                <c:pt idx="82">
                  <c:v>544227.13215633482</c:v>
                </c:pt>
                <c:pt idx="83">
                  <c:v>-345588.04960053856</c:v>
                </c:pt>
                <c:pt idx="84">
                  <c:v>-446335.67719254934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761-AF41-A180-91740EA752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0106207"/>
        <c:axId val="878544623"/>
      </c:lineChart>
      <c:catAx>
        <c:axId val="75034404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750658591"/>
        <c:crosses val="autoZero"/>
        <c:auto val="1"/>
        <c:lblAlgn val="ctr"/>
        <c:lblOffset val="100"/>
        <c:noMultiLvlLbl val="0"/>
      </c:catAx>
      <c:valAx>
        <c:axId val="7506585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accent1"/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750344047"/>
        <c:crosses val="autoZero"/>
        <c:crossBetween val="between"/>
        <c:dispUnits>
          <c:builtInUnit val="thousand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endParaRPr lang="en-DE"/>
              </a:p>
            </c:txPr>
          </c:dispUnitsLbl>
        </c:dispUnits>
      </c:valAx>
      <c:valAx>
        <c:axId val="878544623"/>
        <c:scaling>
          <c:orientation val="minMax"/>
        </c:scaling>
        <c:delete val="0"/>
        <c:axPos val="r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accent2"/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370106207"/>
        <c:crosses val="max"/>
        <c:crossBetween val="between"/>
        <c:dispUnits>
          <c:builtInUnit val="m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accent2"/>
                    </a:solidFill>
                    <a:latin typeface="+mn-lt"/>
                    <a:ea typeface="+mn-ea"/>
                    <a:cs typeface="+mn-cs"/>
                  </a:defRPr>
                </a:pPr>
                <a:endParaRPr lang="en-DE"/>
              </a:p>
            </c:txPr>
          </c:dispUnitsLbl>
        </c:dispUnits>
      </c:valAx>
      <c:catAx>
        <c:axId val="370106207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878544623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E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2102919699362393E-2"/>
          <c:y val="2.3060796645702299E-2"/>
          <c:w val="0.83109788220090153"/>
          <c:h val="0.95387840670859592"/>
        </c:manualLayout>
      </c:layout>
      <c:scatterChart>
        <c:scatterStyle val="lineMarker"/>
        <c:varyColors val="0"/>
        <c:ser>
          <c:idx val="1"/>
          <c:order val="0"/>
          <c:tx>
            <c:v>Our Product</c:v>
          </c:tx>
          <c:spPr>
            <a:ln w="12700">
              <a:solidFill>
                <a:srgbClr val="FF0000"/>
              </a:solidFill>
            </a:ln>
          </c:spPr>
          <c:marker>
            <c:symbol val="plus"/>
            <c:size val="12"/>
            <c:spPr>
              <a:ln w="12700">
                <a:solidFill>
                  <a:srgbClr val="FF0000"/>
                </a:solidFill>
              </a:ln>
            </c:spPr>
          </c:marker>
          <c:xVal>
            <c:numRef>
              <c:f>'S06 Requirements HoQ'!$BT$37:$BT$52</c:f>
              <c:numCache>
                <c:formatCode>General</c:formatCode>
                <c:ptCount val="16"/>
                <c:pt idx="0">
                  <c:v>5</c:v>
                </c:pt>
                <c:pt idx="1">
                  <c:v>5</c:v>
                </c:pt>
                <c:pt idx="2">
                  <c:v>4</c:v>
                </c:pt>
                <c:pt idx="3">
                  <c:v>5</c:v>
                </c:pt>
                <c:pt idx="4">
                  <c:v>5</c:v>
                </c:pt>
                <c:pt idx="5">
                  <c:v>2</c:v>
                </c:pt>
                <c:pt idx="6">
                  <c:v>2</c:v>
                </c:pt>
                <c:pt idx="7">
                  <c:v>4</c:v>
                </c:pt>
                <c:pt idx="8">
                  <c:v>3</c:v>
                </c:pt>
                <c:pt idx="9">
                  <c:v>2</c:v>
                </c:pt>
                <c:pt idx="10">
                  <c:v>4</c:v>
                </c:pt>
                <c:pt idx="11">
                  <c:v>5</c:v>
                </c:pt>
                <c:pt idx="12">
                  <c:v>3</c:v>
                </c:pt>
                <c:pt idx="13">
                  <c:v>5</c:v>
                </c:pt>
                <c:pt idx="14">
                  <c:v>3</c:v>
                </c:pt>
                <c:pt idx="15">
                  <c:v>3</c:v>
                </c:pt>
              </c:numCache>
            </c:numRef>
          </c:xVal>
          <c:yVal>
            <c:numRef>
              <c:f>'S06 Requirements HoQ'!$B$37:$B$52</c:f>
              <c:numCache>
                <c:formatCode>General</c:formatCode>
                <c:ptCount val="1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062-0F48-B5FA-4A55386F6001}"/>
            </c:ext>
          </c:extLst>
        </c:ser>
        <c:ser>
          <c:idx val="0"/>
          <c:order val="1"/>
          <c:tx>
            <c:v>Competitor #1</c:v>
          </c:tx>
          <c:spPr>
            <a:ln w="12700">
              <a:solidFill>
                <a:srgbClr val="002060"/>
              </a:solidFill>
            </a:ln>
          </c:spPr>
          <c:marker>
            <c:symbol val="star"/>
            <c:size val="10"/>
            <c:spPr>
              <a:ln w="12700">
                <a:solidFill>
                  <a:srgbClr val="002060"/>
                </a:solidFill>
              </a:ln>
            </c:spPr>
          </c:marker>
          <c:xVal>
            <c:numRef>
              <c:f>'S06 Requirements HoQ'!$BU$37:$BU$52</c:f>
              <c:numCache>
                <c:formatCode>General</c:formatCode>
                <c:ptCount val="16"/>
                <c:pt idx="0">
                  <c:v>4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3</c:v>
                </c:pt>
                <c:pt idx="5">
                  <c:v>4</c:v>
                </c:pt>
                <c:pt idx="6">
                  <c:v>5</c:v>
                </c:pt>
                <c:pt idx="7">
                  <c:v>3</c:v>
                </c:pt>
                <c:pt idx="8">
                  <c:v>4</c:v>
                </c:pt>
                <c:pt idx="9">
                  <c:v>4</c:v>
                </c:pt>
                <c:pt idx="10">
                  <c:v>2</c:v>
                </c:pt>
                <c:pt idx="11">
                  <c:v>1</c:v>
                </c:pt>
                <c:pt idx="12">
                  <c:v>2</c:v>
                </c:pt>
                <c:pt idx="13">
                  <c:v>2</c:v>
                </c:pt>
                <c:pt idx="14">
                  <c:v>3</c:v>
                </c:pt>
                <c:pt idx="15">
                  <c:v>4</c:v>
                </c:pt>
              </c:numCache>
            </c:numRef>
          </c:xVal>
          <c:yVal>
            <c:numRef>
              <c:f>'S06 Requirements HoQ'!$B$37:$B$52</c:f>
              <c:numCache>
                <c:formatCode>General</c:formatCode>
                <c:ptCount val="1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062-0F48-B5FA-4A55386F6001}"/>
            </c:ext>
          </c:extLst>
        </c:ser>
        <c:ser>
          <c:idx val="2"/>
          <c:order val="2"/>
          <c:tx>
            <c:v>Competitor #2</c:v>
          </c:tx>
          <c:spPr>
            <a:ln w="12700">
              <a:solidFill>
                <a:srgbClr val="00CC00"/>
              </a:solidFill>
            </a:ln>
          </c:spPr>
          <c:marker>
            <c:symbol val="circle"/>
            <c:size val="8"/>
            <c:spPr>
              <a:noFill/>
              <a:ln w="12700">
                <a:solidFill>
                  <a:srgbClr val="00CC00"/>
                </a:solidFill>
              </a:ln>
            </c:spPr>
          </c:marker>
          <c:xVal>
            <c:numRef>
              <c:f>'S06 Requirements HoQ'!$BV$37:$BV$52</c:f>
              <c:numCache>
                <c:formatCode>General</c:formatCode>
                <c:ptCount val="16"/>
                <c:pt idx="0">
                  <c:v>3</c:v>
                </c:pt>
                <c:pt idx="1">
                  <c:v>3</c:v>
                </c:pt>
                <c:pt idx="2">
                  <c:v>2</c:v>
                </c:pt>
                <c:pt idx="3">
                  <c:v>2</c:v>
                </c:pt>
                <c:pt idx="4">
                  <c:v>3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1</c:v>
                </c:pt>
                <c:pt idx="9">
                  <c:v>3</c:v>
                </c:pt>
                <c:pt idx="10">
                  <c:v>4</c:v>
                </c:pt>
                <c:pt idx="11">
                  <c:v>5</c:v>
                </c:pt>
                <c:pt idx="12">
                  <c:v>5</c:v>
                </c:pt>
                <c:pt idx="13">
                  <c:v>4</c:v>
                </c:pt>
                <c:pt idx="14">
                  <c:v>2</c:v>
                </c:pt>
                <c:pt idx="15">
                  <c:v>1</c:v>
                </c:pt>
              </c:numCache>
            </c:numRef>
          </c:xVal>
          <c:yVal>
            <c:numRef>
              <c:f>'S06 Requirements HoQ'!$B$37:$B$52</c:f>
              <c:numCache>
                <c:formatCode>General</c:formatCode>
                <c:ptCount val="1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062-0F48-B5FA-4A55386F6001}"/>
            </c:ext>
          </c:extLst>
        </c:ser>
        <c:ser>
          <c:idx val="3"/>
          <c:order val="3"/>
          <c:tx>
            <c:v>Competitor #3</c:v>
          </c:tx>
          <c:spPr>
            <a:ln w="12700">
              <a:solidFill>
                <a:srgbClr val="FF9900"/>
              </a:solidFill>
            </a:ln>
          </c:spPr>
          <c:marker>
            <c:symbol val="x"/>
            <c:size val="8"/>
            <c:spPr>
              <a:ln>
                <a:solidFill>
                  <a:srgbClr val="FF9900"/>
                </a:solidFill>
              </a:ln>
            </c:spPr>
          </c:marker>
          <c:xVal>
            <c:numRef>
              <c:f>'S06 Requirements HoQ'!$BW$37:$BW$52</c:f>
              <c:numCache>
                <c:formatCode>General</c:formatCode>
                <c:ptCount val="16"/>
                <c:pt idx="0">
                  <c:v>3</c:v>
                </c:pt>
                <c:pt idx="1">
                  <c:v>3</c:v>
                </c:pt>
                <c:pt idx="2">
                  <c:v>3</c:v>
                </c:pt>
                <c:pt idx="3">
                  <c:v>2</c:v>
                </c:pt>
                <c:pt idx="4">
                  <c:v>3</c:v>
                </c:pt>
                <c:pt idx="5">
                  <c:v>2</c:v>
                </c:pt>
                <c:pt idx="6">
                  <c:v>3</c:v>
                </c:pt>
                <c:pt idx="7">
                  <c:v>2</c:v>
                </c:pt>
                <c:pt idx="8">
                  <c:v>3</c:v>
                </c:pt>
                <c:pt idx="9">
                  <c:v>1</c:v>
                </c:pt>
                <c:pt idx="10">
                  <c:v>4</c:v>
                </c:pt>
                <c:pt idx="11">
                  <c:v>2</c:v>
                </c:pt>
                <c:pt idx="12">
                  <c:v>1</c:v>
                </c:pt>
                <c:pt idx="13">
                  <c:v>2</c:v>
                </c:pt>
                <c:pt idx="14">
                  <c:v>3</c:v>
                </c:pt>
                <c:pt idx="15">
                  <c:v>4</c:v>
                </c:pt>
              </c:numCache>
            </c:numRef>
          </c:xVal>
          <c:yVal>
            <c:numRef>
              <c:f>'S06 Requirements HoQ'!$B$37:$B$52</c:f>
              <c:numCache>
                <c:formatCode>General</c:formatCode>
                <c:ptCount val="1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062-0F48-B5FA-4A55386F6001}"/>
            </c:ext>
          </c:extLst>
        </c:ser>
        <c:ser>
          <c:idx val="4"/>
          <c:order val="4"/>
          <c:tx>
            <c:v>Competitor #4</c:v>
          </c:tx>
          <c:spPr>
            <a:ln w="12700">
              <a:solidFill>
                <a:srgbClr val="7030A0"/>
              </a:solidFill>
            </a:ln>
          </c:spPr>
          <c:marker>
            <c:symbol val="diamond"/>
            <c:size val="10"/>
            <c:spPr>
              <a:noFill/>
              <a:ln>
                <a:solidFill>
                  <a:srgbClr val="7030A0"/>
                </a:solidFill>
              </a:ln>
            </c:spPr>
          </c:marker>
          <c:xVal>
            <c:numRef>
              <c:f>'S06 Requirements HoQ'!$BX$37:$BX$52</c:f>
              <c:numCache>
                <c:formatCode>General</c:formatCode>
                <c:ptCount val="16"/>
                <c:pt idx="0">
                  <c:v>3</c:v>
                </c:pt>
                <c:pt idx="1">
                  <c:v>3</c:v>
                </c:pt>
                <c:pt idx="2">
                  <c:v>4</c:v>
                </c:pt>
                <c:pt idx="3">
                  <c:v>4</c:v>
                </c:pt>
                <c:pt idx="4">
                  <c:v>3</c:v>
                </c:pt>
                <c:pt idx="5">
                  <c:v>2</c:v>
                </c:pt>
                <c:pt idx="6">
                  <c:v>3</c:v>
                </c:pt>
                <c:pt idx="7">
                  <c:v>4</c:v>
                </c:pt>
                <c:pt idx="8">
                  <c:v>2</c:v>
                </c:pt>
                <c:pt idx="9">
                  <c:v>3</c:v>
                </c:pt>
                <c:pt idx="10">
                  <c:v>1</c:v>
                </c:pt>
                <c:pt idx="11">
                  <c:v>2</c:v>
                </c:pt>
                <c:pt idx="12">
                  <c:v>1</c:v>
                </c:pt>
                <c:pt idx="13">
                  <c:v>2</c:v>
                </c:pt>
                <c:pt idx="14">
                  <c:v>2</c:v>
                </c:pt>
                <c:pt idx="15">
                  <c:v>2</c:v>
                </c:pt>
              </c:numCache>
            </c:numRef>
          </c:xVal>
          <c:yVal>
            <c:numRef>
              <c:f>'S06 Requirements HoQ'!$B$37:$B$52</c:f>
              <c:numCache>
                <c:formatCode>General</c:formatCode>
                <c:ptCount val="1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E062-0F48-B5FA-4A55386F60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1326336"/>
        <c:axId val="167637760"/>
      </c:scatterChart>
      <c:valAx>
        <c:axId val="131326336"/>
        <c:scaling>
          <c:orientation val="minMax"/>
          <c:max val="5"/>
          <c:min val="0"/>
        </c:scaling>
        <c:delete val="1"/>
        <c:axPos val="t"/>
        <c:numFmt formatCode="General" sourceLinked="1"/>
        <c:majorTickMark val="out"/>
        <c:minorTickMark val="none"/>
        <c:tickLblPos val="none"/>
        <c:crossAx val="167637760"/>
        <c:crossesAt val="1"/>
        <c:crossBetween val="midCat"/>
        <c:majorUnit val="1"/>
      </c:valAx>
      <c:valAx>
        <c:axId val="167637760"/>
        <c:scaling>
          <c:orientation val="maxMin"/>
          <c:max val="16"/>
          <c:min val="1"/>
        </c:scaling>
        <c:delete val="1"/>
        <c:axPos val="l"/>
        <c:numFmt formatCode="General" sourceLinked="1"/>
        <c:majorTickMark val="out"/>
        <c:minorTickMark val="none"/>
        <c:tickLblPos val="none"/>
        <c:crossAx val="131326336"/>
        <c:crossesAt val="0"/>
        <c:crossBetween val="midCat"/>
      </c:valAx>
    </c:plotArea>
    <c:legend>
      <c:legendPos val="r"/>
      <c:layout>
        <c:manualLayout>
          <c:xMode val="edge"/>
          <c:yMode val="edge"/>
          <c:x val="0.12608235002830273"/>
          <c:y val="0.8162348779912858"/>
          <c:w val="0.75563976871370864"/>
          <c:h val="0.16422738914491294"/>
        </c:manualLayout>
      </c:layout>
      <c:overlay val="1"/>
    </c:legend>
    <c:plotVisOnly val="1"/>
    <c:dispBlanksAs val="gap"/>
    <c:showDLblsOverMax val="0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7004861050533464E-2"/>
          <c:y val="4.1836823198629594E-2"/>
          <c:w val="0.83109788220090153"/>
          <c:h val="0.95387840670859592"/>
        </c:manualLayout>
      </c:layout>
      <c:scatterChart>
        <c:scatterStyle val="lineMarker"/>
        <c:varyColors val="0"/>
        <c:ser>
          <c:idx val="1"/>
          <c:order val="0"/>
          <c:tx>
            <c:v>Our Product</c:v>
          </c:tx>
          <c:spPr>
            <a:ln w="63500">
              <a:solidFill>
                <a:srgbClr val="FF0000"/>
              </a:solidFill>
            </a:ln>
          </c:spPr>
          <c:marker>
            <c:symbol val="plus"/>
            <c:size val="12"/>
            <c:spPr>
              <a:ln w="12700">
                <a:solidFill>
                  <a:srgbClr val="FF0000"/>
                </a:solidFill>
              </a:ln>
            </c:spPr>
          </c:marker>
          <c:xVal>
            <c:numRef>
              <c:f>'S06 Requirements HoQ'!$BT$37:$BT$52</c:f>
              <c:numCache>
                <c:formatCode>General</c:formatCode>
                <c:ptCount val="16"/>
                <c:pt idx="0">
                  <c:v>5</c:v>
                </c:pt>
                <c:pt idx="1">
                  <c:v>5</c:v>
                </c:pt>
                <c:pt idx="2">
                  <c:v>4</c:v>
                </c:pt>
                <c:pt idx="3">
                  <c:v>5</c:v>
                </c:pt>
                <c:pt idx="4">
                  <c:v>5</c:v>
                </c:pt>
                <c:pt idx="5">
                  <c:v>2</c:v>
                </c:pt>
                <c:pt idx="6">
                  <c:v>2</c:v>
                </c:pt>
                <c:pt idx="7">
                  <c:v>4</c:v>
                </c:pt>
                <c:pt idx="8">
                  <c:v>3</c:v>
                </c:pt>
                <c:pt idx="9">
                  <c:v>2</c:v>
                </c:pt>
                <c:pt idx="10">
                  <c:v>4</c:v>
                </c:pt>
                <c:pt idx="11">
                  <c:v>5</c:v>
                </c:pt>
                <c:pt idx="12">
                  <c:v>3</c:v>
                </c:pt>
                <c:pt idx="13">
                  <c:v>5</c:v>
                </c:pt>
                <c:pt idx="14">
                  <c:v>3</c:v>
                </c:pt>
                <c:pt idx="15">
                  <c:v>3</c:v>
                </c:pt>
              </c:numCache>
            </c:numRef>
          </c:xVal>
          <c:yVal>
            <c:numRef>
              <c:f>'S06 Requirements HoQ'!$B$37:$B$52</c:f>
              <c:numCache>
                <c:formatCode>General</c:formatCode>
                <c:ptCount val="1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5E6-DD4F-BE2D-0D8FDF5FD9AD}"/>
            </c:ext>
          </c:extLst>
        </c:ser>
        <c:ser>
          <c:idx val="0"/>
          <c:order val="1"/>
          <c:tx>
            <c:v>Competitor #1</c:v>
          </c:tx>
          <c:spPr>
            <a:ln w="12700">
              <a:solidFill>
                <a:srgbClr val="002060"/>
              </a:solidFill>
            </a:ln>
          </c:spPr>
          <c:marker>
            <c:symbol val="star"/>
            <c:size val="10"/>
            <c:spPr>
              <a:ln w="12700">
                <a:solidFill>
                  <a:srgbClr val="002060"/>
                </a:solidFill>
              </a:ln>
            </c:spPr>
          </c:marker>
          <c:xVal>
            <c:numRef>
              <c:f>'S06 Requirements HoQ'!$BU$37:$BU$52</c:f>
              <c:numCache>
                <c:formatCode>General</c:formatCode>
                <c:ptCount val="16"/>
                <c:pt idx="0">
                  <c:v>4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3</c:v>
                </c:pt>
                <c:pt idx="5">
                  <c:v>4</c:v>
                </c:pt>
                <c:pt idx="6">
                  <c:v>5</c:v>
                </c:pt>
                <c:pt idx="7">
                  <c:v>3</c:v>
                </c:pt>
                <c:pt idx="8">
                  <c:v>4</c:v>
                </c:pt>
                <c:pt idx="9">
                  <c:v>4</c:v>
                </c:pt>
                <c:pt idx="10">
                  <c:v>2</c:v>
                </c:pt>
                <c:pt idx="11">
                  <c:v>1</c:v>
                </c:pt>
                <c:pt idx="12">
                  <c:v>2</c:v>
                </c:pt>
                <c:pt idx="13">
                  <c:v>2</c:v>
                </c:pt>
                <c:pt idx="14">
                  <c:v>3</c:v>
                </c:pt>
                <c:pt idx="15">
                  <c:v>4</c:v>
                </c:pt>
              </c:numCache>
            </c:numRef>
          </c:xVal>
          <c:yVal>
            <c:numRef>
              <c:f>'S06 Requirements HoQ'!$B$37:$B$52</c:f>
              <c:numCache>
                <c:formatCode>General</c:formatCode>
                <c:ptCount val="1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5E6-DD4F-BE2D-0D8FDF5FD9AD}"/>
            </c:ext>
          </c:extLst>
        </c:ser>
        <c:ser>
          <c:idx val="2"/>
          <c:order val="2"/>
          <c:tx>
            <c:v>Competitor #2</c:v>
          </c:tx>
          <c:spPr>
            <a:ln w="12700">
              <a:solidFill>
                <a:srgbClr val="00CC00"/>
              </a:solidFill>
            </a:ln>
          </c:spPr>
          <c:marker>
            <c:symbol val="circle"/>
            <c:size val="8"/>
            <c:spPr>
              <a:noFill/>
              <a:ln w="12700">
                <a:solidFill>
                  <a:srgbClr val="00CC00"/>
                </a:solidFill>
              </a:ln>
            </c:spPr>
          </c:marker>
          <c:xVal>
            <c:numRef>
              <c:f>'S06 Requirements HoQ'!$BV$37:$BV$52</c:f>
              <c:numCache>
                <c:formatCode>General</c:formatCode>
                <c:ptCount val="16"/>
                <c:pt idx="0">
                  <c:v>3</c:v>
                </c:pt>
                <c:pt idx="1">
                  <c:v>3</c:v>
                </c:pt>
                <c:pt idx="2">
                  <c:v>2</c:v>
                </c:pt>
                <c:pt idx="3">
                  <c:v>2</c:v>
                </c:pt>
                <c:pt idx="4">
                  <c:v>3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1</c:v>
                </c:pt>
                <c:pt idx="9">
                  <c:v>3</c:v>
                </c:pt>
                <c:pt idx="10">
                  <c:v>4</c:v>
                </c:pt>
                <c:pt idx="11">
                  <c:v>5</c:v>
                </c:pt>
                <c:pt idx="12">
                  <c:v>5</c:v>
                </c:pt>
                <c:pt idx="13">
                  <c:v>4</c:v>
                </c:pt>
                <c:pt idx="14">
                  <c:v>2</c:v>
                </c:pt>
                <c:pt idx="15">
                  <c:v>1</c:v>
                </c:pt>
              </c:numCache>
            </c:numRef>
          </c:xVal>
          <c:yVal>
            <c:numRef>
              <c:f>'S06 Requirements HoQ'!$B$37:$B$52</c:f>
              <c:numCache>
                <c:formatCode>General</c:formatCode>
                <c:ptCount val="1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5E6-DD4F-BE2D-0D8FDF5FD9AD}"/>
            </c:ext>
          </c:extLst>
        </c:ser>
        <c:ser>
          <c:idx val="3"/>
          <c:order val="3"/>
          <c:tx>
            <c:v>Competitor #3</c:v>
          </c:tx>
          <c:spPr>
            <a:ln w="12700">
              <a:solidFill>
                <a:srgbClr val="FF9900"/>
              </a:solidFill>
            </a:ln>
          </c:spPr>
          <c:marker>
            <c:symbol val="x"/>
            <c:size val="8"/>
            <c:spPr>
              <a:ln>
                <a:solidFill>
                  <a:srgbClr val="FF9900"/>
                </a:solidFill>
              </a:ln>
            </c:spPr>
          </c:marker>
          <c:xVal>
            <c:numRef>
              <c:f>'S06 Requirements HoQ'!$BW$37:$BW$52</c:f>
              <c:numCache>
                <c:formatCode>General</c:formatCode>
                <c:ptCount val="16"/>
                <c:pt idx="0">
                  <c:v>3</c:v>
                </c:pt>
                <c:pt idx="1">
                  <c:v>3</c:v>
                </c:pt>
                <c:pt idx="2">
                  <c:v>3</c:v>
                </c:pt>
                <c:pt idx="3">
                  <c:v>2</c:v>
                </c:pt>
                <c:pt idx="4">
                  <c:v>3</c:v>
                </c:pt>
                <c:pt idx="5">
                  <c:v>2</c:v>
                </c:pt>
                <c:pt idx="6">
                  <c:v>3</c:v>
                </c:pt>
                <c:pt idx="7">
                  <c:v>2</c:v>
                </c:pt>
                <c:pt idx="8">
                  <c:v>3</c:v>
                </c:pt>
                <c:pt idx="9">
                  <c:v>1</c:v>
                </c:pt>
                <c:pt idx="10">
                  <c:v>4</c:v>
                </c:pt>
                <c:pt idx="11">
                  <c:v>2</c:v>
                </c:pt>
                <c:pt idx="12">
                  <c:v>1</c:v>
                </c:pt>
                <c:pt idx="13">
                  <c:v>2</c:v>
                </c:pt>
                <c:pt idx="14">
                  <c:v>3</c:v>
                </c:pt>
                <c:pt idx="15">
                  <c:v>4</c:v>
                </c:pt>
              </c:numCache>
            </c:numRef>
          </c:xVal>
          <c:yVal>
            <c:numRef>
              <c:f>'S06 Requirements HoQ'!$B$37:$B$52</c:f>
              <c:numCache>
                <c:formatCode>General</c:formatCode>
                <c:ptCount val="1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5E6-DD4F-BE2D-0D8FDF5FD9AD}"/>
            </c:ext>
          </c:extLst>
        </c:ser>
        <c:ser>
          <c:idx val="4"/>
          <c:order val="4"/>
          <c:tx>
            <c:v>Competitor #4</c:v>
          </c:tx>
          <c:spPr>
            <a:ln w="12700">
              <a:solidFill>
                <a:srgbClr val="7030A0"/>
              </a:solidFill>
            </a:ln>
          </c:spPr>
          <c:marker>
            <c:symbol val="diamond"/>
            <c:size val="10"/>
            <c:spPr>
              <a:noFill/>
              <a:ln>
                <a:solidFill>
                  <a:srgbClr val="7030A0"/>
                </a:solidFill>
              </a:ln>
            </c:spPr>
          </c:marker>
          <c:xVal>
            <c:numRef>
              <c:f>'S06 Requirements HoQ'!$BX$37:$BX$52</c:f>
              <c:numCache>
                <c:formatCode>General</c:formatCode>
                <c:ptCount val="16"/>
                <c:pt idx="0">
                  <c:v>3</c:v>
                </c:pt>
                <c:pt idx="1">
                  <c:v>3</c:v>
                </c:pt>
                <c:pt idx="2">
                  <c:v>4</c:v>
                </c:pt>
                <c:pt idx="3">
                  <c:v>4</c:v>
                </c:pt>
                <c:pt idx="4">
                  <c:v>3</c:v>
                </c:pt>
                <c:pt idx="5">
                  <c:v>2</c:v>
                </c:pt>
                <c:pt idx="6">
                  <c:v>3</c:v>
                </c:pt>
                <c:pt idx="7">
                  <c:v>4</c:v>
                </c:pt>
                <c:pt idx="8">
                  <c:v>2</c:v>
                </c:pt>
                <c:pt idx="9">
                  <c:v>3</c:v>
                </c:pt>
                <c:pt idx="10">
                  <c:v>1</c:v>
                </c:pt>
                <c:pt idx="11">
                  <c:v>2</c:v>
                </c:pt>
                <c:pt idx="12">
                  <c:v>1</c:v>
                </c:pt>
                <c:pt idx="13">
                  <c:v>2</c:v>
                </c:pt>
                <c:pt idx="14">
                  <c:v>2</c:v>
                </c:pt>
                <c:pt idx="15">
                  <c:v>2</c:v>
                </c:pt>
              </c:numCache>
            </c:numRef>
          </c:xVal>
          <c:yVal>
            <c:numRef>
              <c:f>'S06 Requirements HoQ'!$B$37:$B$52</c:f>
              <c:numCache>
                <c:formatCode>General</c:formatCode>
                <c:ptCount val="1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5E6-DD4F-BE2D-0D8FDF5FD9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1326336"/>
        <c:axId val="167637760"/>
      </c:scatterChart>
      <c:valAx>
        <c:axId val="131326336"/>
        <c:scaling>
          <c:orientation val="minMax"/>
          <c:max val="5"/>
          <c:min val="0"/>
        </c:scaling>
        <c:delete val="1"/>
        <c:axPos val="t"/>
        <c:numFmt formatCode="General" sourceLinked="1"/>
        <c:majorTickMark val="out"/>
        <c:minorTickMark val="none"/>
        <c:tickLblPos val="none"/>
        <c:crossAx val="167637760"/>
        <c:crossesAt val="1"/>
        <c:crossBetween val="midCat"/>
        <c:majorUnit val="1"/>
      </c:valAx>
      <c:valAx>
        <c:axId val="167637760"/>
        <c:scaling>
          <c:orientation val="maxMin"/>
          <c:max val="16"/>
          <c:min val="1"/>
        </c:scaling>
        <c:delete val="1"/>
        <c:axPos val="l"/>
        <c:numFmt formatCode="General" sourceLinked="1"/>
        <c:majorTickMark val="out"/>
        <c:minorTickMark val="none"/>
        <c:tickLblPos val="none"/>
        <c:crossAx val="131326336"/>
        <c:crossesAt val="0"/>
        <c:crossBetween val="midCat"/>
      </c:valAx>
    </c:plotArea>
    <c:legend>
      <c:legendPos val="r"/>
      <c:layout>
        <c:manualLayout>
          <c:xMode val="edge"/>
          <c:yMode val="edge"/>
          <c:x val="2.0313083217052708E-2"/>
          <c:y val="1.4193960179006931E-2"/>
          <c:w val="0.37723923431881812"/>
          <c:h val="0.16422738914491294"/>
        </c:manualLayout>
      </c:layout>
      <c:overlay val="1"/>
    </c:legend>
    <c:plotVisOnly val="1"/>
    <c:dispBlanksAs val="gap"/>
    <c:showDLblsOverMax val="0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'S08 ABC Output'!$F$1</c:f>
              <c:strCache>
                <c:ptCount val="1"/>
                <c:pt idx="0">
                  <c:v>Cum. Share [%]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'S08 ABC Output'!$A$2:$A$202</c:f>
              <c:strCache>
                <c:ptCount val="201"/>
                <c:pt idx="1">
                  <c:v>I-010</c:v>
                </c:pt>
                <c:pt idx="2">
                  <c:v>I-004</c:v>
                </c:pt>
                <c:pt idx="3">
                  <c:v>I-037</c:v>
                </c:pt>
                <c:pt idx="4">
                  <c:v>I-064</c:v>
                </c:pt>
                <c:pt idx="5">
                  <c:v>I-052</c:v>
                </c:pt>
                <c:pt idx="6">
                  <c:v>I-068</c:v>
                </c:pt>
                <c:pt idx="7">
                  <c:v>I-053</c:v>
                </c:pt>
                <c:pt idx="8">
                  <c:v>I-012</c:v>
                </c:pt>
                <c:pt idx="9">
                  <c:v>I-066</c:v>
                </c:pt>
                <c:pt idx="10">
                  <c:v>I-069</c:v>
                </c:pt>
                <c:pt idx="11">
                  <c:v>I-070</c:v>
                </c:pt>
                <c:pt idx="12">
                  <c:v>I-006</c:v>
                </c:pt>
                <c:pt idx="13">
                  <c:v>I-073</c:v>
                </c:pt>
                <c:pt idx="14">
                  <c:v>I-071</c:v>
                </c:pt>
                <c:pt idx="15">
                  <c:v>I-007</c:v>
                </c:pt>
                <c:pt idx="16">
                  <c:v>I-074</c:v>
                </c:pt>
                <c:pt idx="17">
                  <c:v>I-025</c:v>
                </c:pt>
                <c:pt idx="18">
                  <c:v>I-031</c:v>
                </c:pt>
                <c:pt idx="19">
                  <c:v>I-033</c:v>
                </c:pt>
                <c:pt idx="20">
                  <c:v>I-034</c:v>
                </c:pt>
                <c:pt idx="21">
                  <c:v>I-060</c:v>
                </c:pt>
                <c:pt idx="22">
                  <c:v>I-067</c:v>
                </c:pt>
                <c:pt idx="23">
                  <c:v>I-051</c:v>
                </c:pt>
                <c:pt idx="24">
                  <c:v>I-045</c:v>
                </c:pt>
                <c:pt idx="25">
                  <c:v>I-048</c:v>
                </c:pt>
                <c:pt idx="26">
                  <c:v>I-039</c:v>
                </c:pt>
                <c:pt idx="27">
                  <c:v>I-057</c:v>
                </c:pt>
                <c:pt idx="28">
                  <c:v>I-049</c:v>
                </c:pt>
                <c:pt idx="29">
                  <c:v>I-021</c:v>
                </c:pt>
                <c:pt idx="30">
                  <c:v>I-011</c:v>
                </c:pt>
                <c:pt idx="31">
                  <c:v>I-002</c:v>
                </c:pt>
                <c:pt idx="32">
                  <c:v>I-062</c:v>
                </c:pt>
                <c:pt idx="33">
                  <c:v>I-016</c:v>
                </c:pt>
                <c:pt idx="34">
                  <c:v>I-009</c:v>
                </c:pt>
                <c:pt idx="35">
                  <c:v>I-047</c:v>
                </c:pt>
                <c:pt idx="36">
                  <c:v>I-023</c:v>
                </c:pt>
                <c:pt idx="37">
                  <c:v>I-059</c:v>
                </c:pt>
                <c:pt idx="38">
                  <c:v>I-032</c:v>
                </c:pt>
                <c:pt idx="39">
                  <c:v>I-029</c:v>
                </c:pt>
                <c:pt idx="40">
                  <c:v>I-046</c:v>
                </c:pt>
                <c:pt idx="41">
                  <c:v>I-035</c:v>
                </c:pt>
                <c:pt idx="42">
                  <c:v>I-024</c:v>
                </c:pt>
                <c:pt idx="43">
                  <c:v>I-055</c:v>
                </c:pt>
                <c:pt idx="44">
                  <c:v>I-058</c:v>
                </c:pt>
                <c:pt idx="45">
                  <c:v>I-056</c:v>
                </c:pt>
                <c:pt idx="46">
                  <c:v>I-061</c:v>
                </c:pt>
                <c:pt idx="47">
                  <c:v>I-044</c:v>
                </c:pt>
                <c:pt idx="48">
                  <c:v>I-065</c:v>
                </c:pt>
                <c:pt idx="49">
                  <c:v>I-050</c:v>
                </c:pt>
                <c:pt idx="50">
                  <c:v>I-054</c:v>
                </c:pt>
                <c:pt idx="51">
                  <c:v>I-043</c:v>
                </c:pt>
                <c:pt idx="52">
                  <c:v>I-040</c:v>
                </c:pt>
                <c:pt idx="53">
                  <c:v>I-042</c:v>
                </c:pt>
                <c:pt idx="54">
                  <c:v>I-063</c:v>
                </c:pt>
                <c:pt idx="55">
                  <c:v>I-028</c:v>
                </c:pt>
                <c:pt idx="56">
                  <c:v>I-041</c:v>
                </c:pt>
                <c:pt idx="57">
                  <c:v>I-008</c:v>
                </c:pt>
                <c:pt idx="58">
                  <c:v>I-038</c:v>
                </c:pt>
                <c:pt idx="59">
                  <c:v>I-072</c:v>
                </c:pt>
                <c:pt idx="60">
                  <c:v>I-015</c:v>
                </c:pt>
                <c:pt idx="61">
                  <c:v>I-013</c:v>
                </c:pt>
                <c:pt idx="62">
                  <c:v>I-001</c:v>
                </c:pt>
                <c:pt idx="63">
                  <c:v>I-019</c:v>
                </c:pt>
                <c:pt idx="64">
                  <c:v>I-036</c:v>
                </c:pt>
                <c:pt idx="65">
                  <c:v>I-022</c:v>
                </c:pt>
                <c:pt idx="66">
                  <c:v>I-005</c:v>
                </c:pt>
                <c:pt idx="67">
                  <c:v>I-030</c:v>
                </c:pt>
                <c:pt idx="68">
                  <c:v>I-026</c:v>
                </c:pt>
                <c:pt idx="69">
                  <c:v>I-018</c:v>
                </c:pt>
                <c:pt idx="70">
                  <c:v>I-017</c:v>
                </c:pt>
                <c:pt idx="71">
                  <c:v>I-003</c:v>
                </c:pt>
                <c:pt idx="72">
                  <c:v>I-014</c:v>
                </c:pt>
                <c:pt idx="73">
                  <c:v>I-020</c:v>
                </c:pt>
                <c:pt idx="74">
                  <c:v>I-104</c:v>
                </c:pt>
                <c:pt idx="75">
                  <c:v>I-105</c:v>
                </c:pt>
                <c:pt idx="76">
                  <c:v>I-106</c:v>
                </c:pt>
                <c:pt idx="77">
                  <c:v>I-107</c:v>
                </c:pt>
                <c:pt idx="78">
                  <c:v>I-108</c:v>
                </c:pt>
                <c:pt idx="79">
                  <c:v>I-109</c:v>
                </c:pt>
                <c:pt idx="80">
                  <c:v>I-110</c:v>
                </c:pt>
                <c:pt idx="81">
                  <c:v>I-076</c:v>
                </c:pt>
                <c:pt idx="82">
                  <c:v>I-111</c:v>
                </c:pt>
                <c:pt idx="83">
                  <c:v>I-112</c:v>
                </c:pt>
                <c:pt idx="84">
                  <c:v>I-113</c:v>
                </c:pt>
                <c:pt idx="85">
                  <c:v>I-114</c:v>
                </c:pt>
                <c:pt idx="86">
                  <c:v>I-115</c:v>
                </c:pt>
                <c:pt idx="87">
                  <c:v>I-116</c:v>
                </c:pt>
                <c:pt idx="88">
                  <c:v>I-117</c:v>
                </c:pt>
                <c:pt idx="89">
                  <c:v>I-118</c:v>
                </c:pt>
                <c:pt idx="90">
                  <c:v>I-119</c:v>
                </c:pt>
                <c:pt idx="91">
                  <c:v>I-120</c:v>
                </c:pt>
                <c:pt idx="92">
                  <c:v>I-121</c:v>
                </c:pt>
                <c:pt idx="93">
                  <c:v>I-122</c:v>
                </c:pt>
                <c:pt idx="94">
                  <c:v>I-123</c:v>
                </c:pt>
                <c:pt idx="95">
                  <c:v>I-124</c:v>
                </c:pt>
                <c:pt idx="96">
                  <c:v>I-125</c:v>
                </c:pt>
                <c:pt idx="97">
                  <c:v>I-079</c:v>
                </c:pt>
                <c:pt idx="98">
                  <c:v>I-126</c:v>
                </c:pt>
                <c:pt idx="99">
                  <c:v>I-085</c:v>
                </c:pt>
                <c:pt idx="100">
                  <c:v>I-127</c:v>
                </c:pt>
                <c:pt idx="101">
                  <c:v>I-128</c:v>
                </c:pt>
                <c:pt idx="102">
                  <c:v>I-129</c:v>
                </c:pt>
                <c:pt idx="103">
                  <c:v>I-130</c:v>
                </c:pt>
                <c:pt idx="104">
                  <c:v>I-078</c:v>
                </c:pt>
                <c:pt idx="105">
                  <c:v>I-131</c:v>
                </c:pt>
                <c:pt idx="106">
                  <c:v>I-132</c:v>
                </c:pt>
                <c:pt idx="107">
                  <c:v>I-133</c:v>
                </c:pt>
                <c:pt idx="108">
                  <c:v>I-080</c:v>
                </c:pt>
                <c:pt idx="109">
                  <c:v>I-027</c:v>
                </c:pt>
                <c:pt idx="110">
                  <c:v>I-075</c:v>
                </c:pt>
                <c:pt idx="111">
                  <c:v>I-086</c:v>
                </c:pt>
                <c:pt idx="112">
                  <c:v>I-087</c:v>
                </c:pt>
                <c:pt idx="113">
                  <c:v>I-077</c:v>
                </c:pt>
                <c:pt idx="114">
                  <c:v>I-081</c:v>
                </c:pt>
                <c:pt idx="115">
                  <c:v>I-083</c:v>
                </c:pt>
                <c:pt idx="116">
                  <c:v>I-088</c:v>
                </c:pt>
                <c:pt idx="117">
                  <c:v>I-134</c:v>
                </c:pt>
                <c:pt idx="118">
                  <c:v>I-135</c:v>
                </c:pt>
                <c:pt idx="119">
                  <c:v>I-089</c:v>
                </c:pt>
                <c:pt idx="120">
                  <c:v>I-136</c:v>
                </c:pt>
                <c:pt idx="121">
                  <c:v>I-137</c:v>
                </c:pt>
                <c:pt idx="122">
                  <c:v>I-138</c:v>
                </c:pt>
                <c:pt idx="123">
                  <c:v>I-139</c:v>
                </c:pt>
                <c:pt idx="124">
                  <c:v>I-140</c:v>
                </c:pt>
                <c:pt idx="125">
                  <c:v>I-141</c:v>
                </c:pt>
                <c:pt idx="126">
                  <c:v>I-142</c:v>
                </c:pt>
                <c:pt idx="127">
                  <c:v>I-143</c:v>
                </c:pt>
                <c:pt idx="128">
                  <c:v>I-144</c:v>
                </c:pt>
                <c:pt idx="129">
                  <c:v>I-145</c:v>
                </c:pt>
                <c:pt idx="130">
                  <c:v>I-146</c:v>
                </c:pt>
                <c:pt idx="131">
                  <c:v>I-090</c:v>
                </c:pt>
                <c:pt idx="132">
                  <c:v>I-147</c:v>
                </c:pt>
                <c:pt idx="133">
                  <c:v>I-148</c:v>
                </c:pt>
                <c:pt idx="134">
                  <c:v>I-149</c:v>
                </c:pt>
                <c:pt idx="135">
                  <c:v>I-150</c:v>
                </c:pt>
                <c:pt idx="136">
                  <c:v>I-151</c:v>
                </c:pt>
                <c:pt idx="137">
                  <c:v>I-152</c:v>
                </c:pt>
                <c:pt idx="138">
                  <c:v>I-153</c:v>
                </c:pt>
                <c:pt idx="139">
                  <c:v>I-154</c:v>
                </c:pt>
                <c:pt idx="140">
                  <c:v>I-155</c:v>
                </c:pt>
                <c:pt idx="141">
                  <c:v>I-156</c:v>
                </c:pt>
                <c:pt idx="142">
                  <c:v>I-157</c:v>
                </c:pt>
                <c:pt idx="143">
                  <c:v>I-091</c:v>
                </c:pt>
                <c:pt idx="144">
                  <c:v>I-158</c:v>
                </c:pt>
                <c:pt idx="145">
                  <c:v>I-159</c:v>
                </c:pt>
                <c:pt idx="146">
                  <c:v>I-160</c:v>
                </c:pt>
                <c:pt idx="147">
                  <c:v>I-161</c:v>
                </c:pt>
                <c:pt idx="148">
                  <c:v>I-162</c:v>
                </c:pt>
                <c:pt idx="149">
                  <c:v>I-163</c:v>
                </c:pt>
                <c:pt idx="150">
                  <c:v>I-164</c:v>
                </c:pt>
                <c:pt idx="151">
                  <c:v>I-165</c:v>
                </c:pt>
                <c:pt idx="152">
                  <c:v>I-166</c:v>
                </c:pt>
                <c:pt idx="153">
                  <c:v>I-167</c:v>
                </c:pt>
                <c:pt idx="154">
                  <c:v>I-168</c:v>
                </c:pt>
                <c:pt idx="155">
                  <c:v>I-092</c:v>
                </c:pt>
                <c:pt idx="156">
                  <c:v>I-169</c:v>
                </c:pt>
                <c:pt idx="157">
                  <c:v>I-170</c:v>
                </c:pt>
                <c:pt idx="158">
                  <c:v>I-171</c:v>
                </c:pt>
                <c:pt idx="159">
                  <c:v>I-172</c:v>
                </c:pt>
                <c:pt idx="160">
                  <c:v>I-173</c:v>
                </c:pt>
                <c:pt idx="161">
                  <c:v>I-174</c:v>
                </c:pt>
                <c:pt idx="162">
                  <c:v>I-175</c:v>
                </c:pt>
                <c:pt idx="163">
                  <c:v>I-176</c:v>
                </c:pt>
                <c:pt idx="164">
                  <c:v>I-177</c:v>
                </c:pt>
                <c:pt idx="165">
                  <c:v>I-178</c:v>
                </c:pt>
                <c:pt idx="166">
                  <c:v>I-093</c:v>
                </c:pt>
                <c:pt idx="167">
                  <c:v>I-179</c:v>
                </c:pt>
                <c:pt idx="168">
                  <c:v>I-180</c:v>
                </c:pt>
                <c:pt idx="169">
                  <c:v>I-181</c:v>
                </c:pt>
                <c:pt idx="170">
                  <c:v>I-182</c:v>
                </c:pt>
                <c:pt idx="171">
                  <c:v>I-183</c:v>
                </c:pt>
                <c:pt idx="172">
                  <c:v>I-184</c:v>
                </c:pt>
                <c:pt idx="173">
                  <c:v>I-185</c:v>
                </c:pt>
                <c:pt idx="174">
                  <c:v>I-186</c:v>
                </c:pt>
                <c:pt idx="175">
                  <c:v>I-187</c:v>
                </c:pt>
                <c:pt idx="176">
                  <c:v>I-188</c:v>
                </c:pt>
                <c:pt idx="177">
                  <c:v>I-189</c:v>
                </c:pt>
                <c:pt idx="178">
                  <c:v>I-094</c:v>
                </c:pt>
                <c:pt idx="179">
                  <c:v>I-190</c:v>
                </c:pt>
                <c:pt idx="180">
                  <c:v>I-191</c:v>
                </c:pt>
                <c:pt idx="181">
                  <c:v>I-192</c:v>
                </c:pt>
                <c:pt idx="182">
                  <c:v>I-193</c:v>
                </c:pt>
                <c:pt idx="183">
                  <c:v>I-194</c:v>
                </c:pt>
                <c:pt idx="184">
                  <c:v>I-195</c:v>
                </c:pt>
                <c:pt idx="185">
                  <c:v>I-196</c:v>
                </c:pt>
                <c:pt idx="186">
                  <c:v>I-197</c:v>
                </c:pt>
                <c:pt idx="187">
                  <c:v>I-198</c:v>
                </c:pt>
                <c:pt idx="188">
                  <c:v>I-199</c:v>
                </c:pt>
                <c:pt idx="189">
                  <c:v>I-200</c:v>
                </c:pt>
                <c:pt idx="190">
                  <c:v>I-095</c:v>
                </c:pt>
                <c:pt idx="191">
                  <c:v>I-096</c:v>
                </c:pt>
                <c:pt idx="192">
                  <c:v>I-097</c:v>
                </c:pt>
                <c:pt idx="193">
                  <c:v>I-084</c:v>
                </c:pt>
                <c:pt idx="194">
                  <c:v>I-098</c:v>
                </c:pt>
                <c:pt idx="195">
                  <c:v>I-099</c:v>
                </c:pt>
                <c:pt idx="196">
                  <c:v>I-100</c:v>
                </c:pt>
                <c:pt idx="197">
                  <c:v>I-101</c:v>
                </c:pt>
                <c:pt idx="198">
                  <c:v>I-102</c:v>
                </c:pt>
                <c:pt idx="199">
                  <c:v>I-103</c:v>
                </c:pt>
                <c:pt idx="200">
                  <c:v>I-082</c:v>
                </c:pt>
              </c:strCache>
            </c:strRef>
          </c:cat>
          <c:val>
            <c:numRef>
              <c:f>'S08 ABC Output'!$F$2:$F$202</c:f>
              <c:numCache>
                <c:formatCode>0.00%</c:formatCode>
                <c:ptCount val="201"/>
                <c:pt idx="0" formatCode="General">
                  <c:v>0</c:v>
                </c:pt>
                <c:pt idx="1">
                  <c:v>0.17084365467684812</c:v>
                </c:pt>
                <c:pt idx="2">
                  <c:v>0.31785029445684143</c:v>
                </c:pt>
                <c:pt idx="3">
                  <c:v>0.40317522058673</c:v>
                </c:pt>
                <c:pt idx="4">
                  <c:v>0.46223173036897525</c:v>
                </c:pt>
                <c:pt idx="5">
                  <c:v>0.52065360547560069</c:v>
                </c:pt>
                <c:pt idx="6">
                  <c:v>0.56517902839478373</c:v>
                </c:pt>
                <c:pt idx="7">
                  <c:v>0.60249418251547349</c:v>
                </c:pt>
                <c:pt idx="8">
                  <c:v>0.63708450194826027</c:v>
                </c:pt>
                <c:pt idx="9">
                  <c:v>0.66840406439153555</c:v>
                </c:pt>
                <c:pt idx="10">
                  <c:v>0.69332814707146817</c:v>
                </c:pt>
                <c:pt idx="11">
                  <c:v>0.71823721688810649</c:v>
                </c:pt>
                <c:pt idx="12">
                  <c:v>0.73576746439563001</c:v>
                </c:pt>
                <c:pt idx="13">
                  <c:v>0.75329771190315353</c:v>
                </c:pt>
                <c:pt idx="14">
                  <c:v>0.7708006632955966</c:v>
                </c:pt>
                <c:pt idx="15">
                  <c:v>0.78829679065926961</c:v>
                </c:pt>
                <c:pt idx="16">
                  <c:v>0.80567622713097375</c:v>
                </c:pt>
                <c:pt idx="17">
                  <c:v>0.81401791989955041</c:v>
                </c:pt>
                <c:pt idx="18">
                  <c:v>0.82223132092724915</c:v>
                </c:pt>
                <c:pt idx="19">
                  <c:v>0.82929828512157022</c:v>
                </c:pt>
                <c:pt idx="20">
                  <c:v>0.83629564422243619</c:v>
                </c:pt>
                <c:pt idx="21">
                  <c:v>0.84314560430186791</c:v>
                </c:pt>
                <c:pt idx="22">
                  <c:v>0.84979766754696651</c:v>
                </c:pt>
                <c:pt idx="23">
                  <c:v>0.85610716454780589</c:v>
                </c:pt>
                <c:pt idx="24">
                  <c:v>0.86207818972164807</c:v>
                </c:pt>
                <c:pt idx="25">
                  <c:v>0.86769436539944478</c:v>
                </c:pt>
                <c:pt idx="26">
                  <c:v>0.87320135661691978</c:v>
                </c:pt>
                <c:pt idx="27">
                  <c:v>0.87842446823755838</c:v>
                </c:pt>
                <c:pt idx="28">
                  <c:v>0.88324564456363774</c:v>
                </c:pt>
                <c:pt idx="29">
                  <c:v>0.88795627162364144</c:v>
                </c:pt>
                <c:pt idx="30">
                  <c:v>0.89238574869831677</c:v>
                </c:pt>
                <c:pt idx="31">
                  <c:v>0.89657160794589941</c:v>
                </c:pt>
                <c:pt idx="32">
                  <c:v>0.90066807241659363</c:v>
                </c:pt>
                <c:pt idx="33">
                  <c:v>0.90455230959253752</c:v>
                </c:pt>
                <c:pt idx="34">
                  <c:v>0.90780395930149271</c:v>
                </c:pt>
                <c:pt idx="35">
                  <c:v>0.91103172490975248</c:v>
                </c:pt>
                <c:pt idx="36">
                  <c:v>0.91388212172702543</c:v>
                </c:pt>
                <c:pt idx="37">
                  <c:v>0.91666905507673646</c:v>
                </c:pt>
                <c:pt idx="38">
                  <c:v>0.91921782982237077</c:v>
                </c:pt>
                <c:pt idx="39">
                  <c:v>0.92164854887028225</c:v>
                </c:pt>
                <c:pt idx="40">
                  <c:v>0.92400283879596856</c:v>
                </c:pt>
                <c:pt idx="41">
                  <c:v>0.9261019100456529</c:v>
                </c:pt>
                <c:pt idx="42">
                  <c:v>0.92802696856169964</c:v>
                </c:pt>
                <c:pt idx="43">
                  <c:v>0.92977323752396956</c:v>
                </c:pt>
                <c:pt idx="44">
                  <c:v>0.93151268245746943</c:v>
                </c:pt>
                <c:pt idx="45">
                  <c:v>0.93325076258521522</c:v>
                </c:pt>
                <c:pt idx="46">
                  <c:v>0.93497382984966682</c:v>
                </c:pt>
                <c:pt idx="47">
                  <c:v>0.93665117612135873</c:v>
                </c:pt>
                <c:pt idx="48">
                  <c:v>0.93832852239305065</c:v>
                </c:pt>
                <c:pt idx="49">
                  <c:v>0.94000450385898848</c:v>
                </c:pt>
                <c:pt idx="50">
                  <c:v>0.94168048532492632</c:v>
                </c:pt>
                <c:pt idx="51">
                  <c:v>0.94335510198511019</c:v>
                </c:pt>
                <c:pt idx="52">
                  <c:v>0.9449532895230689</c:v>
                </c:pt>
                <c:pt idx="53">
                  <c:v>0.94647231832729428</c:v>
                </c:pt>
                <c:pt idx="54">
                  <c:v>0.94796609822507039</c:v>
                </c:pt>
                <c:pt idx="55">
                  <c:v>0.94943735882790514</c:v>
                </c:pt>
                <c:pt idx="56">
                  <c:v>0.9509086194307399</c:v>
                </c:pt>
                <c:pt idx="57">
                  <c:v>0.95237851522782058</c:v>
                </c:pt>
                <c:pt idx="58">
                  <c:v>0.95384841102490125</c:v>
                </c:pt>
                <c:pt idx="59">
                  <c:v>0.95531830682198193</c:v>
                </c:pt>
                <c:pt idx="60">
                  <c:v>0.95669266621628113</c:v>
                </c:pt>
                <c:pt idx="61">
                  <c:v>0.9580486007329011</c:v>
                </c:pt>
                <c:pt idx="62">
                  <c:v>0.95937587432868654</c:v>
                </c:pt>
                <c:pt idx="63">
                  <c:v>0.96057007936345495</c:v>
                </c:pt>
                <c:pt idx="64">
                  <c:v>0.96168717287312122</c:v>
                </c:pt>
                <c:pt idx="65">
                  <c:v>0.96280017196552536</c:v>
                </c:pt>
                <c:pt idx="66">
                  <c:v>0.96390020540326637</c:v>
                </c:pt>
                <c:pt idx="67">
                  <c:v>0.96496065947414078</c:v>
                </c:pt>
                <c:pt idx="68">
                  <c:v>0.96600678308459798</c:v>
                </c:pt>
                <c:pt idx="69">
                  <c:v>0.96704676506916198</c:v>
                </c:pt>
                <c:pt idx="70">
                  <c:v>0.96806900457892375</c:v>
                </c:pt>
                <c:pt idx="71">
                  <c:v>0.96904142867866372</c:v>
                </c:pt>
                <c:pt idx="72">
                  <c:v>0.97000566394387955</c:v>
                </c:pt>
                <c:pt idx="73">
                  <c:v>0.97092554302208978</c:v>
                </c:pt>
                <c:pt idx="74">
                  <c:v>0.97160589869046932</c:v>
                </c:pt>
                <c:pt idx="75">
                  <c:v>0.97228079513583276</c:v>
                </c:pt>
                <c:pt idx="76">
                  <c:v>0.97295023235818012</c:v>
                </c:pt>
                <c:pt idx="77">
                  <c:v>0.97361421035751139</c:v>
                </c:pt>
                <c:pt idx="78">
                  <c:v>0.97427272913382656</c:v>
                </c:pt>
                <c:pt idx="79">
                  <c:v>0.97492578868712565</c:v>
                </c:pt>
                <c:pt idx="80">
                  <c:v>0.97557338901740864</c:v>
                </c:pt>
                <c:pt idx="81">
                  <c:v>0.97621553012467555</c:v>
                </c:pt>
                <c:pt idx="82">
                  <c:v>0.97685767123194245</c:v>
                </c:pt>
                <c:pt idx="83">
                  <c:v>0.97749435311619326</c:v>
                </c:pt>
                <c:pt idx="84">
                  <c:v>0.97812557577742798</c:v>
                </c:pt>
                <c:pt idx="85">
                  <c:v>0.97875133921564661</c:v>
                </c:pt>
                <c:pt idx="86">
                  <c:v>0.97937164343084915</c:v>
                </c:pt>
                <c:pt idx="87">
                  <c:v>0.9799864884230356</c:v>
                </c:pt>
                <c:pt idx="88">
                  <c:v>0.98059587419220595</c:v>
                </c:pt>
                <c:pt idx="89">
                  <c:v>0.98119980073836022</c:v>
                </c:pt>
                <c:pt idx="90">
                  <c:v>0.9817982680614985</c:v>
                </c:pt>
                <c:pt idx="91">
                  <c:v>0.9823912761616207</c:v>
                </c:pt>
                <c:pt idx="92">
                  <c:v>0.9829788250387268</c:v>
                </c:pt>
                <c:pt idx="93">
                  <c:v>0.98356091469281681</c:v>
                </c:pt>
                <c:pt idx="94">
                  <c:v>0.98413754512389073</c:v>
                </c:pt>
                <c:pt idx="95">
                  <c:v>0.98470871633194856</c:v>
                </c:pt>
                <c:pt idx="96">
                  <c:v>0.9852744283169903</c:v>
                </c:pt>
                <c:pt idx="97">
                  <c:v>0.98580056093516544</c:v>
                </c:pt>
                <c:pt idx="98">
                  <c:v>0.9863000798411371</c:v>
                </c:pt>
                <c:pt idx="99">
                  <c:v>0.98675592496298015</c:v>
                </c:pt>
                <c:pt idx="100">
                  <c:v>0.98721040527906911</c:v>
                </c:pt>
                <c:pt idx="101">
                  <c:v>0.98761984700527539</c:v>
                </c:pt>
                <c:pt idx="102">
                  <c:v>0.98798425014159896</c:v>
                </c:pt>
                <c:pt idx="103">
                  <c:v>0.98830361468803984</c:v>
                </c:pt>
                <c:pt idx="104">
                  <c:v>0.98858135265898317</c:v>
                </c:pt>
                <c:pt idx="105">
                  <c:v>0.98885567861554136</c:v>
                </c:pt>
                <c:pt idx="106">
                  <c:v>0.98908496598221685</c:v>
                </c:pt>
                <c:pt idx="107">
                  <c:v>0.98926921475900964</c:v>
                </c:pt>
                <c:pt idx="108">
                  <c:v>0.98944527470127841</c:v>
                </c:pt>
                <c:pt idx="109">
                  <c:v>0.98961246340614595</c:v>
                </c:pt>
                <c:pt idx="110">
                  <c:v>0.98977282808224343</c:v>
                </c:pt>
                <c:pt idx="111">
                  <c:v>0.98993182795258683</c:v>
                </c:pt>
                <c:pt idx="112">
                  <c:v>0.99008468619703716</c:v>
                </c:pt>
                <c:pt idx="113">
                  <c:v>0.99023481482997944</c:v>
                </c:pt>
                <c:pt idx="114">
                  <c:v>0.99038153144853669</c:v>
                </c:pt>
                <c:pt idx="115">
                  <c:v>0.99052688326133997</c:v>
                </c:pt>
                <c:pt idx="116">
                  <c:v>0.99067223507414326</c:v>
                </c:pt>
                <c:pt idx="117">
                  <c:v>0.99081144526105336</c:v>
                </c:pt>
                <c:pt idx="118">
                  <c:v>0.99094997304508647</c:v>
                </c:pt>
                <c:pt idx="119">
                  <c:v>0.99108781842624261</c:v>
                </c:pt>
                <c:pt idx="120">
                  <c:v>0.99122566380739874</c:v>
                </c:pt>
                <c:pt idx="121">
                  <c:v>0.99136282678567789</c:v>
                </c:pt>
                <c:pt idx="122">
                  <c:v>0.99149930736107994</c:v>
                </c:pt>
                <c:pt idx="123">
                  <c:v>0.99163510553360501</c:v>
                </c:pt>
                <c:pt idx="124">
                  <c:v>0.9917702213032531</c:v>
                </c:pt>
                <c:pt idx="125">
                  <c:v>0.9919046546700242</c:v>
                </c:pt>
                <c:pt idx="126">
                  <c:v>0.99203840563391832</c:v>
                </c:pt>
                <c:pt idx="127">
                  <c:v>0.99217147419493534</c:v>
                </c:pt>
                <c:pt idx="128">
                  <c:v>0.99230386035307538</c:v>
                </c:pt>
                <c:pt idx="129">
                  <c:v>0.99243556410833844</c:v>
                </c:pt>
                <c:pt idx="130">
                  <c:v>0.99256658546072452</c:v>
                </c:pt>
                <c:pt idx="131">
                  <c:v>0.99269692441023349</c:v>
                </c:pt>
                <c:pt idx="132">
                  <c:v>0.99282726335974247</c:v>
                </c:pt>
                <c:pt idx="133">
                  <c:v>0.99295691990637447</c:v>
                </c:pt>
                <c:pt idx="134">
                  <c:v>0.99308589405012948</c:v>
                </c:pt>
                <c:pt idx="135">
                  <c:v>0.99321418579100751</c:v>
                </c:pt>
                <c:pt idx="136">
                  <c:v>0.99334179512900844</c:v>
                </c:pt>
                <c:pt idx="137">
                  <c:v>0.99346872206413239</c:v>
                </c:pt>
                <c:pt idx="138">
                  <c:v>0.99359496659637936</c:v>
                </c:pt>
                <c:pt idx="139">
                  <c:v>0.99372052872574934</c:v>
                </c:pt>
                <c:pt idx="140">
                  <c:v>0.99384540845224223</c:v>
                </c:pt>
                <c:pt idx="141">
                  <c:v>0.99396960577585813</c:v>
                </c:pt>
                <c:pt idx="142">
                  <c:v>0.99409312069659705</c:v>
                </c:pt>
                <c:pt idx="143">
                  <c:v>0.99421595321445899</c:v>
                </c:pt>
                <c:pt idx="144">
                  <c:v>0.99433878573232093</c:v>
                </c:pt>
                <c:pt idx="145">
                  <c:v>0.99446093584730577</c:v>
                </c:pt>
                <c:pt idx="146">
                  <c:v>0.99458240355941363</c:v>
                </c:pt>
                <c:pt idx="147">
                  <c:v>0.99470318886864451</c:v>
                </c:pt>
                <c:pt idx="148">
                  <c:v>0.9948232917749984</c:v>
                </c:pt>
                <c:pt idx="149">
                  <c:v>0.99494271227847519</c:v>
                </c:pt>
                <c:pt idx="150">
                  <c:v>0.99506145037907501</c:v>
                </c:pt>
                <c:pt idx="151">
                  <c:v>0.99517950607679784</c:v>
                </c:pt>
                <c:pt idx="152">
                  <c:v>0.99529687937164368</c:v>
                </c:pt>
                <c:pt idx="153">
                  <c:v>0.99541357026361243</c:v>
                </c:pt>
                <c:pt idx="154">
                  <c:v>0.9955295787527042</c:v>
                </c:pt>
                <c:pt idx="155">
                  <c:v>0.99564490483891899</c:v>
                </c:pt>
                <c:pt idx="156">
                  <c:v>0.99576023092513377</c:v>
                </c:pt>
                <c:pt idx="157">
                  <c:v>0.99587487460847157</c:v>
                </c:pt>
                <c:pt idx="158">
                  <c:v>0.99598883588893228</c:v>
                </c:pt>
                <c:pt idx="159">
                  <c:v>0.996102114766516</c:v>
                </c:pt>
                <c:pt idx="160">
                  <c:v>0.99621471124122274</c:v>
                </c:pt>
                <c:pt idx="161">
                  <c:v>0.99632662531305249</c:v>
                </c:pt>
                <c:pt idx="162">
                  <c:v>0.99643785698200527</c:v>
                </c:pt>
                <c:pt idx="163">
                  <c:v>0.99654840624808094</c:v>
                </c:pt>
                <c:pt idx="164">
                  <c:v>0.99665827311127964</c:v>
                </c:pt>
                <c:pt idx="165">
                  <c:v>0.99676745757160135</c:v>
                </c:pt>
                <c:pt idx="166">
                  <c:v>0.99687595962904607</c:v>
                </c:pt>
                <c:pt idx="167">
                  <c:v>0.9969844616864908</c:v>
                </c:pt>
                <c:pt idx="168">
                  <c:v>0.99709228134105843</c:v>
                </c:pt>
                <c:pt idx="169">
                  <c:v>0.99719941859274908</c:v>
                </c:pt>
                <c:pt idx="170">
                  <c:v>0.99730587344156274</c:v>
                </c:pt>
                <c:pt idx="171">
                  <c:v>0.99741164588749942</c:v>
                </c:pt>
                <c:pt idx="172">
                  <c:v>0.99751673593055901</c:v>
                </c:pt>
                <c:pt idx="173">
                  <c:v>0.99762114357074161</c:v>
                </c:pt>
                <c:pt idx="174">
                  <c:v>0.99772486880804723</c:v>
                </c:pt>
                <c:pt idx="175">
                  <c:v>0.99782791164247586</c:v>
                </c:pt>
                <c:pt idx="176">
                  <c:v>0.9979302720740274</c:v>
                </c:pt>
                <c:pt idx="177">
                  <c:v>0.99803195010270196</c:v>
                </c:pt>
                <c:pt idx="178">
                  <c:v>0.99813294572849953</c:v>
                </c:pt>
                <c:pt idx="179">
                  <c:v>0.99823394135429711</c:v>
                </c:pt>
                <c:pt idx="180">
                  <c:v>0.99833425457721769</c:v>
                </c:pt>
                <c:pt idx="181">
                  <c:v>0.99843388539726119</c:v>
                </c:pt>
                <c:pt idx="182">
                  <c:v>0.9985328338144277</c:v>
                </c:pt>
                <c:pt idx="183">
                  <c:v>0.99863109982871723</c:v>
                </c:pt>
                <c:pt idx="184">
                  <c:v>0.99872868344012977</c:v>
                </c:pt>
                <c:pt idx="185">
                  <c:v>0.99882558464866522</c:v>
                </c:pt>
                <c:pt idx="186">
                  <c:v>0.99892180345432369</c:v>
                </c:pt>
                <c:pt idx="187">
                  <c:v>0.99901733985710517</c:v>
                </c:pt>
                <c:pt idx="188">
                  <c:v>0.99911219385700967</c:v>
                </c:pt>
                <c:pt idx="189">
                  <c:v>0.99920636545403707</c:v>
                </c:pt>
                <c:pt idx="190">
                  <c:v>0.99929985464818749</c:v>
                </c:pt>
                <c:pt idx="191">
                  <c:v>0.99938583741069087</c:v>
                </c:pt>
                <c:pt idx="192">
                  <c:v>0.99946431374154709</c:v>
                </c:pt>
                <c:pt idx="193">
                  <c:v>0.99953528364075617</c:v>
                </c:pt>
                <c:pt idx="194">
                  <c:v>0.99960625353996524</c:v>
                </c:pt>
                <c:pt idx="195">
                  <c:v>0.99967654103629733</c:v>
                </c:pt>
                <c:pt idx="196">
                  <c:v>0.99974614612975243</c:v>
                </c:pt>
                <c:pt idx="197">
                  <c:v>0.99981575122320754</c:v>
                </c:pt>
                <c:pt idx="198">
                  <c:v>0.99988467391378555</c:v>
                </c:pt>
                <c:pt idx="199">
                  <c:v>0.99995291420148658</c:v>
                </c:pt>
                <c:pt idx="200">
                  <c:v>1.0000000000000002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2B1-E946-81EE-E622CD43B5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71663408"/>
        <c:axId val="1774511488"/>
      </c:lineChart>
      <c:catAx>
        <c:axId val="17716634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1774511488"/>
        <c:crosses val="autoZero"/>
        <c:auto val="1"/>
        <c:lblAlgn val="ctr"/>
        <c:lblOffset val="100"/>
        <c:noMultiLvlLbl val="0"/>
      </c:catAx>
      <c:valAx>
        <c:axId val="1774511488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17716634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E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Figure of Merit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E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'S20 Material FOM'!$A$2:$A$6</c:f>
              <c:strCache>
                <c:ptCount val="5"/>
                <c:pt idx="0">
                  <c:v>Steel 1020 </c:v>
                </c:pt>
                <c:pt idx="1">
                  <c:v>Ti-alloy </c:v>
                </c:pt>
                <c:pt idx="2">
                  <c:v>CFRP </c:v>
                </c:pt>
                <c:pt idx="3">
                  <c:v>KFRP </c:v>
                </c:pt>
                <c:pt idx="4">
                  <c:v>GFRP </c:v>
                </c:pt>
              </c:strCache>
            </c:strRef>
          </c:cat>
          <c:val>
            <c:numRef>
              <c:f>'S20 Material FOM'!$E$2:$E$6</c:f>
              <c:numCache>
                <c:formatCode>General</c:formatCode>
                <c:ptCount val="5"/>
                <c:pt idx="0">
                  <c:v>8.1</c:v>
                </c:pt>
                <c:pt idx="1">
                  <c:v>2</c:v>
                </c:pt>
                <c:pt idx="2">
                  <c:v>4.7</c:v>
                </c:pt>
                <c:pt idx="3">
                  <c:v>4.7</c:v>
                </c:pt>
                <c:pt idx="4">
                  <c:v>0.9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A4A-3747-931D-2C5C296CA1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94005856"/>
        <c:axId val="1894289904"/>
      </c:barChart>
      <c:catAx>
        <c:axId val="18940058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1894289904"/>
        <c:crosses val="autoZero"/>
        <c:auto val="1"/>
        <c:lblAlgn val="ctr"/>
        <c:lblOffset val="100"/>
        <c:noMultiLvlLbl val="0"/>
      </c:catAx>
      <c:valAx>
        <c:axId val="18942899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18940058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E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5" Type="http://schemas.openxmlformats.org/officeDocument/2006/relationships/chart" Target="../charts/chart6.xml"/><Relationship Id="rId4" Type="http://schemas.openxmlformats.org/officeDocument/2006/relationships/chart" Target="../charts/chart5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225619</xdr:colOff>
      <xdr:row>1</xdr:row>
      <xdr:rowOff>15467</xdr:rowOff>
    </xdr:from>
    <xdr:to>
      <xdr:col>13</xdr:col>
      <xdr:colOff>7094</xdr:colOff>
      <xdr:row>18</xdr:row>
      <xdr:rowOff>156090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574693</xdr:colOff>
      <xdr:row>4</xdr:row>
      <xdr:rowOff>49665</xdr:rowOff>
    </xdr:from>
    <xdr:to>
      <xdr:col>7</xdr:col>
      <xdr:colOff>581788</xdr:colOff>
      <xdr:row>17</xdr:row>
      <xdr:rowOff>78045</xdr:rowOff>
    </xdr:to>
    <xdr:cxnSp macro="">
      <xdr:nvCxnSpPr>
        <xdr:cNvPr id="3" name="Straight Connector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CxnSpPr/>
      </xdr:nvCxnSpPr>
      <xdr:spPr>
        <a:xfrm flipH="1" flipV="1">
          <a:off x="8461393" y="1116465"/>
          <a:ext cx="7095" cy="283508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665574</xdr:colOff>
      <xdr:row>31</xdr:row>
      <xdr:rowOff>47350</xdr:rowOff>
    </xdr:from>
    <xdr:to>
      <xdr:col>7</xdr:col>
      <xdr:colOff>510352</xdr:colOff>
      <xdr:row>44</xdr:row>
      <xdr:rowOff>140797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7054</xdr:colOff>
      <xdr:row>31</xdr:row>
      <xdr:rowOff>31671</xdr:rowOff>
    </xdr:from>
    <xdr:to>
      <xdr:col>12</xdr:col>
      <xdr:colOff>769054</xdr:colOff>
      <xdr:row>44</xdr:row>
      <xdr:rowOff>125118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438228</xdr:colOff>
      <xdr:row>31</xdr:row>
      <xdr:rowOff>39512</xdr:rowOff>
    </xdr:from>
    <xdr:to>
      <xdr:col>18</xdr:col>
      <xdr:colOff>384920</xdr:colOff>
      <xdr:row>44</xdr:row>
      <xdr:rowOff>132959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649895</xdr:colOff>
      <xdr:row>45</xdr:row>
      <xdr:rowOff>117907</xdr:rowOff>
    </xdr:from>
    <xdr:to>
      <xdr:col>7</xdr:col>
      <xdr:colOff>533086</xdr:colOff>
      <xdr:row>59</xdr:row>
      <xdr:rowOff>117592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564757</xdr:colOff>
      <xdr:row>62</xdr:row>
      <xdr:rowOff>43899</xdr:rowOff>
    </xdr:from>
    <xdr:to>
      <xdr:col>8</xdr:col>
      <xdr:colOff>72760</xdr:colOff>
      <xdr:row>77</xdr:row>
      <xdr:rowOff>198438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76</xdr:col>
      <xdr:colOff>2</xdr:colOff>
      <xdr:row>36</xdr:row>
      <xdr:rowOff>0</xdr:rowOff>
    </xdr:from>
    <xdr:to>
      <xdr:col>82</xdr:col>
      <xdr:colOff>0</xdr:colOff>
      <xdr:row>51</xdr:row>
      <xdr:rowOff>380999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76</xdr:col>
      <xdr:colOff>2</xdr:colOff>
      <xdr:row>36</xdr:row>
      <xdr:rowOff>12700</xdr:rowOff>
    </xdr:from>
    <xdr:to>
      <xdr:col>82</xdr:col>
      <xdr:colOff>0</xdr:colOff>
      <xdr:row>52</xdr:row>
      <xdr:rowOff>4232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2395</xdr:colOff>
      <xdr:row>1</xdr:row>
      <xdr:rowOff>149765</xdr:rowOff>
    </xdr:from>
    <xdr:to>
      <xdr:col>18</xdr:col>
      <xdr:colOff>209670</xdr:colOff>
      <xdr:row>28</xdr:row>
      <xdr:rowOff>144318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254000</xdr:colOff>
          <xdr:row>1</xdr:row>
          <xdr:rowOff>12700</xdr:rowOff>
        </xdr:from>
        <xdr:to>
          <xdr:col>28</xdr:col>
          <xdr:colOff>431800</xdr:colOff>
          <xdr:row>2</xdr:row>
          <xdr:rowOff>177800</xdr:rowOff>
        </xdr:to>
        <xdr:sp macro="" textlink="">
          <xdr:nvSpPr>
            <xdr:cNvPr id="27649" name="Button 1" hidden="1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0D00-00000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Sort Matrix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88900</xdr:colOff>
      <xdr:row>11</xdr:row>
      <xdr:rowOff>50800</xdr:rowOff>
    </xdr:from>
    <xdr:to>
      <xdr:col>5</xdr:col>
      <xdr:colOff>342900</xdr:colOff>
      <xdr:row>30</xdr:row>
      <xdr:rowOff>88900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yilmaz/Dropbox%20(Personal)/Vertax/Finanzplanung_Businessplan_v4_BWA_Liq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yilmaz/Files/Teaching/Industrial%20Engineering/2021/IE_2021_Chapter_05_Material_blank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Gesamt"/>
      <sheetName val="BWA"/>
      <sheetName val="Liquiditätsplanung"/>
      <sheetName val="Tilgungsplan Übersicht"/>
      <sheetName val="Tilgungsplan Zahlungsübersicht"/>
      <sheetName val="Verkaufspreis und ROI"/>
      <sheetName val="BOM 2.5KW"/>
      <sheetName val="Benötigte Anlagen &amp; AFA"/>
      <sheetName val="Verfügbare Arbeitszeit"/>
      <sheetName val="Benötigte Maschinenanzahl"/>
      <sheetName val="Benötigte Mitarbeiter"/>
      <sheetName val="Benötigte Stationen"/>
      <sheetName val="Platzbedarf"/>
      <sheetName val="Benötigte Gesamtfläche"/>
    </sheetNames>
    <sheetDataSet>
      <sheetData sheetId="0"/>
      <sheetData sheetId="1"/>
      <sheetData sheetId="2"/>
      <sheetData sheetId="3"/>
      <sheetData sheetId="4"/>
      <sheetData sheetId="5"/>
      <sheetData sheetId="6">
        <row r="1">
          <cell r="AD1" t="str">
            <v>BOM Levels</v>
          </cell>
        </row>
        <row r="2">
          <cell r="AC2" t="str">
            <v>EACH</v>
          </cell>
          <cell r="AD2">
            <v>0</v>
          </cell>
          <cell r="AE2" t="str">
            <v>A</v>
          </cell>
          <cell r="AF2" t="str">
            <v>MAKE</v>
          </cell>
        </row>
        <row r="3">
          <cell r="AC3" t="str">
            <v>CM</v>
          </cell>
          <cell r="AE3" t="str">
            <v>B</v>
          </cell>
          <cell r="AF3" t="str">
            <v>BUY</v>
          </cell>
        </row>
        <row r="4">
          <cell r="AC4" t="str">
            <v>CM²</v>
          </cell>
          <cell r="AE4" t="str">
            <v>C</v>
          </cell>
        </row>
        <row r="5">
          <cell r="AC5" t="str">
            <v>FT</v>
          </cell>
          <cell r="AE5" t="str">
            <v>D</v>
          </cell>
        </row>
        <row r="6">
          <cell r="AC6" t="str">
            <v>FT²</v>
          </cell>
          <cell r="AE6" t="str">
            <v>E</v>
          </cell>
        </row>
        <row r="7">
          <cell r="AC7" t="str">
            <v>GAL</v>
          </cell>
          <cell r="AE7" t="str">
            <v>F</v>
          </cell>
        </row>
        <row r="8">
          <cell r="AC8" t="str">
            <v>IN</v>
          </cell>
          <cell r="AE8" t="str">
            <v>G</v>
          </cell>
        </row>
        <row r="9">
          <cell r="AC9" t="str">
            <v>IN²</v>
          </cell>
          <cell r="AE9" t="str">
            <v>H</v>
          </cell>
        </row>
        <row r="10">
          <cell r="AC10" t="str">
            <v>L</v>
          </cell>
          <cell r="AE10" t="str">
            <v>J</v>
          </cell>
        </row>
        <row r="11">
          <cell r="AC11" t="str">
            <v>M</v>
          </cell>
          <cell r="AE11" t="str">
            <v>K</v>
          </cell>
        </row>
        <row r="12">
          <cell r="AC12" t="str">
            <v>ML</v>
          </cell>
          <cell r="AE12" t="str">
            <v>L</v>
          </cell>
        </row>
        <row r="13">
          <cell r="AC13" t="str">
            <v>MM</v>
          </cell>
          <cell r="AE13" t="str">
            <v>M</v>
          </cell>
        </row>
        <row r="14">
          <cell r="AC14" t="str">
            <v>MM²</v>
          </cell>
          <cell r="AE14" t="str">
            <v>N</v>
          </cell>
        </row>
        <row r="15">
          <cell r="AC15" t="str">
            <v>OZ</v>
          </cell>
          <cell r="AE15" t="str">
            <v>P</v>
          </cell>
        </row>
        <row r="16">
          <cell r="AE16" t="str">
            <v>R</v>
          </cell>
        </row>
        <row r="17">
          <cell r="AE17" t="str">
            <v>T</v>
          </cell>
        </row>
        <row r="18">
          <cell r="AE18" t="str">
            <v>U</v>
          </cell>
        </row>
        <row r="19">
          <cell r="AE19" t="str">
            <v>V</v>
          </cell>
        </row>
        <row r="20">
          <cell r="AE20" t="str">
            <v>W</v>
          </cell>
        </row>
        <row r="21">
          <cell r="AE21" t="str">
            <v>Y</v>
          </cell>
        </row>
        <row r="22">
          <cell r="AE22" t="str">
            <v>AA</v>
          </cell>
        </row>
        <row r="23">
          <cell r="AE23" t="str">
            <v>AB</v>
          </cell>
        </row>
        <row r="24">
          <cell r="AE24" t="str">
            <v>AC</v>
          </cell>
        </row>
        <row r="25">
          <cell r="AE25" t="str">
            <v>AD</v>
          </cell>
        </row>
        <row r="26">
          <cell r="AE26" t="str">
            <v>AE</v>
          </cell>
        </row>
        <row r="27">
          <cell r="AE27" t="str">
            <v>AF</v>
          </cell>
        </row>
        <row r="28">
          <cell r="AE28" t="str">
            <v>AG</v>
          </cell>
        </row>
        <row r="29">
          <cell r="AE29" t="str">
            <v>AH</v>
          </cell>
        </row>
        <row r="30">
          <cell r="AE30" t="str">
            <v>AJ</v>
          </cell>
        </row>
        <row r="31">
          <cell r="AE31" t="str">
            <v>AK</v>
          </cell>
        </row>
        <row r="32">
          <cell r="AE32" t="str">
            <v>AL</v>
          </cell>
        </row>
        <row r="33">
          <cell r="AE33" t="str">
            <v>AM</v>
          </cell>
        </row>
        <row r="34">
          <cell r="AE34" t="str">
            <v>AN</v>
          </cell>
        </row>
        <row r="35">
          <cell r="AE35" t="str">
            <v>AP</v>
          </cell>
        </row>
        <row r="36">
          <cell r="AE36" t="str">
            <v>AR</v>
          </cell>
        </row>
        <row r="37">
          <cell r="AE37" t="str">
            <v>AT</v>
          </cell>
        </row>
        <row r="38">
          <cell r="AE38" t="str">
            <v>AU</v>
          </cell>
        </row>
        <row r="39">
          <cell r="AE39" t="str">
            <v>AV</v>
          </cell>
        </row>
        <row r="40">
          <cell r="AE40" t="str">
            <v>AW</v>
          </cell>
        </row>
        <row r="41">
          <cell r="AE41" t="str">
            <v>AY</v>
          </cell>
        </row>
      </sheetData>
      <sheetData sheetId="7"/>
      <sheetData sheetId="8"/>
      <sheetData sheetId="9"/>
      <sheetData sheetId="10"/>
      <sheetData sheetId="11"/>
      <sheetData sheetId="12"/>
      <sheetData sheetId="13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01 Production Morphology"/>
      <sheetName val="S02 Location Selection"/>
      <sheetName val="S03 Location Prioritization"/>
      <sheetName val="S04 Product Life Cyle"/>
      <sheetName val="S05 Req Weights"/>
      <sheetName val="S06 Requirements HoQ"/>
      <sheetName val="S07 Initial Parameters"/>
      <sheetName val="S08 ABC Output"/>
      <sheetName val="S09 BOM"/>
      <sheetName val="S10 Route Sheets"/>
      <sheetName val="S11 Work Stations"/>
      <sheetName val="S12 Operations"/>
      <sheetName val="S13 Routing Initial"/>
      <sheetName val="S14 Clustering"/>
      <sheetName val="S15 Routing Clustered"/>
      <sheetName val="S16 Material Properties"/>
      <sheetName val="S17 Mat. Prop. Weights"/>
      <sheetName val="S18 Mat. Perf. Index"/>
      <sheetName val="S19 Mat. Cost per Strength"/>
      <sheetName val="S20 Material FOM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763755A-9A26-C642-AFAD-3958A93DEB71}" name="Table43" displayName="Table43" ref="A6:X62" totalsRowShown="0" headerRowDxfId="26" dataDxfId="24" headerRowBorderDxfId="25">
  <autoFilter ref="A6:X62" xr:uid="{7763755A-9A26-C642-AFAD-3958A93DEB71}"/>
  <tableColumns count="24">
    <tableColumn id="1" xr3:uid="{96CAF952-9D7A-214E-B0E0-36105896E2AB}" name="LVL" dataDxfId="23"/>
    <tableColumn id="2" xr3:uid="{A507A480-A68F-774B-B595-982F497C3153}" name="0" dataDxfId="22">
      <calculatedColumnFormula>IF($A7=0, $AB$2,"")</calculatedColumnFormula>
    </tableColumn>
    <tableColumn id="3" xr3:uid="{78368C84-AD8D-3041-BB02-36BE1CE21974}" name="1" dataDxfId="21">
      <calculatedColumnFormula>IF($A7=1, $AB$2,"")</calculatedColumnFormula>
    </tableColumn>
    <tableColumn id="4" xr3:uid="{78F9E2AB-06F2-5B49-B67A-CBEC347108AA}" name="2" dataDxfId="20">
      <calculatedColumnFormula>IF($A7=3, $AB$2,"")</calculatedColumnFormula>
    </tableColumn>
    <tableColumn id="5" xr3:uid="{675C7F67-12BD-D447-9814-B41B8555A27D}" name="3" dataDxfId="19">
      <calculatedColumnFormula>IF($A7=4, $AB$2,"")</calculatedColumnFormula>
    </tableColumn>
    <tableColumn id="6" xr3:uid="{19F373B7-E606-684C-9B1F-458CB29C47A1}" name="4" dataDxfId="18">
      <calculatedColumnFormula>IF($A7=5, $AB$2,"")</calculatedColumnFormula>
    </tableColumn>
    <tableColumn id="7" xr3:uid="{CEAF24F3-14EE-0A48-9CCB-D072A144A05C}" name="5" dataDxfId="17">
      <calculatedColumnFormula>IF($A7=6, $AB$2,"")</calculatedColumnFormula>
    </tableColumn>
    <tableColumn id="8" xr3:uid="{E5479718-3015-1846-A304-30691272644A}" name="6" dataDxfId="16">
      <calculatedColumnFormula>IF($A7=7, $AB$2,"")</calculatedColumnFormula>
    </tableColumn>
    <tableColumn id="9" xr3:uid="{AA1CF733-9FFB-E845-8262-53E2E7B6F646}" name="7" dataDxfId="15">
      <calculatedColumnFormula>IF($A7=8, $AB$2,"")</calculatedColumnFormula>
    </tableColumn>
    <tableColumn id="10" xr3:uid="{31040A9F-B425-7C45-A742-F0F221DF59E8}" name="8" dataDxfId="14">
      <calculatedColumnFormula>IF($A7=9, $AB$2,"")</calculatedColumnFormula>
    </tableColumn>
    <tableColumn id="11" xr3:uid="{4194231B-E0D8-AB42-806F-6965663A3D3C}" name="BOM ID" dataDxfId="13"/>
    <tableColumn id="12" xr3:uid="{E2E26E50-6A90-3848-BE8A-18A3286E0B5A}" name="PART NO" dataDxfId="12"/>
    <tableColumn id="13" xr3:uid="{414FF234-ECDE-4B44-B590-BA9CE2B32EB2}" name="NAME / DESCRIPTION" dataDxfId="11"/>
    <tableColumn id="14" xr3:uid="{20CEB52D-81A7-B74A-8BDB-F4E924EB6B96}" name="REV" dataDxfId="10"/>
    <tableColumn id="15" xr3:uid="{DB81106F-358E-4746-8584-1F4A3E6E7896}" name="QTY" dataDxfId="9"/>
    <tableColumn id="16" xr3:uid="{9EA45750-240A-4142-93EC-2287ABF4A484}" name="UOM" dataDxfId="8"/>
    <tableColumn id="17" xr3:uid="{A52D88B2-DA44-4040-897A-447501D7ACF7}" name="REF DES" dataDxfId="7"/>
    <tableColumn id="19" xr3:uid="{630DAA25-AA92-7048-AE2C-D97A6F8F841E}" name="M/B" dataDxfId="6"/>
    <tableColumn id="25" xr3:uid="{9DA4BDBE-9E02-F14A-8540-1D9EFB6195BA}" name="SUPPLIER" dataDxfId="5"/>
    <tableColumn id="26" xr3:uid="{2BC0F727-78E8-AC44-8A83-0BB8036C4CCA}" name="SUPPLIER P/N" dataDxfId="4"/>
    <tableColumn id="27" xr3:uid="{7A29D018-228E-1E41-A393-9625C4537AD2}" name="COST" dataDxfId="3"/>
    <tableColumn id="28" xr3:uid="{79EDCFAF-0747-9645-AF12-EC42F6C48CDF}" name="MATERIAL" dataDxfId="2"/>
    <tableColumn id="29" xr3:uid="{DEB8BBA7-67F1-FD43-B9B4-B498796E5763}" name="FINISH" dataDxfId="1"/>
    <tableColumn id="18" xr3:uid="{D0419168-8DF6-4E49-BADC-B5110402D70F}" name="NOTES" dataDxfId="0"/>
  </tableColumns>
  <tableStyleInfo name="TableStyleLight1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9.bin"/><Relationship Id="rId4" Type="http://schemas.openxmlformats.org/officeDocument/2006/relationships/ctrlProp" Target="../ctrlProps/ctrlProp1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E95A06-A446-5E48-9B63-8D1A444F5103}">
  <sheetPr codeName="Sheet1"/>
  <dimension ref="A1:H13"/>
  <sheetViews>
    <sheetView zoomScale="75" workbookViewId="0">
      <selection activeCell="C1" sqref="C1:H1"/>
    </sheetView>
  </sheetViews>
  <sheetFormatPr baseColWidth="10" defaultColWidth="10.83203125" defaultRowHeight="16" x14ac:dyDescent="0.2"/>
  <cols>
    <col min="1" max="1" width="8.1640625" style="14" customWidth="1"/>
    <col min="2" max="2" width="38.5" style="14" customWidth="1"/>
    <col min="3" max="3" width="43.5" style="14" customWidth="1"/>
    <col min="4" max="4" width="32.33203125" style="14" customWidth="1"/>
    <col min="5" max="5" width="39.33203125" style="14" bestFit="1" customWidth="1"/>
    <col min="6" max="6" width="25.33203125" style="14" bestFit="1" customWidth="1"/>
    <col min="7" max="7" width="35.6640625" style="14" bestFit="1" customWidth="1"/>
    <col min="8" max="8" width="38" style="14" customWidth="1"/>
    <col min="9" max="16384" width="10.83203125" style="14"/>
  </cols>
  <sheetData>
    <row r="1" spans="1:8" s="22" customFormat="1" ht="31" customHeight="1" x14ac:dyDescent="0.2">
      <c r="A1" s="1" t="s">
        <v>0</v>
      </c>
      <c r="B1" s="2" t="s">
        <v>136</v>
      </c>
      <c r="C1" s="250" t="s">
        <v>137</v>
      </c>
      <c r="D1" s="250"/>
      <c r="E1" s="250"/>
      <c r="F1" s="250"/>
      <c r="G1" s="250"/>
      <c r="H1" s="250"/>
    </row>
    <row r="2" spans="1:8" ht="31" customHeight="1" x14ac:dyDescent="0.2">
      <c r="A2" s="4">
        <v>1</v>
      </c>
      <c r="B2" s="17" t="s">
        <v>84</v>
      </c>
      <c r="C2" s="36" t="s">
        <v>138</v>
      </c>
      <c r="D2" s="251" t="s">
        <v>139</v>
      </c>
      <c r="E2" s="252"/>
      <c r="F2" s="251" t="s">
        <v>85</v>
      </c>
      <c r="G2" s="252"/>
      <c r="H2" s="4" t="s">
        <v>86</v>
      </c>
    </row>
    <row r="3" spans="1:8" ht="31" customHeight="1" x14ac:dyDescent="0.2">
      <c r="A3" s="4">
        <v>2</v>
      </c>
      <c r="B3" s="18" t="s">
        <v>87</v>
      </c>
      <c r="C3" s="36" t="s">
        <v>88</v>
      </c>
      <c r="D3" s="253" t="s">
        <v>89</v>
      </c>
      <c r="E3" s="254"/>
      <c r="F3" s="251" t="s">
        <v>90</v>
      </c>
      <c r="G3" s="252"/>
      <c r="H3" s="4" t="s">
        <v>91</v>
      </c>
    </row>
    <row r="4" spans="1:8" ht="31" customHeight="1" x14ac:dyDescent="0.2">
      <c r="A4" s="4">
        <v>3</v>
      </c>
      <c r="B4" s="18" t="s">
        <v>92</v>
      </c>
      <c r="C4" s="253" t="s">
        <v>93</v>
      </c>
      <c r="D4" s="254"/>
      <c r="E4" s="251" t="s">
        <v>94</v>
      </c>
      <c r="F4" s="252"/>
      <c r="G4" s="251" t="s">
        <v>95</v>
      </c>
      <c r="H4" s="252"/>
    </row>
    <row r="5" spans="1:8" ht="31" customHeight="1" x14ac:dyDescent="0.2">
      <c r="A5" s="4">
        <v>4</v>
      </c>
      <c r="B5" s="18" t="s">
        <v>96</v>
      </c>
      <c r="C5" s="36" t="s">
        <v>97</v>
      </c>
      <c r="D5" s="251" t="s">
        <v>98</v>
      </c>
      <c r="E5" s="252"/>
      <c r="F5" s="251" t="s">
        <v>99</v>
      </c>
      <c r="G5" s="252"/>
      <c r="H5" s="4" t="s">
        <v>100</v>
      </c>
    </row>
    <row r="6" spans="1:8" ht="31" customHeight="1" x14ac:dyDescent="0.2">
      <c r="A6" s="4">
        <v>5</v>
      </c>
      <c r="B6" s="18" t="s">
        <v>101</v>
      </c>
      <c r="C6" s="253" t="s">
        <v>98</v>
      </c>
      <c r="D6" s="254"/>
      <c r="E6" s="251" t="s">
        <v>102</v>
      </c>
      <c r="F6" s="252"/>
      <c r="G6" s="251" t="s">
        <v>103</v>
      </c>
      <c r="H6" s="252"/>
    </row>
    <row r="7" spans="1:8" ht="31" customHeight="1" x14ac:dyDescent="0.2">
      <c r="A7" s="4">
        <v>6</v>
      </c>
      <c r="B7" s="18" t="s">
        <v>104</v>
      </c>
      <c r="C7" s="253" t="s">
        <v>105</v>
      </c>
      <c r="D7" s="254"/>
      <c r="E7" s="4" t="s">
        <v>106</v>
      </c>
      <c r="F7" s="4"/>
      <c r="G7" s="4" t="s">
        <v>107</v>
      </c>
      <c r="H7" s="4"/>
    </row>
    <row r="8" spans="1:8" ht="31" customHeight="1" x14ac:dyDescent="0.2">
      <c r="A8" s="4">
        <v>7</v>
      </c>
      <c r="B8" s="18" t="s">
        <v>108</v>
      </c>
      <c r="C8" s="36" t="s">
        <v>109</v>
      </c>
      <c r="D8" s="253" t="s">
        <v>110</v>
      </c>
      <c r="E8" s="254"/>
      <c r="F8" s="251" t="s">
        <v>111</v>
      </c>
      <c r="G8" s="252"/>
      <c r="H8" s="4" t="s">
        <v>112</v>
      </c>
    </row>
    <row r="9" spans="1:8" ht="31" customHeight="1" x14ac:dyDescent="0.2">
      <c r="A9" s="4">
        <v>8</v>
      </c>
      <c r="B9" s="18" t="s">
        <v>113</v>
      </c>
      <c r="C9" s="36" t="s">
        <v>114</v>
      </c>
      <c r="D9" s="253" t="s">
        <v>115</v>
      </c>
      <c r="E9" s="254"/>
      <c r="F9" s="251" t="s">
        <v>116</v>
      </c>
      <c r="G9" s="252"/>
      <c r="H9" s="4" t="s">
        <v>117</v>
      </c>
    </row>
    <row r="10" spans="1:8" ht="31" customHeight="1" x14ac:dyDescent="0.2">
      <c r="A10" s="4">
        <v>9</v>
      </c>
      <c r="B10" s="18" t="s">
        <v>118</v>
      </c>
      <c r="C10" s="36" t="s">
        <v>119</v>
      </c>
      <c r="D10" s="253" t="s">
        <v>120</v>
      </c>
      <c r="E10" s="254"/>
      <c r="F10" s="251" t="s">
        <v>121</v>
      </c>
      <c r="G10" s="252"/>
      <c r="H10" s="4" t="s">
        <v>122</v>
      </c>
    </row>
    <row r="11" spans="1:8" ht="31" customHeight="1" x14ac:dyDescent="0.2">
      <c r="A11" s="4">
        <v>10</v>
      </c>
      <c r="B11" s="18" t="s">
        <v>123</v>
      </c>
      <c r="C11" s="36" t="s">
        <v>124</v>
      </c>
      <c r="D11" s="253" t="s">
        <v>125</v>
      </c>
      <c r="E11" s="254"/>
      <c r="F11" s="251" t="s">
        <v>126</v>
      </c>
      <c r="G11" s="252"/>
      <c r="H11" s="4" t="s">
        <v>127</v>
      </c>
    </row>
    <row r="12" spans="1:8" ht="31" customHeight="1" x14ac:dyDescent="0.2">
      <c r="A12" s="4">
        <v>11</v>
      </c>
      <c r="B12" s="18" t="s">
        <v>128</v>
      </c>
      <c r="C12" s="253" t="s">
        <v>129</v>
      </c>
      <c r="D12" s="254"/>
      <c r="E12" s="251" t="s">
        <v>130</v>
      </c>
      <c r="F12" s="252"/>
      <c r="G12" s="251" t="s">
        <v>131</v>
      </c>
      <c r="H12" s="252"/>
    </row>
    <row r="13" spans="1:8" ht="31" customHeight="1" x14ac:dyDescent="0.2">
      <c r="A13" s="4">
        <v>12</v>
      </c>
      <c r="B13" s="18" t="s">
        <v>132</v>
      </c>
      <c r="C13" s="253" t="s">
        <v>133</v>
      </c>
      <c r="D13" s="254"/>
      <c r="E13" s="251" t="s">
        <v>134</v>
      </c>
      <c r="F13" s="252"/>
      <c r="G13" s="251" t="s">
        <v>135</v>
      </c>
      <c r="H13" s="252"/>
    </row>
  </sheetData>
  <mergeCells count="28">
    <mergeCell ref="F5:G5"/>
    <mergeCell ref="D2:E2"/>
    <mergeCell ref="C13:D13"/>
    <mergeCell ref="E13:F13"/>
    <mergeCell ref="G13:H13"/>
    <mergeCell ref="D8:E8"/>
    <mergeCell ref="F8:G8"/>
    <mergeCell ref="D9:E9"/>
    <mergeCell ref="F9:G9"/>
    <mergeCell ref="D10:E10"/>
    <mergeCell ref="F10:G10"/>
    <mergeCell ref="C7:D7"/>
    <mergeCell ref="C1:H1"/>
    <mergeCell ref="F2:G2"/>
    <mergeCell ref="D11:E11"/>
    <mergeCell ref="F11:G11"/>
    <mergeCell ref="C12:D12"/>
    <mergeCell ref="E12:F12"/>
    <mergeCell ref="G12:H12"/>
    <mergeCell ref="C6:D6"/>
    <mergeCell ref="E6:F6"/>
    <mergeCell ref="G6:H6"/>
    <mergeCell ref="D3:E3"/>
    <mergeCell ref="F3:G3"/>
    <mergeCell ref="C4:D4"/>
    <mergeCell ref="E4:F4"/>
    <mergeCell ref="G4:H4"/>
    <mergeCell ref="D5:E5"/>
  </mergeCells>
  <pageMargins left="0.7" right="0.7" top="0.75" bottom="0.75" header="0.3" footer="0.3"/>
  <pageSetup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825C12-149C-E140-BA06-D883A47A4121}">
  <sheetPr codeName="Sheet2"/>
  <dimension ref="A1:Z64"/>
  <sheetViews>
    <sheetView topLeftCell="U1" workbookViewId="0">
      <selection activeCell="Y4" sqref="Y4"/>
    </sheetView>
  </sheetViews>
  <sheetFormatPr baseColWidth="10" defaultRowHeight="16" x14ac:dyDescent="0.2"/>
  <cols>
    <col min="1" max="1" width="18.1640625" bestFit="1" customWidth="1"/>
    <col min="2" max="2" width="86.5" bestFit="1" customWidth="1"/>
    <col min="4" max="4" width="18.1640625" bestFit="1" customWidth="1"/>
    <col min="5" max="5" width="14.83203125" customWidth="1"/>
    <col min="6" max="6" width="62" bestFit="1" customWidth="1"/>
    <col min="7" max="7" width="19.6640625" customWidth="1"/>
    <col min="8" max="8" width="5.6640625" bestFit="1" customWidth="1"/>
    <col min="9" max="9" width="12.33203125" bestFit="1" customWidth="1"/>
    <col min="10" max="10" width="5.6640625" bestFit="1" customWidth="1"/>
    <col min="11" max="11" width="12.33203125" bestFit="1" customWidth="1"/>
    <col min="12" max="12" width="5.6640625" bestFit="1" customWidth="1"/>
    <col min="13" max="13" width="12.33203125" bestFit="1" customWidth="1"/>
    <col min="15" max="15" width="25.6640625" customWidth="1"/>
    <col min="16" max="16" width="12.6640625" customWidth="1"/>
    <col min="17" max="17" width="18" bestFit="1" customWidth="1"/>
    <col min="18" max="18" width="20.1640625" customWidth="1"/>
    <col min="19" max="19" width="18.6640625" bestFit="1" customWidth="1"/>
    <col min="20" max="20" width="13" bestFit="1" customWidth="1"/>
    <col min="21" max="21" width="17" bestFit="1" customWidth="1"/>
    <col min="22" max="22" width="13.6640625" bestFit="1" customWidth="1"/>
    <col min="23" max="23" width="24.5" customWidth="1"/>
    <col min="24" max="24" width="11.5" bestFit="1" customWidth="1"/>
    <col min="25" max="25" width="12.83203125" bestFit="1" customWidth="1"/>
    <col min="26" max="26" width="15" bestFit="1" customWidth="1"/>
  </cols>
  <sheetData>
    <row r="1" spans="1:26" ht="17" thickBot="1" x14ac:dyDescent="0.25">
      <c r="A1" s="183" t="s">
        <v>83</v>
      </c>
      <c r="B1" s="183" t="s">
        <v>140</v>
      </c>
      <c r="D1" s="255" t="s">
        <v>142</v>
      </c>
      <c r="E1" s="256"/>
      <c r="F1" s="256"/>
      <c r="G1" s="256"/>
      <c r="H1" s="256"/>
      <c r="I1" s="256"/>
      <c r="J1" s="256"/>
      <c r="K1" s="256"/>
      <c r="L1" s="256"/>
      <c r="M1" s="257"/>
      <c r="O1" s="21"/>
      <c r="P1" s="21"/>
      <c r="Q1" s="21"/>
      <c r="R1" s="21"/>
      <c r="S1" s="21"/>
      <c r="T1" s="21"/>
      <c r="U1" s="21"/>
      <c r="V1" s="21"/>
      <c r="W1" s="21"/>
      <c r="X1" s="21"/>
      <c r="Y1" s="21"/>
      <c r="Z1" s="21"/>
    </row>
    <row r="2" spans="1:26" ht="17" customHeight="1" x14ac:dyDescent="0.2">
      <c r="A2" s="3" t="s">
        <v>891</v>
      </c>
      <c r="B2" s="3" t="s">
        <v>10</v>
      </c>
      <c r="D2" s="31"/>
      <c r="E2" s="21"/>
      <c r="F2" s="21"/>
      <c r="G2" s="21"/>
      <c r="H2" s="258" t="s">
        <v>1</v>
      </c>
      <c r="I2" s="259"/>
      <c r="J2" s="258" t="s">
        <v>2</v>
      </c>
      <c r="K2" s="259"/>
      <c r="L2" s="258" t="s">
        <v>3</v>
      </c>
      <c r="M2" s="259"/>
      <c r="O2" s="260" t="s">
        <v>141</v>
      </c>
      <c r="P2" s="260"/>
      <c r="Q2" s="260"/>
      <c r="R2" s="260"/>
      <c r="S2" s="260"/>
      <c r="T2" s="260"/>
      <c r="U2" s="260"/>
      <c r="V2" s="260"/>
      <c r="W2" s="260"/>
      <c r="X2" s="260"/>
      <c r="Y2" s="260"/>
      <c r="Z2" s="260"/>
    </row>
    <row r="3" spans="1:26" x14ac:dyDescent="0.2">
      <c r="A3" s="3"/>
      <c r="B3" s="3" t="s">
        <v>11</v>
      </c>
      <c r="D3" s="7" t="s">
        <v>4</v>
      </c>
      <c r="E3" s="5" t="s">
        <v>5</v>
      </c>
      <c r="F3" s="5" t="s">
        <v>6</v>
      </c>
      <c r="G3" s="6" t="s">
        <v>7</v>
      </c>
      <c r="H3" s="7" t="s">
        <v>8</v>
      </c>
      <c r="I3" s="8" t="s">
        <v>9</v>
      </c>
      <c r="J3" s="7" t="s">
        <v>8</v>
      </c>
      <c r="K3" s="8" t="s">
        <v>9</v>
      </c>
      <c r="L3" s="7" t="s">
        <v>8</v>
      </c>
      <c r="M3" s="8" t="s">
        <v>9</v>
      </c>
      <c r="O3" s="21"/>
      <c r="P3" s="16" t="str">
        <f t="array" ref="P3:W3">TRANSPOSE(O4:O11)</f>
        <v>Proximity to seaports</v>
      </c>
      <c r="Q3" s="16" t="str">
        <v>Proximity to airports</v>
      </c>
      <c r="R3" s="16" t="str">
        <v>Quality of the workforce: capabilities, work ethics in the community, etc.</v>
      </c>
      <c r="S3" s="16" t="str">
        <v>Relevant subventions</v>
      </c>
      <c r="T3" s="16" t="str">
        <v xml:space="preserve">Property price </v>
      </c>
      <c r="U3" s="16" t="str">
        <v>Ground water level</v>
      </c>
      <c r="V3" s="16" t="str">
        <v>Electricity price</v>
      </c>
      <c r="W3" s="16" t="str">
        <v>Number and type of facilities</v>
      </c>
      <c r="X3" s="15" t="s">
        <v>892</v>
      </c>
      <c r="Y3" s="16" t="s">
        <v>893</v>
      </c>
      <c r="Z3" s="16" t="s">
        <v>894</v>
      </c>
    </row>
    <row r="4" spans="1:26" x14ac:dyDescent="0.2">
      <c r="A4" s="3"/>
      <c r="B4" s="3" t="s">
        <v>14</v>
      </c>
      <c r="D4" s="10" t="str">
        <f>A2</f>
        <v>Traffic conditions</v>
      </c>
      <c r="E4" s="9">
        <f>SUM(G4:G5)</f>
        <v>0.24324324324324326</v>
      </c>
      <c r="F4" s="3" t="str">
        <f>B6</f>
        <v>Proximity to seaports</v>
      </c>
      <c r="G4" s="185">
        <f>Z4</f>
        <v>0.12162162162162163</v>
      </c>
      <c r="H4" s="10">
        <v>10</v>
      </c>
      <c r="I4" s="11">
        <f>H4*G4</f>
        <v>1.2162162162162162</v>
      </c>
      <c r="J4" s="10">
        <v>0</v>
      </c>
      <c r="K4" s="11">
        <f>J4*G4</f>
        <v>0</v>
      </c>
      <c r="L4" s="10">
        <v>0</v>
      </c>
      <c r="M4" s="11">
        <f>L4*G4</f>
        <v>0</v>
      </c>
      <c r="O4" s="16" t="str">
        <f>F4</f>
        <v>Proximity to seaports</v>
      </c>
      <c r="P4" s="19"/>
      <c r="Q4" s="3">
        <v>1</v>
      </c>
      <c r="R4" s="3">
        <v>-1</v>
      </c>
      <c r="S4" s="3">
        <v>-1</v>
      </c>
      <c r="T4" s="3">
        <v>-1</v>
      </c>
      <c r="U4" s="12">
        <v>1</v>
      </c>
      <c r="V4" s="3">
        <v>-1</v>
      </c>
      <c r="W4" s="3">
        <v>-1</v>
      </c>
      <c r="X4" s="3">
        <f>SUM(P4:W4)</f>
        <v>-3</v>
      </c>
      <c r="Y4" s="3" cm="1">
        <f t="array" ref="Y4">X4+(ROUNDUP(MAX(ABS($X$4:$X$11)), -1))</f>
        <v>27</v>
      </c>
      <c r="Z4" s="9">
        <f>Y4/$Y$12</f>
        <v>0.12162162162162163</v>
      </c>
    </row>
    <row r="5" spans="1:26" x14ac:dyDescent="0.2">
      <c r="A5" s="3"/>
      <c r="B5" s="3" t="s">
        <v>16</v>
      </c>
      <c r="D5" s="10"/>
      <c r="E5" s="3"/>
      <c r="F5" s="3" t="str">
        <f>B7</f>
        <v>Proximity to airports</v>
      </c>
      <c r="G5" s="185">
        <f t="shared" ref="G5:G11" si="0">Z5</f>
        <v>0.12162162162162163</v>
      </c>
      <c r="H5" s="10">
        <v>9</v>
      </c>
      <c r="I5" s="11">
        <f t="shared" ref="I5:I11" si="1">H5*G5</f>
        <v>1.0945945945945947</v>
      </c>
      <c r="J5" s="10">
        <v>10</v>
      </c>
      <c r="K5" s="11">
        <f t="shared" ref="K5:K11" si="2">J5*G5</f>
        <v>1.2162162162162162</v>
      </c>
      <c r="L5" s="10">
        <v>10</v>
      </c>
      <c r="M5" s="11">
        <f t="shared" ref="M5:M11" si="3">L5*G5</f>
        <v>1.2162162162162162</v>
      </c>
      <c r="O5" s="16" t="str">
        <f t="shared" ref="O5:O11" si="4">F5</f>
        <v>Proximity to airports</v>
      </c>
      <c r="P5" s="3">
        <f t="array" ref="P5:P11">TRANSPOSE(Q4:W4*(-1))</f>
        <v>-1</v>
      </c>
      <c r="Q5" s="19"/>
      <c r="R5" s="3">
        <v>-1</v>
      </c>
      <c r="S5" s="3">
        <v>-1</v>
      </c>
      <c r="T5" s="3">
        <v>-1</v>
      </c>
      <c r="U5" s="12">
        <v>1</v>
      </c>
      <c r="V5" s="3">
        <v>-1</v>
      </c>
      <c r="W5" s="3">
        <v>1</v>
      </c>
      <c r="X5" s="3">
        <f t="shared" ref="X5:X8" si="5">SUM(P5:W5)</f>
        <v>-3</v>
      </c>
      <c r="Y5" s="3" cm="1">
        <f t="array" ref="Y5">X5+(ROUNDUP(MAX(ABS($X$4:$X$11)), -1))</f>
        <v>27</v>
      </c>
      <c r="Z5" s="9">
        <f t="shared" ref="Z5:Z11" si="6">Y5/$Y$12</f>
        <v>0.12162162162162163</v>
      </c>
    </row>
    <row r="6" spans="1:26" x14ac:dyDescent="0.2">
      <c r="A6" s="3"/>
      <c r="B6" s="3" t="s">
        <v>895</v>
      </c>
      <c r="D6" s="10" t="str">
        <f>A8</f>
        <v>Workforce</v>
      </c>
      <c r="E6" s="9">
        <f>G6</f>
        <v>0.16666666666666666</v>
      </c>
      <c r="F6" s="3" t="str">
        <f>B10</f>
        <v>Quality of the workforce: capabilities, work ethics in the community, etc.</v>
      </c>
      <c r="G6" s="185">
        <f t="shared" si="0"/>
        <v>0.16666666666666666</v>
      </c>
      <c r="H6" s="10">
        <v>9</v>
      </c>
      <c r="I6" s="11">
        <f t="shared" si="1"/>
        <v>1.5</v>
      </c>
      <c r="J6" s="10">
        <v>10</v>
      </c>
      <c r="K6" s="11">
        <f t="shared" si="2"/>
        <v>1.6666666666666665</v>
      </c>
      <c r="L6" s="10">
        <v>6</v>
      </c>
      <c r="M6" s="11">
        <f t="shared" si="3"/>
        <v>1</v>
      </c>
      <c r="O6" s="16" t="str">
        <f t="shared" si="4"/>
        <v>Quality of the workforce: capabilities, work ethics in the community, etc.</v>
      </c>
      <c r="P6" s="3">
        <v>1</v>
      </c>
      <c r="Q6" s="3">
        <f t="array" ref="Q6:Q11">TRANSPOSE(R5:W5*(-1))</f>
        <v>1</v>
      </c>
      <c r="R6" s="19"/>
      <c r="S6" s="3">
        <v>1</v>
      </c>
      <c r="T6" s="3">
        <v>1</v>
      </c>
      <c r="U6" s="12">
        <v>1</v>
      </c>
      <c r="V6" s="3">
        <v>1</v>
      </c>
      <c r="W6" s="3">
        <v>1</v>
      </c>
      <c r="X6" s="3">
        <f t="shared" si="5"/>
        <v>7</v>
      </c>
      <c r="Y6" s="3" cm="1">
        <f t="array" ref="Y6">X6+(ROUNDUP(MAX(ABS($X$4:$X$11)), -1))</f>
        <v>37</v>
      </c>
      <c r="Z6" s="9">
        <f t="shared" si="6"/>
        <v>0.16666666666666666</v>
      </c>
    </row>
    <row r="7" spans="1:26" x14ac:dyDescent="0.2">
      <c r="A7" s="3"/>
      <c r="B7" s="3" t="s">
        <v>19</v>
      </c>
      <c r="D7" s="10" t="str">
        <f>A24</f>
        <v>Taxes &amp; Subventions</v>
      </c>
      <c r="E7" s="9">
        <f t="shared" ref="E7" si="7">G7</f>
        <v>0.14864864864864866</v>
      </c>
      <c r="F7" s="3" t="str">
        <f>B27</f>
        <v>Relevant subventions</v>
      </c>
      <c r="G7" s="185">
        <f t="shared" si="0"/>
        <v>0.14864864864864866</v>
      </c>
      <c r="H7" s="10">
        <v>9</v>
      </c>
      <c r="I7" s="11">
        <f t="shared" si="1"/>
        <v>1.3378378378378379</v>
      </c>
      <c r="J7" s="10">
        <v>3</v>
      </c>
      <c r="K7" s="11">
        <f t="shared" si="2"/>
        <v>0.44594594594594594</v>
      </c>
      <c r="L7" s="10">
        <v>2</v>
      </c>
      <c r="M7" s="11">
        <f t="shared" si="3"/>
        <v>0.29729729729729731</v>
      </c>
      <c r="O7" s="16" t="str">
        <f t="shared" si="4"/>
        <v>Relevant subventions</v>
      </c>
      <c r="P7" s="3">
        <v>1</v>
      </c>
      <c r="Q7" s="3">
        <v>1</v>
      </c>
      <c r="R7" s="3">
        <f t="array" ref="R7:R11">TRANSPOSE(S6:W6*(-1))</f>
        <v>-1</v>
      </c>
      <c r="S7" s="19"/>
      <c r="T7" s="3">
        <v>1</v>
      </c>
      <c r="U7" s="12">
        <v>1</v>
      </c>
      <c r="V7" s="3">
        <v>-1</v>
      </c>
      <c r="W7" s="3">
        <v>1</v>
      </c>
      <c r="X7" s="3">
        <f t="shared" si="5"/>
        <v>3</v>
      </c>
      <c r="Y7" s="3" cm="1">
        <f t="array" ref="Y7">X7+(ROUNDUP(MAX(ABS($X$4:$X$11)), -1))</f>
        <v>33</v>
      </c>
      <c r="Z7" s="9">
        <f t="shared" si="6"/>
        <v>0.14864864864864866</v>
      </c>
    </row>
    <row r="8" spans="1:26" x14ac:dyDescent="0.2">
      <c r="A8" s="3" t="s">
        <v>12</v>
      </c>
      <c r="B8" s="3" t="s">
        <v>20</v>
      </c>
      <c r="D8" s="10" t="str">
        <f>A34</f>
        <v>Property</v>
      </c>
      <c r="E8" s="9">
        <f>SUM(G8:G9)</f>
        <v>0.17117117117117114</v>
      </c>
      <c r="F8" s="3" t="str">
        <f>B35</f>
        <v xml:space="preserve">Property price </v>
      </c>
      <c r="G8" s="185">
        <f t="shared" si="0"/>
        <v>0.13963963963963963</v>
      </c>
      <c r="H8" s="10">
        <v>9</v>
      </c>
      <c r="I8" s="11">
        <f t="shared" si="1"/>
        <v>1.2567567567567566</v>
      </c>
      <c r="J8" s="10">
        <v>5</v>
      </c>
      <c r="K8" s="11">
        <f t="shared" si="2"/>
        <v>0.69819819819819817</v>
      </c>
      <c r="L8" s="10">
        <v>7</v>
      </c>
      <c r="M8" s="11">
        <f t="shared" si="3"/>
        <v>0.97747747747747737</v>
      </c>
      <c r="O8" s="16" t="str">
        <f t="shared" si="4"/>
        <v xml:space="preserve">Property price </v>
      </c>
      <c r="P8" s="3">
        <v>1</v>
      </c>
      <c r="Q8" s="3">
        <v>1</v>
      </c>
      <c r="R8" s="3">
        <v>-1</v>
      </c>
      <c r="S8" s="3">
        <f t="array" ref="S8:S11">TRANSPOSE(T7:W7*(-1))</f>
        <v>-1</v>
      </c>
      <c r="T8" s="19"/>
      <c r="U8" s="12">
        <v>1</v>
      </c>
      <c r="V8" s="3">
        <v>-1</v>
      </c>
      <c r="W8" s="3">
        <v>1</v>
      </c>
      <c r="X8" s="3">
        <f t="shared" si="5"/>
        <v>1</v>
      </c>
      <c r="Y8" s="3" cm="1">
        <f t="array" ref="Y8">X8+(ROUNDUP(MAX(ABS($X$4:$X$11)), -1))</f>
        <v>31</v>
      </c>
      <c r="Z8" s="9">
        <f t="shared" si="6"/>
        <v>0.13963963963963963</v>
      </c>
    </row>
    <row r="9" spans="1:26" x14ac:dyDescent="0.2">
      <c r="A9" s="3"/>
      <c r="B9" s="3" t="s">
        <v>21</v>
      </c>
      <c r="F9" t="str">
        <f>B43</f>
        <v>Ground water level</v>
      </c>
      <c r="G9" s="185">
        <f t="shared" si="0"/>
        <v>3.1531531531531529E-2</v>
      </c>
      <c r="H9" s="10">
        <v>9</v>
      </c>
      <c r="I9" s="11">
        <f t="shared" si="1"/>
        <v>0.28378378378378377</v>
      </c>
      <c r="J9" s="10">
        <v>2</v>
      </c>
      <c r="K9" s="11">
        <f t="shared" si="2"/>
        <v>6.3063063063063057E-2</v>
      </c>
      <c r="L9" s="10">
        <v>2</v>
      </c>
      <c r="M9" s="11">
        <f t="shared" si="3"/>
        <v>6.3063063063063057E-2</v>
      </c>
      <c r="O9" s="16" t="str">
        <f t="shared" si="4"/>
        <v>Ground water level</v>
      </c>
      <c r="P9" s="3">
        <v>-1</v>
      </c>
      <c r="Q9" s="3">
        <v>-1</v>
      </c>
      <c r="R9" s="3">
        <v>-1</v>
      </c>
      <c r="S9" s="3">
        <v>-1</v>
      </c>
      <c r="T9" s="3">
        <f t="array" ref="T9:T11">TRANSPOSE(U8:W8*(-1))</f>
        <v>-1</v>
      </c>
      <c r="U9" s="20"/>
      <c r="V9" s="3">
        <v>-1</v>
      </c>
      <c r="W9" s="3">
        <v>1</v>
      </c>
      <c r="X9" s="3">
        <v>-23</v>
      </c>
      <c r="Y9" s="3" cm="1">
        <f t="array" ref="Y9">X9+(ROUNDUP(MAX(ABS($X$4:$X$11)), -1))</f>
        <v>7</v>
      </c>
      <c r="Z9" s="9">
        <f t="shared" si="6"/>
        <v>3.1531531531531529E-2</v>
      </c>
    </row>
    <row r="10" spans="1:26" x14ac:dyDescent="0.2">
      <c r="A10" s="3"/>
      <c r="B10" s="3" t="s">
        <v>22</v>
      </c>
      <c r="D10" s="10" t="str">
        <f>A45</f>
        <v>Energy supply</v>
      </c>
      <c r="E10" s="9">
        <f>G10</f>
        <v>0.15765765765765766</v>
      </c>
      <c r="F10" s="3" t="str">
        <f>B46</f>
        <v>Electricity price</v>
      </c>
      <c r="G10" s="185">
        <f t="shared" si="0"/>
        <v>0.15765765765765766</v>
      </c>
      <c r="H10" s="10">
        <v>8</v>
      </c>
      <c r="I10" s="11">
        <f t="shared" si="1"/>
        <v>1.2612612612612613</v>
      </c>
      <c r="J10" s="10">
        <v>4</v>
      </c>
      <c r="K10" s="11">
        <f t="shared" si="2"/>
        <v>0.63063063063063063</v>
      </c>
      <c r="L10" s="10">
        <v>10</v>
      </c>
      <c r="M10" s="11">
        <f t="shared" si="3"/>
        <v>1.5765765765765765</v>
      </c>
      <c r="O10" s="16" t="str">
        <f t="shared" si="4"/>
        <v>Electricity price</v>
      </c>
      <c r="P10" s="3">
        <v>1</v>
      </c>
      <c r="Q10" s="3">
        <v>1</v>
      </c>
      <c r="R10" s="3">
        <v>-1</v>
      </c>
      <c r="S10" s="3">
        <v>1</v>
      </c>
      <c r="T10" s="3">
        <v>1</v>
      </c>
      <c r="U10" s="3">
        <f t="array" ref="U10:U11">TRANSPOSE(V9:W9*(-1))</f>
        <v>1</v>
      </c>
      <c r="V10" s="19"/>
      <c r="W10" s="3">
        <v>1</v>
      </c>
      <c r="X10" s="3">
        <f t="shared" ref="X10:X11" si="8">SUM(P10:W10)</f>
        <v>5</v>
      </c>
      <c r="Y10" s="3" cm="1">
        <f t="array" ref="Y10">X10+(ROUNDUP(MAX(ABS($X$4:$X$11)), -1))</f>
        <v>35</v>
      </c>
      <c r="Z10" s="9">
        <f t="shared" si="6"/>
        <v>0.15765765765765766</v>
      </c>
    </row>
    <row r="11" spans="1:26" x14ac:dyDescent="0.2">
      <c r="A11" s="3"/>
      <c r="B11" s="3" t="s">
        <v>23</v>
      </c>
      <c r="D11" s="10" t="str">
        <f>A55</f>
        <v>Neighbor facilities</v>
      </c>
      <c r="E11" s="9">
        <f>G11</f>
        <v>0.11261261261261261</v>
      </c>
      <c r="F11" s="3" t="str">
        <f>B55</f>
        <v>Number and type of facilities</v>
      </c>
      <c r="G11" s="185">
        <f t="shared" si="0"/>
        <v>0.11261261261261261</v>
      </c>
      <c r="H11" s="10">
        <v>9</v>
      </c>
      <c r="I11" s="11">
        <f t="shared" si="1"/>
        <v>1.0135135135135136</v>
      </c>
      <c r="J11" s="10">
        <v>9</v>
      </c>
      <c r="K11" s="11">
        <f t="shared" si="2"/>
        <v>1.0135135135135136</v>
      </c>
      <c r="L11" s="10">
        <v>5</v>
      </c>
      <c r="M11" s="11">
        <f t="shared" si="3"/>
        <v>0.56306306306306309</v>
      </c>
      <c r="O11" s="16" t="str">
        <f t="shared" si="4"/>
        <v>Number and type of facilities</v>
      </c>
      <c r="P11" s="3">
        <v>1</v>
      </c>
      <c r="Q11" s="3">
        <v>-1</v>
      </c>
      <c r="R11" s="3">
        <v>-1</v>
      </c>
      <c r="S11" s="3">
        <v>-1</v>
      </c>
      <c r="T11" s="3">
        <v>-1</v>
      </c>
      <c r="U11" s="3">
        <v>-1</v>
      </c>
      <c r="V11" s="3">
        <f t="array" ref="V11">TRANSPOSE(W10*(-1))</f>
        <v>-1</v>
      </c>
      <c r="W11" s="19"/>
      <c r="X11" s="3">
        <f t="shared" si="8"/>
        <v>-5</v>
      </c>
      <c r="Y11" s="3" cm="1">
        <f t="array" ref="Y11">X11+(ROUNDUP(MAX(ABS($X$4:$X$11)), -1))</f>
        <v>25</v>
      </c>
      <c r="Z11" s="9">
        <f t="shared" si="6"/>
        <v>0.11261261261261261</v>
      </c>
    </row>
    <row r="12" spans="1:26" x14ac:dyDescent="0.2">
      <c r="A12" s="3"/>
      <c r="B12" s="3" t="s">
        <v>24</v>
      </c>
      <c r="D12" s="10"/>
      <c r="E12" s="3"/>
      <c r="F12" s="3"/>
      <c r="G12" s="12"/>
      <c r="H12" s="10"/>
      <c r="I12" s="11"/>
      <c r="J12" s="10"/>
      <c r="K12" s="11"/>
      <c r="L12" s="10"/>
      <c r="M12" s="11"/>
      <c r="Y12" s="3">
        <f>SUM(Y4:Y11)</f>
        <v>222</v>
      </c>
      <c r="Z12" s="9"/>
    </row>
    <row r="13" spans="1:26" x14ac:dyDescent="0.2">
      <c r="A13" s="3"/>
      <c r="B13" s="3" t="s">
        <v>25</v>
      </c>
      <c r="D13" s="10"/>
      <c r="E13" s="3"/>
      <c r="F13" s="3"/>
      <c r="G13" s="12"/>
      <c r="H13" s="10"/>
      <c r="I13" s="11"/>
      <c r="J13" s="10"/>
      <c r="K13" s="11"/>
      <c r="L13" s="10"/>
      <c r="M13" s="11"/>
    </row>
    <row r="14" spans="1:26" x14ac:dyDescent="0.2">
      <c r="A14" s="3"/>
      <c r="B14" s="3" t="s">
        <v>26</v>
      </c>
      <c r="D14" s="10"/>
      <c r="E14" s="3"/>
      <c r="F14" s="3"/>
      <c r="G14" s="12"/>
      <c r="H14" s="10"/>
      <c r="I14" s="11"/>
      <c r="J14" s="10"/>
      <c r="K14" s="11"/>
      <c r="L14" s="10"/>
      <c r="M14" s="11"/>
    </row>
    <row r="15" spans="1:26" x14ac:dyDescent="0.2">
      <c r="A15" s="3"/>
      <c r="B15" s="3" t="s">
        <v>27</v>
      </c>
      <c r="D15" s="10"/>
      <c r="E15" s="3"/>
      <c r="F15" s="3"/>
      <c r="G15" s="12"/>
      <c r="H15" s="10"/>
      <c r="I15" s="11"/>
      <c r="J15" s="10"/>
      <c r="K15" s="11"/>
      <c r="L15" s="10"/>
      <c r="M15" s="11"/>
    </row>
    <row r="16" spans="1:26" x14ac:dyDescent="0.2">
      <c r="A16" s="3"/>
      <c r="B16" s="3" t="s">
        <v>28</v>
      </c>
      <c r="D16" s="10"/>
      <c r="E16" s="3"/>
      <c r="F16" s="3"/>
      <c r="G16" s="12"/>
      <c r="H16" s="10"/>
      <c r="I16" s="11"/>
      <c r="J16" s="10"/>
      <c r="K16" s="11"/>
      <c r="L16" s="10"/>
      <c r="M16" s="11"/>
    </row>
    <row r="17" spans="1:13" x14ac:dyDescent="0.2">
      <c r="A17" s="3"/>
      <c r="B17" s="3" t="s">
        <v>29</v>
      </c>
      <c r="D17" s="10"/>
      <c r="E17" s="3"/>
      <c r="F17" s="3"/>
      <c r="G17" s="12"/>
      <c r="H17" s="10"/>
      <c r="I17" s="11"/>
      <c r="J17" s="10"/>
      <c r="K17" s="11"/>
      <c r="L17" s="10"/>
      <c r="M17" s="11"/>
    </row>
    <row r="18" spans="1:13" x14ac:dyDescent="0.2">
      <c r="A18" s="3"/>
      <c r="B18" s="3" t="s">
        <v>13</v>
      </c>
      <c r="D18" s="10"/>
      <c r="E18" s="3"/>
      <c r="F18" s="3"/>
      <c r="G18" s="12"/>
      <c r="H18" s="10"/>
      <c r="I18" s="11"/>
      <c r="J18" s="10"/>
      <c r="K18" s="11"/>
      <c r="L18" s="10"/>
      <c r="M18" s="11"/>
    </row>
    <row r="19" spans="1:13" x14ac:dyDescent="0.2">
      <c r="A19" s="3"/>
      <c r="B19" s="3" t="s">
        <v>30</v>
      </c>
      <c r="D19" s="10"/>
      <c r="E19" s="3"/>
      <c r="F19" s="3"/>
      <c r="G19" s="12"/>
      <c r="H19" s="10"/>
      <c r="I19" s="11"/>
      <c r="J19" s="10"/>
      <c r="K19" s="11"/>
      <c r="L19" s="10"/>
      <c r="M19" s="11"/>
    </row>
    <row r="20" spans="1:13" x14ac:dyDescent="0.2">
      <c r="A20" s="3" t="s">
        <v>31</v>
      </c>
      <c r="B20" s="3" t="s">
        <v>32</v>
      </c>
      <c r="D20" s="10"/>
      <c r="E20" s="3"/>
      <c r="F20" s="3"/>
      <c r="G20" s="12"/>
      <c r="H20" s="10"/>
      <c r="I20" s="11"/>
      <c r="J20" s="10"/>
      <c r="K20" s="11"/>
      <c r="L20" s="10"/>
      <c r="M20" s="11"/>
    </row>
    <row r="21" spans="1:13" x14ac:dyDescent="0.2">
      <c r="A21" s="3"/>
      <c r="B21" s="3" t="s">
        <v>33</v>
      </c>
      <c r="D21" s="10"/>
      <c r="E21" s="3"/>
      <c r="F21" s="3"/>
      <c r="G21" s="12"/>
      <c r="H21" s="10"/>
      <c r="I21" s="11"/>
      <c r="J21" s="10"/>
      <c r="K21" s="11"/>
      <c r="L21" s="10"/>
      <c r="M21" s="11"/>
    </row>
    <row r="22" spans="1:13" x14ac:dyDescent="0.2">
      <c r="A22" s="3"/>
      <c r="B22" s="3" t="s">
        <v>34</v>
      </c>
      <c r="D22" s="10"/>
      <c r="E22" s="3"/>
      <c r="F22" s="3"/>
      <c r="G22" s="12"/>
      <c r="H22" s="10"/>
      <c r="I22" s="11"/>
      <c r="J22" s="10"/>
      <c r="K22" s="11"/>
      <c r="L22" s="10"/>
      <c r="M22" s="11"/>
    </row>
    <row r="23" spans="1:13" x14ac:dyDescent="0.2">
      <c r="A23" s="3"/>
      <c r="B23" s="3" t="s">
        <v>35</v>
      </c>
      <c r="D23" s="10"/>
      <c r="E23" s="3"/>
      <c r="F23" s="3"/>
      <c r="G23" s="12"/>
      <c r="H23" s="10"/>
      <c r="I23" s="11"/>
      <c r="J23" s="10"/>
      <c r="K23" s="11"/>
      <c r="L23" s="10"/>
      <c r="M23" s="11"/>
    </row>
    <row r="24" spans="1:13" x14ac:dyDescent="0.2">
      <c r="A24" s="3" t="s">
        <v>15</v>
      </c>
      <c r="B24" s="3" t="s">
        <v>36</v>
      </c>
      <c r="D24" s="10"/>
      <c r="E24" s="3"/>
      <c r="F24" s="3"/>
      <c r="G24" s="12"/>
      <c r="H24" s="10"/>
      <c r="I24" s="11"/>
      <c r="J24" s="10"/>
      <c r="K24" s="11"/>
      <c r="L24" s="10"/>
      <c r="M24" s="11"/>
    </row>
    <row r="25" spans="1:13" x14ac:dyDescent="0.2">
      <c r="A25" s="3"/>
      <c r="B25" s="3" t="s">
        <v>37</v>
      </c>
      <c r="D25" s="10"/>
      <c r="E25" s="3"/>
      <c r="F25" s="3"/>
      <c r="G25" s="12"/>
      <c r="H25" s="10"/>
      <c r="I25" s="11"/>
      <c r="J25" s="10"/>
      <c r="K25" s="11"/>
      <c r="L25" s="10"/>
      <c r="M25" s="11"/>
    </row>
    <row r="26" spans="1:13" x14ac:dyDescent="0.2">
      <c r="A26" s="3"/>
      <c r="B26" s="3" t="s">
        <v>38</v>
      </c>
      <c r="D26" s="10"/>
      <c r="E26" s="3"/>
      <c r="F26" s="3"/>
      <c r="G26" s="12"/>
      <c r="H26" s="10"/>
      <c r="I26" s="11"/>
      <c r="J26" s="10"/>
      <c r="K26" s="11"/>
      <c r="L26" s="10"/>
      <c r="M26" s="11"/>
    </row>
    <row r="27" spans="1:13" x14ac:dyDescent="0.2">
      <c r="A27" s="3"/>
      <c r="B27" s="3" t="s">
        <v>39</v>
      </c>
      <c r="D27" s="10"/>
      <c r="E27" s="3"/>
      <c r="F27" s="3"/>
      <c r="G27" s="12"/>
      <c r="H27" s="10"/>
      <c r="I27" s="11"/>
      <c r="J27" s="10"/>
      <c r="K27" s="11"/>
      <c r="L27" s="10"/>
      <c r="M27" s="11"/>
    </row>
    <row r="28" spans="1:13" x14ac:dyDescent="0.2">
      <c r="A28" s="3" t="s">
        <v>40</v>
      </c>
      <c r="B28" s="3" t="s">
        <v>41</v>
      </c>
      <c r="D28" s="10"/>
      <c r="E28" s="3"/>
      <c r="F28" s="3"/>
      <c r="G28" s="12"/>
      <c r="H28" s="10"/>
      <c r="I28" s="11"/>
      <c r="J28" s="10"/>
      <c r="K28" s="11"/>
      <c r="L28" s="10"/>
      <c r="M28" s="11"/>
    </row>
    <row r="29" spans="1:13" ht="17" thickBot="1" x14ac:dyDescent="0.25">
      <c r="A29" s="3"/>
      <c r="B29" s="3" t="s">
        <v>42</v>
      </c>
      <c r="D29" s="25"/>
      <c r="E29" s="23"/>
      <c r="F29" s="23"/>
      <c r="G29" s="24"/>
      <c r="H29" s="25"/>
      <c r="I29" s="26"/>
      <c r="J29" s="25"/>
      <c r="K29" s="26"/>
      <c r="L29" s="25"/>
      <c r="M29" s="26"/>
    </row>
    <row r="30" spans="1:13" ht="17" thickBot="1" x14ac:dyDescent="0.25">
      <c r="A30" s="3" t="s">
        <v>43</v>
      </c>
      <c r="B30" s="3" t="s">
        <v>44</v>
      </c>
      <c r="D30" s="27"/>
      <c r="E30" s="28"/>
      <c r="F30" s="28"/>
      <c r="G30" s="29"/>
      <c r="H30" s="27"/>
      <c r="I30" s="30">
        <f>SUM(I4:I11)</f>
        <v>8.9639639639639643</v>
      </c>
      <c r="J30" s="27"/>
      <c r="K30" s="30">
        <f>SUM(K4:K11)</f>
        <v>5.7342342342342345</v>
      </c>
      <c r="L30" s="27"/>
      <c r="M30" s="30">
        <f>SUM(M4:M11)</f>
        <v>5.6936936936936933</v>
      </c>
    </row>
    <row r="31" spans="1:13" x14ac:dyDescent="0.2">
      <c r="A31" s="3"/>
      <c r="B31" s="3" t="s">
        <v>45</v>
      </c>
      <c r="I31">
        <f>IFERROR(RANK(I30, $I$30:$M$30), "")</f>
        <v>1</v>
      </c>
      <c r="J31" t="str">
        <f t="shared" ref="J31:M31" si="9">IFERROR(RANK(J30, $I$30:$M$30), "")</f>
        <v/>
      </c>
      <c r="K31">
        <f t="shared" si="9"/>
        <v>2</v>
      </c>
      <c r="L31" t="str">
        <f t="shared" si="9"/>
        <v/>
      </c>
      <c r="M31">
        <f t="shared" si="9"/>
        <v>3</v>
      </c>
    </row>
    <row r="32" spans="1:13" x14ac:dyDescent="0.2">
      <c r="A32" s="3"/>
      <c r="B32" s="3" t="s">
        <v>46</v>
      </c>
    </row>
    <row r="33" spans="1:2" x14ac:dyDescent="0.2">
      <c r="A33" s="3"/>
      <c r="B33" s="3" t="s">
        <v>47</v>
      </c>
    </row>
    <row r="34" spans="1:2" x14ac:dyDescent="0.2">
      <c r="A34" s="3" t="s">
        <v>17</v>
      </c>
      <c r="B34" s="3" t="s">
        <v>48</v>
      </c>
    </row>
    <row r="35" spans="1:2" x14ac:dyDescent="0.2">
      <c r="A35" s="3"/>
      <c r="B35" s="3" t="s">
        <v>49</v>
      </c>
    </row>
    <row r="36" spans="1:2" x14ac:dyDescent="0.2">
      <c r="A36" s="3"/>
      <c r="B36" s="3" t="s">
        <v>50</v>
      </c>
    </row>
    <row r="37" spans="1:2" x14ac:dyDescent="0.2">
      <c r="A37" s="3"/>
      <c r="B37" s="3" t="s">
        <v>51</v>
      </c>
    </row>
    <row r="38" spans="1:2" x14ac:dyDescent="0.2">
      <c r="A38" s="3"/>
      <c r="B38" s="3" t="s">
        <v>52</v>
      </c>
    </row>
    <row r="39" spans="1:2" x14ac:dyDescent="0.2">
      <c r="A39" s="3"/>
      <c r="B39" s="3" t="s">
        <v>53</v>
      </c>
    </row>
    <row r="40" spans="1:2" x14ac:dyDescent="0.2">
      <c r="A40" s="3"/>
      <c r="B40" s="3" t="s">
        <v>54</v>
      </c>
    </row>
    <row r="41" spans="1:2" x14ac:dyDescent="0.2">
      <c r="A41" s="3"/>
      <c r="B41" s="3" t="s">
        <v>55</v>
      </c>
    </row>
    <row r="42" spans="1:2" x14ac:dyDescent="0.2">
      <c r="A42" s="3"/>
      <c r="B42" s="3" t="s">
        <v>56</v>
      </c>
    </row>
    <row r="43" spans="1:2" x14ac:dyDescent="0.2">
      <c r="A43" s="3"/>
      <c r="B43" s="3" t="s">
        <v>57</v>
      </c>
    </row>
    <row r="44" spans="1:2" x14ac:dyDescent="0.2">
      <c r="A44" s="3"/>
      <c r="B44" s="3" t="s">
        <v>58</v>
      </c>
    </row>
    <row r="45" spans="1:2" x14ac:dyDescent="0.2">
      <c r="A45" s="3" t="s">
        <v>18</v>
      </c>
      <c r="B45" s="3" t="s">
        <v>59</v>
      </c>
    </row>
    <row r="46" spans="1:2" x14ac:dyDescent="0.2">
      <c r="A46" s="3"/>
      <c r="B46" s="3" t="s">
        <v>60</v>
      </c>
    </row>
    <row r="47" spans="1:2" x14ac:dyDescent="0.2">
      <c r="A47" s="3"/>
      <c r="B47" s="3" t="s">
        <v>61</v>
      </c>
    </row>
    <row r="48" spans="1:2" x14ac:dyDescent="0.2">
      <c r="A48" s="3"/>
      <c r="B48" s="3" t="s">
        <v>62</v>
      </c>
    </row>
    <row r="49" spans="1:2" x14ac:dyDescent="0.2">
      <c r="A49" s="3"/>
      <c r="B49" s="3" t="s">
        <v>63</v>
      </c>
    </row>
    <row r="50" spans="1:2" x14ac:dyDescent="0.2">
      <c r="A50" s="3"/>
      <c r="B50" s="3" t="s">
        <v>64</v>
      </c>
    </row>
    <row r="51" spans="1:2" x14ac:dyDescent="0.2">
      <c r="A51" s="3" t="s">
        <v>65</v>
      </c>
      <c r="B51" s="3" t="s">
        <v>66</v>
      </c>
    </row>
    <row r="52" spans="1:2" x14ac:dyDescent="0.2">
      <c r="A52" s="3"/>
      <c r="B52" s="3" t="s">
        <v>67</v>
      </c>
    </row>
    <row r="53" spans="1:2" x14ac:dyDescent="0.2">
      <c r="A53" s="3" t="s">
        <v>68</v>
      </c>
      <c r="B53" s="3" t="s">
        <v>69</v>
      </c>
    </row>
    <row r="54" spans="1:2" x14ac:dyDescent="0.2">
      <c r="A54" s="3"/>
      <c r="B54" s="3" t="s">
        <v>70</v>
      </c>
    </row>
    <row r="55" spans="1:2" x14ac:dyDescent="0.2">
      <c r="A55" s="3" t="s">
        <v>71</v>
      </c>
      <c r="B55" s="3" t="s">
        <v>72</v>
      </c>
    </row>
    <row r="56" spans="1:2" x14ac:dyDescent="0.2">
      <c r="A56" s="3"/>
      <c r="B56" s="3" t="s">
        <v>73</v>
      </c>
    </row>
    <row r="57" spans="1:2" x14ac:dyDescent="0.2">
      <c r="A57" s="3" t="s">
        <v>74</v>
      </c>
      <c r="B57" s="3" t="s">
        <v>75</v>
      </c>
    </row>
    <row r="58" spans="1:2" x14ac:dyDescent="0.2">
      <c r="A58" s="3"/>
      <c r="B58" s="3" t="s">
        <v>76</v>
      </c>
    </row>
    <row r="59" spans="1:2" x14ac:dyDescent="0.2">
      <c r="A59" s="3"/>
      <c r="B59" s="3" t="s">
        <v>77</v>
      </c>
    </row>
    <row r="60" spans="1:2" x14ac:dyDescent="0.2">
      <c r="A60" s="3"/>
      <c r="B60" s="3" t="s">
        <v>78</v>
      </c>
    </row>
    <row r="61" spans="1:2" x14ac:dyDescent="0.2">
      <c r="A61" s="3"/>
      <c r="B61" s="3" t="s">
        <v>79</v>
      </c>
    </row>
    <row r="62" spans="1:2" x14ac:dyDescent="0.2">
      <c r="A62" s="3"/>
      <c r="B62" s="3" t="s">
        <v>80</v>
      </c>
    </row>
    <row r="63" spans="1:2" x14ac:dyDescent="0.2">
      <c r="A63" s="3"/>
      <c r="B63" s="3" t="s">
        <v>81</v>
      </c>
    </row>
    <row r="64" spans="1:2" x14ac:dyDescent="0.2">
      <c r="A64" s="3"/>
      <c r="B64" s="3" t="s">
        <v>82</v>
      </c>
    </row>
  </sheetData>
  <mergeCells count="5">
    <mergeCell ref="D1:M1"/>
    <mergeCell ref="H2:I2"/>
    <mergeCell ref="J2:K2"/>
    <mergeCell ref="L2:M2"/>
    <mergeCell ref="O2:Z2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92FC00-AE4D-DE43-B58B-5B269E343ACF}">
  <sheetPr codeName="Sheet3"/>
  <dimension ref="A1:F24"/>
  <sheetViews>
    <sheetView zoomScale="75" workbookViewId="0">
      <selection activeCell="F1" sqref="F1"/>
    </sheetView>
  </sheetViews>
  <sheetFormatPr baseColWidth="10" defaultRowHeight="16" x14ac:dyDescent="0.2"/>
  <cols>
    <col min="1" max="1" width="12.33203125" customWidth="1"/>
    <col min="2" max="2" width="24" customWidth="1"/>
    <col min="3" max="3" width="16.5" bestFit="1" customWidth="1"/>
    <col min="4" max="4" width="16" customWidth="1"/>
    <col min="5" max="5" width="12.1640625" customWidth="1"/>
    <col min="6" max="6" width="11.6640625" bestFit="1" customWidth="1"/>
  </cols>
  <sheetData>
    <row r="1" spans="1:6" ht="34" x14ac:dyDescent="0.2">
      <c r="A1" s="32" t="s">
        <v>143</v>
      </c>
      <c r="B1" s="32" t="s">
        <v>144</v>
      </c>
      <c r="C1" s="32" t="s">
        <v>145</v>
      </c>
      <c r="D1" s="32" t="s">
        <v>146</v>
      </c>
      <c r="E1" s="32" t="s">
        <v>147</v>
      </c>
      <c r="F1" s="32" t="s">
        <v>148</v>
      </c>
    </row>
    <row r="2" spans="1:6" x14ac:dyDescent="0.2">
      <c r="A2" s="186">
        <v>0</v>
      </c>
      <c r="B2" s="32"/>
      <c r="C2" s="32"/>
      <c r="D2" s="32"/>
      <c r="E2" s="32"/>
      <c r="F2" s="32">
        <v>0</v>
      </c>
    </row>
    <row r="3" spans="1:6" ht="17" x14ac:dyDescent="0.2">
      <c r="A3" s="187" t="s">
        <v>149</v>
      </c>
      <c r="B3" s="188">
        <v>50</v>
      </c>
      <c r="C3" s="188">
        <v>9000</v>
      </c>
      <c r="D3" s="187">
        <f t="shared" ref="D3:D22" si="0">B3*C3</f>
        <v>450000</v>
      </c>
      <c r="E3" s="189">
        <f t="shared" ref="E3:E22" si="1">D3/$D$23</f>
        <v>0.57531257051574214</v>
      </c>
      <c r="F3" s="189">
        <f>E3+F2</f>
        <v>0.57531257051574214</v>
      </c>
    </row>
    <row r="4" spans="1:6" ht="17" x14ac:dyDescent="0.2">
      <c r="A4" s="187" t="s">
        <v>150</v>
      </c>
      <c r="B4" s="188">
        <v>1200</v>
      </c>
      <c r="C4" s="188">
        <v>105</v>
      </c>
      <c r="D4" s="187">
        <f t="shared" si="0"/>
        <v>126000</v>
      </c>
      <c r="E4" s="189">
        <f t="shared" si="1"/>
        <v>0.1610875197444078</v>
      </c>
      <c r="F4" s="189">
        <f t="shared" ref="F4:F22" si="2">E4+F3</f>
        <v>0.73640009026014996</v>
      </c>
    </row>
    <row r="5" spans="1:6" ht="17" x14ac:dyDescent="0.2">
      <c r="A5" s="187" t="s">
        <v>151</v>
      </c>
      <c r="B5" s="188">
        <v>9500</v>
      </c>
      <c r="C5" s="188">
        <v>7</v>
      </c>
      <c r="D5" s="187">
        <f t="shared" si="0"/>
        <v>66500</v>
      </c>
      <c r="E5" s="189">
        <f t="shared" si="1"/>
        <v>8.5018413198437448E-2</v>
      </c>
      <c r="F5" s="189">
        <f t="shared" si="2"/>
        <v>0.82141850345858747</v>
      </c>
    </row>
    <row r="6" spans="1:6" ht="17" x14ac:dyDescent="0.2">
      <c r="A6" s="33" t="s">
        <v>152</v>
      </c>
      <c r="B6" s="34">
        <v>22.6</v>
      </c>
      <c r="C6" s="34">
        <v>1700</v>
      </c>
      <c r="D6" s="33">
        <f t="shared" si="0"/>
        <v>38420</v>
      </c>
      <c r="E6" s="35">
        <f t="shared" si="1"/>
        <v>4.9118908798255138E-2</v>
      </c>
      <c r="F6" s="35">
        <f t="shared" si="2"/>
        <v>0.87053741225684256</v>
      </c>
    </row>
    <row r="7" spans="1:6" ht="17" x14ac:dyDescent="0.2">
      <c r="A7" s="33" t="s">
        <v>153</v>
      </c>
      <c r="B7" s="34">
        <v>950</v>
      </c>
      <c r="C7" s="34">
        <v>30</v>
      </c>
      <c r="D7" s="33">
        <f t="shared" si="0"/>
        <v>28500</v>
      </c>
      <c r="E7" s="35">
        <f t="shared" si="1"/>
        <v>3.6436462799330334E-2</v>
      </c>
      <c r="F7" s="35">
        <f t="shared" si="2"/>
        <v>0.90697387505617288</v>
      </c>
    </row>
    <row r="8" spans="1:6" ht="17" x14ac:dyDescent="0.2">
      <c r="A8" s="33" t="s">
        <v>154</v>
      </c>
      <c r="B8" s="34">
        <v>120</v>
      </c>
      <c r="C8" s="34">
        <v>180</v>
      </c>
      <c r="D8" s="33">
        <f t="shared" si="0"/>
        <v>21600</v>
      </c>
      <c r="E8" s="35">
        <f t="shared" si="1"/>
        <v>2.7615003384755622E-2</v>
      </c>
      <c r="F8" s="35">
        <f t="shared" si="2"/>
        <v>0.93458887844092853</v>
      </c>
    </row>
    <row r="9" spans="1:6" ht="17" x14ac:dyDescent="0.2">
      <c r="A9" s="33" t="s">
        <v>155</v>
      </c>
      <c r="B9" s="34">
        <v>3.75</v>
      </c>
      <c r="C9" s="34">
        <v>3800</v>
      </c>
      <c r="D9" s="33">
        <f t="shared" si="0"/>
        <v>14250</v>
      </c>
      <c r="E9" s="35">
        <f t="shared" si="1"/>
        <v>1.8218231399665167E-2</v>
      </c>
      <c r="F9" s="35">
        <f t="shared" si="2"/>
        <v>0.95280710984059369</v>
      </c>
    </row>
    <row r="10" spans="1:6" ht="17" x14ac:dyDescent="0.2">
      <c r="A10" s="33" t="s">
        <v>156</v>
      </c>
      <c r="B10" s="34">
        <v>0.09</v>
      </c>
      <c r="C10" s="34">
        <v>110000</v>
      </c>
      <c r="D10" s="33">
        <f t="shared" si="0"/>
        <v>9900</v>
      </c>
      <c r="E10" s="35">
        <f t="shared" si="1"/>
        <v>1.2656876551346327E-2</v>
      </c>
      <c r="F10" s="35">
        <f t="shared" si="2"/>
        <v>0.96546398639193998</v>
      </c>
    </row>
    <row r="11" spans="1:6" ht="17" x14ac:dyDescent="0.2">
      <c r="A11" s="33" t="s">
        <v>157</v>
      </c>
      <c r="B11" s="34">
        <v>850</v>
      </c>
      <c r="C11" s="34">
        <v>7</v>
      </c>
      <c r="D11" s="33">
        <f t="shared" si="0"/>
        <v>5950</v>
      </c>
      <c r="E11" s="35">
        <f t="shared" si="1"/>
        <v>7.6069106545970351E-3</v>
      </c>
      <c r="F11" s="35">
        <f t="shared" si="2"/>
        <v>0.97307089704653704</v>
      </c>
    </row>
    <row r="12" spans="1:6" ht="17" x14ac:dyDescent="0.2">
      <c r="A12" s="33" t="s">
        <v>158</v>
      </c>
      <c r="B12" s="34">
        <v>2800</v>
      </c>
      <c r="C12" s="34">
        <v>2</v>
      </c>
      <c r="D12" s="33">
        <f t="shared" si="0"/>
        <v>5600</v>
      </c>
      <c r="E12" s="35">
        <f t="shared" si="1"/>
        <v>7.1594453219736799E-3</v>
      </c>
      <c r="F12" s="35">
        <f t="shared" si="2"/>
        <v>0.9802303423685107</v>
      </c>
    </row>
    <row r="13" spans="1:6" ht="17" x14ac:dyDescent="0.2">
      <c r="A13" s="33" t="s">
        <v>159</v>
      </c>
      <c r="B13" s="34">
        <v>45</v>
      </c>
      <c r="C13" s="34">
        <v>90</v>
      </c>
      <c r="D13" s="33">
        <f t="shared" si="0"/>
        <v>4050</v>
      </c>
      <c r="E13" s="35">
        <f t="shared" si="1"/>
        <v>5.1778131346416796E-3</v>
      </c>
      <c r="F13" s="35">
        <f t="shared" si="2"/>
        <v>0.98540815550315242</v>
      </c>
    </row>
    <row r="14" spans="1:6" ht="17" x14ac:dyDescent="0.2">
      <c r="A14" s="33" t="s">
        <v>160</v>
      </c>
      <c r="B14" s="34">
        <v>365</v>
      </c>
      <c r="C14" s="34">
        <v>8</v>
      </c>
      <c r="D14" s="33">
        <f t="shared" si="0"/>
        <v>2920</v>
      </c>
      <c r="E14" s="35">
        <f t="shared" si="1"/>
        <v>3.7331393464577044E-3</v>
      </c>
      <c r="F14" s="35">
        <f t="shared" si="2"/>
        <v>0.98914129484961011</v>
      </c>
    </row>
    <row r="15" spans="1:6" ht="17" x14ac:dyDescent="0.2">
      <c r="A15" s="33" t="s">
        <v>161</v>
      </c>
      <c r="B15" s="34">
        <v>13.5</v>
      </c>
      <c r="C15" s="34">
        <v>175</v>
      </c>
      <c r="D15" s="33">
        <f t="shared" si="0"/>
        <v>2362.5</v>
      </c>
      <c r="E15" s="35">
        <f t="shared" si="1"/>
        <v>3.0203909952076463E-3</v>
      </c>
      <c r="F15" s="35">
        <f t="shared" si="2"/>
        <v>0.99216168584481779</v>
      </c>
    </row>
    <row r="16" spans="1:6" ht="17" x14ac:dyDescent="0.2">
      <c r="A16" s="33" t="s">
        <v>162</v>
      </c>
      <c r="B16" s="34">
        <v>136</v>
      </c>
      <c r="C16" s="34">
        <v>15</v>
      </c>
      <c r="D16" s="33">
        <f t="shared" si="0"/>
        <v>2040</v>
      </c>
      <c r="E16" s="35">
        <f t="shared" si="1"/>
        <v>2.6080836530046978E-3</v>
      </c>
      <c r="F16" s="35">
        <f t="shared" si="2"/>
        <v>0.99476976949782248</v>
      </c>
    </row>
    <row r="17" spans="1:6" ht="17" x14ac:dyDescent="0.2">
      <c r="A17" s="33" t="s">
        <v>163</v>
      </c>
      <c r="B17" s="34">
        <v>72</v>
      </c>
      <c r="C17" s="34">
        <v>22</v>
      </c>
      <c r="D17" s="33">
        <f t="shared" si="0"/>
        <v>1584</v>
      </c>
      <c r="E17" s="35">
        <f t="shared" si="1"/>
        <v>2.0251002482154124E-3</v>
      </c>
      <c r="F17" s="35">
        <f t="shared" si="2"/>
        <v>0.99679486974603793</v>
      </c>
    </row>
    <row r="18" spans="1:6" ht="17" x14ac:dyDescent="0.2">
      <c r="A18" s="33" t="s">
        <v>164</v>
      </c>
      <c r="B18" s="34">
        <v>0.12</v>
      </c>
      <c r="C18" s="34">
        <v>9000</v>
      </c>
      <c r="D18" s="33">
        <f t="shared" si="0"/>
        <v>1080</v>
      </c>
      <c r="E18" s="35">
        <f t="shared" si="1"/>
        <v>1.3807501692377812E-3</v>
      </c>
      <c r="F18" s="35">
        <f t="shared" si="2"/>
        <v>0.9981756199152757</v>
      </c>
    </row>
    <row r="19" spans="1:6" ht="17" x14ac:dyDescent="0.2">
      <c r="A19" s="33" t="s">
        <v>165</v>
      </c>
      <c r="B19" s="34">
        <v>1.25</v>
      </c>
      <c r="C19" s="34">
        <v>480</v>
      </c>
      <c r="D19" s="33">
        <f t="shared" si="0"/>
        <v>600</v>
      </c>
      <c r="E19" s="35">
        <f t="shared" si="1"/>
        <v>7.6708342735432283E-4</v>
      </c>
      <c r="F19" s="35">
        <f t="shared" si="2"/>
        <v>0.99894270334263002</v>
      </c>
    </row>
    <row r="20" spans="1:6" ht="17" x14ac:dyDescent="0.2">
      <c r="A20" s="33" t="s">
        <v>166</v>
      </c>
      <c r="B20" s="34">
        <v>0.25</v>
      </c>
      <c r="C20" s="34">
        <v>2260</v>
      </c>
      <c r="D20" s="33">
        <f t="shared" si="0"/>
        <v>565</v>
      </c>
      <c r="E20" s="35">
        <f t="shared" si="1"/>
        <v>7.2233689409198737E-4</v>
      </c>
      <c r="F20" s="35">
        <f t="shared" si="2"/>
        <v>0.99966504023672198</v>
      </c>
    </row>
    <row r="21" spans="1:6" ht="17" x14ac:dyDescent="0.2">
      <c r="A21" s="33" t="s">
        <v>167</v>
      </c>
      <c r="B21" s="34">
        <v>1.1499999999999999</v>
      </c>
      <c r="C21" s="34">
        <v>160</v>
      </c>
      <c r="D21" s="33">
        <f t="shared" si="0"/>
        <v>184</v>
      </c>
      <c r="E21" s="35">
        <f t="shared" si="1"/>
        <v>2.3523891772199234E-4</v>
      </c>
      <c r="F21" s="35">
        <f t="shared" si="2"/>
        <v>0.99990027915444402</v>
      </c>
    </row>
    <row r="22" spans="1:6" ht="17" x14ac:dyDescent="0.2">
      <c r="A22" s="33" t="s">
        <v>168</v>
      </c>
      <c r="B22" s="34">
        <v>0.03</v>
      </c>
      <c r="C22" s="34">
        <v>2600</v>
      </c>
      <c r="D22" s="33">
        <f t="shared" si="0"/>
        <v>78</v>
      </c>
      <c r="E22" s="35">
        <f t="shared" si="1"/>
        <v>9.9720845556061977E-5</v>
      </c>
      <c r="F22" s="35">
        <f t="shared" si="2"/>
        <v>1</v>
      </c>
    </row>
    <row r="23" spans="1:6" x14ac:dyDescent="0.2">
      <c r="A23" s="3"/>
      <c r="B23" s="3"/>
      <c r="C23" s="3"/>
      <c r="D23" s="33">
        <f>SUM(D3:D22)</f>
        <v>782183.5</v>
      </c>
      <c r="E23" s="33"/>
      <c r="F23" s="33"/>
    </row>
    <row r="24" spans="1:6" x14ac:dyDescent="0.2">
      <c r="D24" s="184"/>
      <c r="E24" s="184"/>
    </row>
  </sheetData>
  <autoFilter ref="A2:F22" xr:uid="{4E2E8C62-9E15-3844-8AB5-7EAE92AEE7A8}">
    <sortState xmlns:xlrd2="http://schemas.microsoft.com/office/spreadsheetml/2017/richdata2" ref="A3:F23">
      <sortCondition descending="1" ref="E2:E23"/>
    </sortState>
  </autoFilter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CE0317-ADCF-E94C-AE63-916443EECBF4}">
  <sheetPr codeName="Sheet4"/>
  <dimension ref="A1:CH30"/>
  <sheetViews>
    <sheetView zoomScale="118" zoomScaleNormal="80" workbookViewId="0">
      <selection activeCell="B30" sqref="B30:CH30"/>
    </sheetView>
  </sheetViews>
  <sheetFormatPr baseColWidth="10" defaultRowHeight="16" x14ac:dyDescent="0.2"/>
  <cols>
    <col min="1" max="1" width="26.6640625" customWidth="1"/>
    <col min="2" max="2" width="8.83203125" bestFit="1" customWidth="1"/>
    <col min="3" max="4" width="9.83203125" bestFit="1" customWidth="1"/>
    <col min="5" max="6" width="10.83203125" bestFit="1" customWidth="1"/>
    <col min="7" max="7" width="11.83203125" bestFit="1" customWidth="1"/>
    <col min="8" max="10" width="12.83203125" bestFit="1" customWidth="1"/>
    <col min="11" max="12" width="12.1640625" bestFit="1" customWidth="1"/>
    <col min="13" max="13" width="11.1640625" bestFit="1" customWidth="1"/>
    <col min="14" max="84" width="12.1640625" bestFit="1" customWidth="1"/>
    <col min="85" max="86" width="12.83203125" bestFit="1" customWidth="1"/>
    <col min="87" max="288" width="4.83203125" customWidth="1"/>
  </cols>
  <sheetData>
    <row r="1" spans="1:86" s="176" customFormat="1" ht="17" thickBot="1" x14ac:dyDescent="0.25">
      <c r="A1" s="175"/>
      <c r="B1" s="190" t="s">
        <v>896</v>
      </c>
      <c r="C1" s="191">
        <v>41640</v>
      </c>
      <c r="D1" s="191">
        <v>41671</v>
      </c>
      <c r="E1" s="191">
        <v>41699</v>
      </c>
      <c r="F1" s="191">
        <v>41730</v>
      </c>
      <c r="G1" s="191">
        <v>41760</v>
      </c>
      <c r="H1" s="191">
        <v>41791</v>
      </c>
      <c r="I1" s="191">
        <v>41821</v>
      </c>
      <c r="J1" s="191">
        <v>41852</v>
      </c>
      <c r="K1" s="191">
        <v>41883</v>
      </c>
      <c r="L1" s="191">
        <v>41913</v>
      </c>
      <c r="M1" s="191">
        <v>41944</v>
      </c>
      <c r="N1" s="191">
        <v>41974</v>
      </c>
      <c r="O1" s="191">
        <v>42005</v>
      </c>
      <c r="P1" s="191">
        <v>42036</v>
      </c>
      <c r="Q1" s="191">
        <v>42064</v>
      </c>
      <c r="R1" s="191">
        <v>42095</v>
      </c>
      <c r="S1" s="191">
        <v>42125</v>
      </c>
      <c r="T1" s="191">
        <v>42156</v>
      </c>
      <c r="U1" s="191">
        <v>42186</v>
      </c>
      <c r="V1" s="191">
        <v>42217</v>
      </c>
      <c r="W1" s="191">
        <v>42248</v>
      </c>
      <c r="X1" s="191">
        <v>42278</v>
      </c>
      <c r="Y1" s="191">
        <v>42309</v>
      </c>
      <c r="Z1" s="191">
        <v>42339</v>
      </c>
      <c r="AA1" s="191">
        <v>42370</v>
      </c>
      <c r="AB1" s="191">
        <v>42401</v>
      </c>
      <c r="AC1" s="191">
        <v>42430</v>
      </c>
      <c r="AD1" s="191">
        <v>42461</v>
      </c>
      <c r="AE1" s="191">
        <v>42491</v>
      </c>
      <c r="AF1" s="191">
        <v>42522</v>
      </c>
      <c r="AG1" s="191">
        <v>42552</v>
      </c>
      <c r="AH1" s="191">
        <v>42583</v>
      </c>
      <c r="AI1" s="191">
        <v>42614</v>
      </c>
      <c r="AJ1" s="191">
        <v>42644</v>
      </c>
      <c r="AK1" s="191">
        <v>42675</v>
      </c>
      <c r="AL1" s="191">
        <v>42705</v>
      </c>
      <c r="AM1" s="191">
        <v>42736</v>
      </c>
      <c r="AN1" s="191">
        <v>42767</v>
      </c>
      <c r="AO1" s="191">
        <v>42795</v>
      </c>
      <c r="AP1" s="191">
        <v>42826</v>
      </c>
      <c r="AQ1" s="191">
        <v>42856</v>
      </c>
      <c r="AR1" s="191">
        <v>42887</v>
      </c>
      <c r="AS1" s="191">
        <v>42917</v>
      </c>
      <c r="AT1" s="191">
        <v>42948</v>
      </c>
      <c r="AU1" s="191">
        <v>42979</v>
      </c>
      <c r="AV1" s="191">
        <v>43009</v>
      </c>
      <c r="AW1" s="191">
        <v>43040</v>
      </c>
      <c r="AX1" s="191">
        <v>43070</v>
      </c>
      <c r="AY1" s="191">
        <v>43101</v>
      </c>
      <c r="AZ1" s="191">
        <v>43132</v>
      </c>
      <c r="BA1" s="191">
        <v>43160</v>
      </c>
      <c r="BB1" s="191">
        <v>43191</v>
      </c>
      <c r="BC1" s="191">
        <v>43221</v>
      </c>
      <c r="BD1" s="191">
        <v>43252</v>
      </c>
      <c r="BE1" s="191">
        <v>43282</v>
      </c>
      <c r="BF1" s="191">
        <v>43313</v>
      </c>
      <c r="BG1" s="191">
        <v>43344</v>
      </c>
      <c r="BH1" s="191">
        <v>43374</v>
      </c>
      <c r="BI1" s="191">
        <v>43405</v>
      </c>
      <c r="BJ1" s="191">
        <v>43435</v>
      </c>
      <c r="BK1" s="191">
        <v>43466</v>
      </c>
      <c r="BL1" s="191">
        <v>43497</v>
      </c>
      <c r="BM1" s="191">
        <v>43525</v>
      </c>
      <c r="BN1" s="191">
        <v>43556</v>
      </c>
      <c r="BO1" s="191">
        <v>43586</v>
      </c>
      <c r="BP1" s="191">
        <v>43617</v>
      </c>
      <c r="BQ1" s="191">
        <v>43647</v>
      </c>
      <c r="BR1" s="191">
        <v>43678</v>
      </c>
      <c r="BS1" s="191">
        <v>43709</v>
      </c>
      <c r="BT1" s="191">
        <v>43739</v>
      </c>
      <c r="BU1" s="191">
        <v>43770</v>
      </c>
      <c r="BV1" s="191">
        <v>43800</v>
      </c>
      <c r="BW1" s="191">
        <v>43831</v>
      </c>
      <c r="BX1" s="191">
        <v>43862</v>
      </c>
      <c r="BY1" s="191">
        <v>43891</v>
      </c>
      <c r="BZ1" s="191">
        <v>43922</v>
      </c>
      <c r="CA1" s="191">
        <v>43952</v>
      </c>
      <c r="CB1" s="191">
        <v>43983</v>
      </c>
      <c r="CC1" s="191">
        <v>44013</v>
      </c>
      <c r="CD1" s="191">
        <v>44044</v>
      </c>
      <c r="CE1" s="191">
        <v>44075</v>
      </c>
      <c r="CF1" s="191">
        <v>44105</v>
      </c>
      <c r="CG1" s="191">
        <v>44136</v>
      </c>
      <c r="CH1" s="191">
        <v>44166</v>
      </c>
    </row>
    <row r="2" spans="1:86" s="66" customFormat="1" x14ac:dyDescent="0.2">
      <c r="A2" s="192" t="s">
        <v>897</v>
      </c>
      <c r="B2" s="193"/>
      <c r="C2" s="194"/>
      <c r="D2" s="194"/>
      <c r="E2" s="194"/>
      <c r="F2" s="194"/>
      <c r="G2" s="194"/>
      <c r="H2" s="194"/>
      <c r="I2" s="194"/>
      <c r="J2" s="194"/>
      <c r="K2" s="194"/>
      <c r="L2" s="194"/>
      <c r="M2" s="194"/>
      <c r="N2" s="194"/>
      <c r="O2" s="194"/>
      <c r="P2" s="194"/>
      <c r="Q2" s="194"/>
      <c r="R2" s="194"/>
      <c r="S2" s="194"/>
      <c r="T2" s="194"/>
      <c r="U2" s="194"/>
      <c r="V2" s="194"/>
      <c r="W2" s="194"/>
      <c r="X2" s="194"/>
      <c r="Y2" s="194"/>
      <c r="Z2" s="194"/>
      <c r="AA2" s="194"/>
      <c r="AB2" s="194"/>
      <c r="AC2" s="194"/>
      <c r="AD2" s="194"/>
      <c r="AE2" s="194"/>
      <c r="AF2" s="194"/>
      <c r="AG2" s="194"/>
      <c r="AH2" s="194"/>
      <c r="AI2" s="194"/>
      <c r="AJ2" s="194"/>
      <c r="AK2" s="194"/>
      <c r="AL2" s="194"/>
      <c r="AM2" s="194"/>
      <c r="AN2" s="194"/>
      <c r="AO2" s="194"/>
      <c r="AP2" s="194"/>
      <c r="AQ2" s="194"/>
      <c r="AR2" s="194"/>
      <c r="AS2" s="194"/>
      <c r="AT2" s="194"/>
      <c r="AU2" s="194"/>
      <c r="AV2" s="194"/>
      <c r="AW2" s="194"/>
      <c r="AX2" s="194"/>
      <c r="AY2" s="194"/>
      <c r="AZ2" s="194"/>
      <c r="BA2" s="194"/>
      <c r="BB2" s="194"/>
      <c r="BC2" s="194"/>
      <c r="BD2" s="194"/>
      <c r="BE2" s="194"/>
      <c r="BF2" s="194"/>
      <c r="BG2" s="194"/>
      <c r="BH2" s="194"/>
      <c r="BI2" s="194"/>
      <c r="BJ2" s="194"/>
      <c r="BK2" s="194"/>
      <c r="BL2" s="194"/>
      <c r="BM2" s="194"/>
      <c r="BN2" s="194"/>
      <c r="BO2" s="194"/>
      <c r="BP2" s="194"/>
      <c r="BQ2" s="194"/>
      <c r="BR2" s="194"/>
      <c r="BS2" s="194"/>
      <c r="BT2" s="194"/>
      <c r="BU2" s="194"/>
      <c r="BV2" s="194"/>
      <c r="BW2" s="194"/>
      <c r="BX2" s="194"/>
      <c r="BY2" s="194"/>
      <c r="BZ2" s="194"/>
      <c r="CA2" s="194"/>
      <c r="CB2" s="194"/>
      <c r="CC2" s="194"/>
      <c r="CD2" s="194"/>
      <c r="CE2" s="194"/>
      <c r="CF2" s="194"/>
      <c r="CG2" s="194"/>
      <c r="CH2" s="195"/>
    </row>
    <row r="3" spans="1:86" x14ac:dyDescent="0.2">
      <c r="A3" s="10" t="s">
        <v>898</v>
      </c>
      <c r="B3" s="3">
        <v>4356598</v>
      </c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  <c r="AW3" s="3"/>
      <c r="AX3" s="3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3"/>
      <c r="BK3" s="3"/>
      <c r="BL3" s="3"/>
      <c r="BM3" s="3"/>
      <c r="BN3" s="3"/>
      <c r="BO3" s="3"/>
      <c r="BP3" s="3"/>
      <c r="BQ3" s="3"/>
      <c r="BR3" s="3"/>
      <c r="BS3" s="3"/>
      <c r="BT3" s="3"/>
      <c r="BU3" s="3"/>
      <c r="BV3" s="3"/>
      <c r="BW3" s="3"/>
      <c r="BX3" s="3"/>
      <c r="BY3" s="3"/>
      <c r="BZ3" s="3"/>
      <c r="CA3" s="3"/>
      <c r="CB3" s="3"/>
      <c r="CC3" s="3"/>
      <c r="CD3" s="3"/>
      <c r="CE3" s="3"/>
      <c r="CF3" s="3"/>
      <c r="CG3" s="3"/>
      <c r="CH3" s="11"/>
    </row>
    <row r="4" spans="1:86" x14ac:dyDescent="0.2">
      <c r="A4" s="10" t="s">
        <v>899</v>
      </c>
      <c r="B4" s="3">
        <v>79</v>
      </c>
      <c r="C4" s="3"/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11"/>
    </row>
    <row r="5" spans="1:86" x14ac:dyDescent="0.2">
      <c r="A5" s="10" t="s">
        <v>900</v>
      </c>
      <c r="B5" s="3">
        <v>21.53</v>
      </c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C5" s="3"/>
      <c r="BD5" s="3"/>
      <c r="BE5" s="3"/>
      <c r="BF5" s="3"/>
      <c r="BG5" s="3"/>
      <c r="BH5" s="3"/>
      <c r="BI5" s="3"/>
      <c r="BJ5" s="3"/>
      <c r="BK5" s="3"/>
      <c r="BL5" s="3"/>
      <c r="BM5" s="3"/>
      <c r="BN5" s="3"/>
      <c r="BO5" s="3"/>
      <c r="BP5" s="3"/>
      <c r="BQ5" s="3"/>
      <c r="BR5" s="3"/>
      <c r="BS5" s="3"/>
      <c r="BT5" s="3"/>
      <c r="BU5" s="3"/>
      <c r="BV5" s="3"/>
      <c r="BW5" s="3"/>
      <c r="BX5" s="3"/>
      <c r="BY5" s="3"/>
      <c r="BZ5" s="3"/>
      <c r="CA5" s="3"/>
      <c r="CB5" s="3"/>
      <c r="CC5" s="3"/>
      <c r="CD5" s="3"/>
      <c r="CE5" s="3"/>
      <c r="CF5" s="3"/>
      <c r="CG5" s="3"/>
      <c r="CH5" s="11"/>
    </row>
    <row r="6" spans="1:86" x14ac:dyDescent="0.2">
      <c r="A6" s="10" t="s">
        <v>901</v>
      </c>
      <c r="B6" s="3">
        <v>0</v>
      </c>
      <c r="C6" s="3">
        <v>12</v>
      </c>
      <c r="D6" s="3">
        <v>20</v>
      </c>
      <c r="E6" s="3">
        <v>37</v>
      </c>
      <c r="F6" s="3">
        <v>84</v>
      </c>
      <c r="G6" s="3">
        <v>178</v>
      </c>
      <c r="H6" s="3">
        <v>353</v>
      </c>
      <c r="I6" s="3">
        <v>714</v>
      </c>
      <c r="J6" s="3">
        <v>1430</v>
      </c>
      <c r="K6" s="3">
        <v>2858</v>
      </c>
      <c r="L6" s="3">
        <v>5724</v>
      </c>
      <c r="M6" s="3">
        <v>11451</v>
      </c>
      <c r="N6" s="3">
        <v>22903</v>
      </c>
      <c r="O6" s="3">
        <v>29449</v>
      </c>
      <c r="P6" s="3">
        <v>36368</v>
      </c>
      <c r="Q6" s="3">
        <v>42833</v>
      </c>
      <c r="R6" s="3">
        <v>48833</v>
      </c>
      <c r="S6" s="3">
        <v>51584</v>
      </c>
      <c r="T6" s="3">
        <v>54451</v>
      </c>
      <c r="U6" s="3">
        <v>56265</v>
      </c>
      <c r="V6" s="3">
        <v>58065</v>
      </c>
      <c r="W6" s="3">
        <v>59523</v>
      </c>
      <c r="X6" s="3">
        <v>61015</v>
      </c>
      <c r="Y6" s="3">
        <v>62416</v>
      </c>
      <c r="Z6" s="3">
        <v>64277</v>
      </c>
      <c r="AA6" s="3">
        <v>65872</v>
      </c>
      <c r="AB6" s="3">
        <v>67004</v>
      </c>
      <c r="AC6" s="3">
        <v>68779</v>
      </c>
      <c r="AD6" s="3">
        <v>70726</v>
      </c>
      <c r="AE6" s="3">
        <v>72688</v>
      </c>
      <c r="AF6" s="3">
        <v>73738</v>
      </c>
      <c r="AG6" s="3">
        <v>75620</v>
      </c>
      <c r="AH6" s="3">
        <v>76838</v>
      </c>
      <c r="AI6" s="3">
        <v>78648</v>
      </c>
      <c r="AJ6" s="3">
        <v>80492</v>
      </c>
      <c r="AK6" s="3">
        <v>82443</v>
      </c>
      <c r="AL6" s="3">
        <v>84196</v>
      </c>
      <c r="AM6" s="3">
        <v>85961</v>
      </c>
      <c r="AN6" s="3">
        <v>87294</v>
      </c>
      <c r="AO6" s="3">
        <v>88357</v>
      </c>
      <c r="AP6" s="3">
        <v>89219</v>
      </c>
      <c r="AQ6" s="3">
        <v>89963</v>
      </c>
      <c r="AR6" s="3">
        <v>89886</v>
      </c>
      <c r="AS6" s="3">
        <v>89820</v>
      </c>
      <c r="AT6" s="3">
        <v>89837</v>
      </c>
      <c r="AU6" s="3">
        <v>89845</v>
      </c>
      <c r="AV6" s="3">
        <v>89819</v>
      </c>
      <c r="AW6" s="3">
        <v>89815</v>
      </c>
      <c r="AX6" s="3">
        <v>89819</v>
      </c>
      <c r="AY6" s="3">
        <v>89827</v>
      </c>
      <c r="AZ6" s="3">
        <v>89821</v>
      </c>
      <c r="BA6" s="3">
        <v>89805</v>
      </c>
      <c r="BB6" s="3">
        <v>89779</v>
      </c>
      <c r="BC6" s="3">
        <v>89765</v>
      </c>
      <c r="BD6" s="3">
        <v>89752</v>
      </c>
      <c r="BE6" s="3">
        <v>89748</v>
      </c>
      <c r="BF6" s="3">
        <v>89732</v>
      </c>
      <c r="BG6" s="3">
        <v>89724</v>
      </c>
      <c r="BH6" s="3">
        <v>89696</v>
      </c>
      <c r="BI6" s="3">
        <v>89697</v>
      </c>
      <c r="BJ6" s="3">
        <v>89706</v>
      </c>
      <c r="BK6" s="3">
        <v>89707</v>
      </c>
      <c r="BL6" s="3">
        <v>89682</v>
      </c>
      <c r="BM6" s="3">
        <v>89668</v>
      </c>
      <c r="BN6" s="3">
        <v>89675</v>
      </c>
      <c r="BO6" s="3">
        <v>89654</v>
      </c>
      <c r="BP6" s="3">
        <v>89661</v>
      </c>
      <c r="BQ6" s="3">
        <v>89659</v>
      </c>
      <c r="BR6" s="3">
        <v>89494</v>
      </c>
      <c r="BS6" s="3">
        <v>89209</v>
      </c>
      <c r="BT6" s="3">
        <v>88872</v>
      </c>
      <c r="BU6" s="3">
        <v>88399</v>
      </c>
      <c r="BV6" s="3">
        <v>88255</v>
      </c>
      <c r="BW6" s="3">
        <v>87754</v>
      </c>
      <c r="BX6" s="3">
        <v>87151</v>
      </c>
      <c r="BY6" s="3">
        <v>85730</v>
      </c>
      <c r="BZ6" s="3">
        <v>83311</v>
      </c>
      <c r="CA6" s="3">
        <v>80271</v>
      </c>
      <c r="CB6" s="3">
        <v>75028</v>
      </c>
      <c r="CC6" s="3">
        <v>65642</v>
      </c>
      <c r="CD6" s="3">
        <v>55659</v>
      </c>
      <c r="CE6" s="3">
        <v>43770</v>
      </c>
      <c r="CF6" s="3">
        <v>26776</v>
      </c>
      <c r="CG6" s="3">
        <v>11639</v>
      </c>
      <c r="CH6" s="11">
        <v>10239</v>
      </c>
    </row>
    <row r="7" spans="1:86" x14ac:dyDescent="0.2">
      <c r="A7" s="10" t="s">
        <v>902</v>
      </c>
      <c r="B7" s="3">
        <v>200000</v>
      </c>
      <c r="C7" s="3">
        <v>200000</v>
      </c>
      <c r="D7" s="3">
        <f t="shared" ref="D7:BO7" si="0">C7*1.02</f>
        <v>204000</v>
      </c>
      <c r="E7" s="3">
        <f t="shared" si="0"/>
        <v>208080</v>
      </c>
      <c r="F7" s="3">
        <f t="shared" si="0"/>
        <v>212241.6</v>
      </c>
      <c r="G7" s="3">
        <f t="shared" si="0"/>
        <v>216486.432</v>
      </c>
      <c r="H7" s="3">
        <f t="shared" si="0"/>
        <v>220816.16064000002</v>
      </c>
      <c r="I7" s="3">
        <f t="shared" si="0"/>
        <v>225232.48385280001</v>
      </c>
      <c r="J7" s="3">
        <f t="shared" si="0"/>
        <v>229737.13352985602</v>
      </c>
      <c r="K7" s="3">
        <f t="shared" si="0"/>
        <v>234331.87620045315</v>
      </c>
      <c r="L7" s="3">
        <f t="shared" si="0"/>
        <v>239018.51372446222</v>
      </c>
      <c r="M7" s="3">
        <f t="shared" si="0"/>
        <v>243798.88399895147</v>
      </c>
      <c r="N7" s="3">
        <f t="shared" si="0"/>
        <v>248674.86167893049</v>
      </c>
      <c r="O7" s="3">
        <f t="shared" si="0"/>
        <v>253648.35891250911</v>
      </c>
      <c r="P7" s="3">
        <f t="shared" si="0"/>
        <v>258721.32609075931</v>
      </c>
      <c r="Q7" s="3">
        <f t="shared" si="0"/>
        <v>263895.75261257449</v>
      </c>
      <c r="R7" s="3">
        <f t="shared" si="0"/>
        <v>269173.66766482597</v>
      </c>
      <c r="S7" s="3">
        <f t="shared" si="0"/>
        <v>274557.14101812249</v>
      </c>
      <c r="T7" s="3">
        <f t="shared" si="0"/>
        <v>280048.28383848496</v>
      </c>
      <c r="U7" s="3">
        <f t="shared" si="0"/>
        <v>285649.24951525469</v>
      </c>
      <c r="V7" s="3">
        <f t="shared" si="0"/>
        <v>291362.23450555978</v>
      </c>
      <c r="W7" s="3">
        <f t="shared" si="0"/>
        <v>297189.47919567098</v>
      </c>
      <c r="X7" s="3">
        <f t="shared" si="0"/>
        <v>303133.26877958438</v>
      </c>
      <c r="Y7" s="3">
        <f t="shared" si="0"/>
        <v>309195.9341551761</v>
      </c>
      <c r="Z7" s="3">
        <f t="shared" si="0"/>
        <v>315379.85283827962</v>
      </c>
      <c r="AA7" s="3">
        <f t="shared" si="0"/>
        <v>321687.4498950452</v>
      </c>
      <c r="AB7" s="3">
        <f t="shared" si="0"/>
        <v>328121.19889294612</v>
      </c>
      <c r="AC7" s="3">
        <f t="shared" si="0"/>
        <v>334683.62287080503</v>
      </c>
      <c r="AD7" s="3">
        <f t="shared" si="0"/>
        <v>341377.29532822117</v>
      </c>
      <c r="AE7" s="3">
        <f t="shared" si="0"/>
        <v>348204.84123478562</v>
      </c>
      <c r="AF7" s="3">
        <f t="shared" si="0"/>
        <v>355168.93805948133</v>
      </c>
      <c r="AG7" s="3">
        <f t="shared" si="0"/>
        <v>362272.31682067097</v>
      </c>
      <c r="AH7" s="3">
        <f t="shared" si="0"/>
        <v>369517.76315708441</v>
      </c>
      <c r="AI7" s="3">
        <f t="shared" si="0"/>
        <v>376908.11842022609</v>
      </c>
      <c r="AJ7" s="3">
        <f t="shared" si="0"/>
        <v>384446.2807886306</v>
      </c>
      <c r="AK7" s="3">
        <f t="shared" si="0"/>
        <v>392135.2064044032</v>
      </c>
      <c r="AL7" s="3">
        <f t="shared" si="0"/>
        <v>399977.91053249128</v>
      </c>
      <c r="AM7" s="3">
        <f t="shared" si="0"/>
        <v>407977.4687431411</v>
      </c>
      <c r="AN7" s="3">
        <f t="shared" si="0"/>
        <v>416137.01811800391</v>
      </c>
      <c r="AO7" s="3">
        <f t="shared" si="0"/>
        <v>424459.75848036399</v>
      </c>
      <c r="AP7" s="3">
        <f t="shared" si="0"/>
        <v>432948.95364997128</v>
      </c>
      <c r="AQ7" s="3">
        <f t="shared" si="0"/>
        <v>441607.93272297073</v>
      </c>
      <c r="AR7" s="3">
        <f t="shared" si="0"/>
        <v>450440.09137743013</v>
      </c>
      <c r="AS7" s="3">
        <f t="shared" si="0"/>
        <v>459448.89320497873</v>
      </c>
      <c r="AT7" s="3">
        <f t="shared" si="0"/>
        <v>468637.87106907833</v>
      </c>
      <c r="AU7" s="3">
        <f t="shared" si="0"/>
        <v>478010.62849045993</v>
      </c>
      <c r="AV7" s="3">
        <f t="shared" si="0"/>
        <v>487570.84106026916</v>
      </c>
      <c r="AW7" s="3">
        <f t="shared" si="0"/>
        <v>497322.25788147456</v>
      </c>
      <c r="AX7" s="3">
        <f t="shared" si="0"/>
        <v>507268.70303910406</v>
      </c>
      <c r="AY7" s="3">
        <f t="shared" si="0"/>
        <v>517414.07709988614</v>
      </c>
      <c r="AZ7" s="3">
        <f t="shared" si="0"/>
        <v>527762.35864188382</v>
      </c>
      <c r="BA7" s="3">
        <f t="shared" si="0"/>
        <v>538317.60581472155</v>
      </c>
      <c r="BB7" s="3">
        <f t="shared" si="0"/>
        <v>549083.95793101599</v>
      </c>
      <c r="BC7" s="3">
        <f t="shared" si="0"/>
        <v>560065.63708963629</v>
      </c>
      <c r="BD7" s="3">
        <f t="shared" si="0"/>
        <v>571266.94983142905</v>
      </c>
      <c r="BE7" s="3">
        <f t="shared" si="0"/>
        <v>582692.2888280577</v>
      </c>
      <c r="BF7" s="3">
        <f t="shared" si="0"/>
        <v>594346.13460461888</v>
      </c>
      <c r="BG7" s="3">
        <f t="shared" si="0"/>
        <v>606233.05729671125</v>
      </c>
      <c r="BH7" s="3">
        <f t="shared" si="0"/>
        <v>618357.71844264551</v>
      </c>
      <c r="BI7" s="3">
        <f t="shared" si="0"/>
        <v>630724.87281149847</v>
      </c>
      <c r="BJ7" s="3">
        <f t="shared" si="0"/>
        <v>643339.37026772846</v>
      </c>
      <c r="BK7" s="3">
        <f t="shared" si="0"/>
        <v>656206.15767308301</v>
      </c>
      <c r="BL7" s="3">
        <f t="shared" si="0"/>
        <v>669330.28082654474</v>
      </c>
      <c r="BM7" s="3">
        <f t="shared" si="0"/>
        <v>682716.88644307561</v>
      </c>
      <c r="BN7" s="3">
        <f t="shared" si="0"/>
        <v>696371.22417193709</v>
      </c>
      <c r="BO7" s="3">
        <f t="shared" si="0"/>
        <v>710298.64865537581</v>
      </c>
      <c r="BP7" s="3">
        <f t="shared" ref="BP7:CH7" si="1">BO7*1.02</f>
        <v>724504.62162848329</v>
      </c>
      <c r="BQ7" s="3">
        <f t="shared" si="1"/>
        <v>738994.714061053</v>
      </c>
      <c r="BR7" s="3">
        <f t="shared" si="1"/>
        <v>753774.60834227409</v>
      </c>
      <c r="BS7" s="3">
        <f t="shared" si="1"/>
        <v>768850.10050911957</v>
      </c>
      <c r="BT7" s="3">
        <f t="shared" si="1"/>
        <v>784227.10251930193</v>
      </c>
      <c r="BU7" s="3">
        <f t="shared" si="1"/>
        <v>799911.64456968801</v>
      </c>
      <c r="BV7" s="3">
        <f t="shared" si="1"/>
        <v>815909.87746108184</v>
      </c>
      <c r="BW7" s="3">
        <f t="shared" si="1"/>
        <v>832228.07501030352</v>
      </c>
      <c r="BX7" s="3">
        <f t="shared" si="1"/>
        <v>848872.63651050965</v>
      </c>
      <c r="BY7" s="3">
        <f t="shared" si="1"/>
        <v>865850.08924071991</v>
      </c>
      <c r="BZ7" s="3">
        <f t="shared" si="1"/>
        <v>883167.09102553432</v>
      </c>
      <c r="CA7" s="3">
        <f t="shared" si="1"/>
        <v>900830.43284604501</v>
      </c>
      <c r="CB7" s="3">
        <f t="shared" si="1"/>
        <v>918847.04150296596</v>
      </c>
      <c r="CC7" s="3">
        <f t="shared" si="1"/>
        <v>937223.98233302531</v>
      </c>
      <c r="CD7" s="3">
        <f t="shared" si="1"/>
        <v>955968.46197968582</v>
      </c>
      <c r="CE7" s="3">
        <f t="shared" si="1"/>
        <v>975087.83121927956</v>
      </c>
      <c r="CF7" s="3">
        <f t="shared" si="1"/>
        <v>994589.58784366515</v>
      </c>
      <c r="CG7" s="3">
        <f t="shared" si="1"/>
        <v>1014481.3796005385</v>
      </c>
      <c r="CH7" s="11">
        <f t="shared" si="1"/>
        <v>1034771.0071925493</v>
      </c>
    </row>
    <row r="8" spans="1:86" x14ac:dyDescent="0.2">
      <c r="A8" s="10" t="s">
        <v>903</v>
      </c>
      <c r="B8" s="3">
        <f>B6*$B$4</f>
        <v>0</v>
      </c>
      <c r="C8" s="3">
        <f t="shared" ref="C8:BN8" si="2">C6*$B$4</f>
        <v>948</v>
      </c>
      <c r="D8" s="3">
        <f t="shared" si="2"/>
        <v>1580</v>
      </c>
      <c r="E8" s="3">
        <f t="shared" si="2"/>
        <v>2923</v>
      </c>
      <c r="F8" s="3">
        <f t="shared" si="2"/>
        <v>6636</v>
      </c>
      <c r="G8" s="3">
        <f t="shared" si="2"/>
        <v>14062</v>
      </c>
      <c r="H8" s="3">
        <f t="shared" si="2"/>
        <v>27887</v>
      </c>
      <c r="I8" s="3">
        <f t="shared" si="2"/>
        <v>56406</v>
      </c>
      <c r="J8" s="3">
        <f t="shared" si="2"/>
        <v>112970</v>
      </c>
      <c r="K8" s="3">
        <f t="shared" si="2"/>
        <v>225782</v>
      </c>
      <c r="L8" s="3">
        <f t="shared" si="2"/>
        <v>452196</v>
      </c>
      <c r="M8" s="3">
        <f t="shared" si="2"/>
        <v>904629</v>
      </c>
      <c r="N8" s="3">
        <f t="shared" si="2"/>
        <v>1809337</v>
      </c>
      <c r="O8" s="3">
        <f t="shared" si="2"/>
        <v>2326471</v>
      </c>
      <c r="P8" s="3">
        <f t="shared" si="2"/>
        <v>2873072</v>
      </c>
      <c r="Q8" s="3">
        <f t="shared" si="2"/>
        <v>3383807</v>
      </c>
      <c r="R8" s="3">
        <f t="shared" si="2"/>
        <v>3857807</v>
      </c>
      <c r="S8" s="3">
        <f t="shared" si="2"/>
        <v>4075136</v>
      </c>
      <c r="T8" s="3">
        <f t="shared" si="2"/>
        <v>4301629</v>
      </c>
      <c r="U8" s="3">
        <f t="shared" si="2"/>
        <v>4444935</v>
      </c>
      <c r="V8" s="3">
        <f t="shared" si="2"/>
        <v>4587135</v>
      </c>
      <c r="W8" s="3">
        <f t="shared" si="2"/>
        <v>4702317</v>
      </c>
      <c r="X8" s="3">
        <f t="shared" si="2"/>
        <v>4820185</v>
      </c>
      <c r="Y8" s="3">
        <f t="shared" si="2"/>
        <v>4930864</v>
      </c>
      <c r="Z8" s="3">
        <f t="shared" si="2"/>
        <v>5077883</v>
      </c>
      <c r="AA8" s="3">
        <f t="shared" si="2"/>
        <v>5203888</v>
      </c>
      <c r="AB8" s="3">
        <f t="shared" si="2"/>
        <v>5293316</v>
      </c>
      <c r="AC8" s="3">
        <f t="shared" si="2"/>
        <v>5433541</v>
      </c>
      <c r="AD8" s="3">
        <f t="shared" si="2"/>
        <v>5587354</v>
      </c>
      <c r="AE8" s="3">
        <f t="shared" si="2"/>
        <v>5742352</v>
      </c>
      <c r="AF8" s="3">
        <f t="shared" si="2"/>
        <v>5825302</v>
      </c>
      <c r="AG8" s="3">
        <f t="shared" si="2"/>
        <v>5973980</v>
      </c>
      <c r="AH8" s="3">
        <f t="shared" si="2"/>
        <v>6070202</v>
      </c>
      <c r="AI8" s="3">
        <f t="shared" si="2"/>
        <v>6213192</v>
      </c>
      <c r="AJ8" s="3">
        <f t="shared" si="2"/>
        <v>6358868</v>
      </c>
      <c r="AK8" s="3">
        <f t="shared" si="2"/>
        <v>6512997</v>
      </c>
      <c r="AL8" s="3">
        <f t="shared" si="2"/>
        <v>6651484</v>
      </c>
      <c r="AM8" s="3">
        <f t="shared" si="2"/>
        <v>6790919</v>
      </c>
      <c r="AN8" s="3">
        <f t="shared" si="2"/>
        <v>6896226</v>
      </c>
      <c r="AO8" s="3">
        <f t="shared" si="2"/>
        <v>6980203</v>
      </c>
      <c r="AP8" s="3">
        <f t="shared" si="2"/>
        <v>7048301</v>
      </c>
      <c r="AQ8" s="3">
        <f t="shared" si="2"/>
        <v>7107077</v>
      </c>
      <c r="AR8" s="3">
        <f t="shared" si="2"/>
        <v>7100994</v>
      </c>
      <c r="AS8" s="3">
        <f t="shared" si="2"/>
        <v>7095780</v>
      </c>
      <c r="AT8" s="3">
        <f t="shared" si="2"/>
        <v>7097123</v>
      </c>
      <c r="AU8" s="3">
        <f t="shared" si="2"/>
        <v>7097755</v>
      </c>
      <c r="AV8" s="3">
        <f t="shared" si="2"/>
        <v>7095701</v>
      </c>
      <c r="AW8" s="3">
        <f t="shared" si="2"/>
        <v>7095385</v>
      </c>
      <c r="AX8" s="3">
        <f t="shared" si="2"/>
        <v>7095701</v>
      </c>
      <c r="AY8" s="3">
        <f t="shared" si="2"/>
        <v>7096333</v>
      </c>
      <c r="AZ8" s="3">
        <f t="shared" si="2"/>
        <v>7095859</v>
      </c>
      <c r="BA8" s="3">
        <f t="shared" si="2"/>
        <v>7094595</v>
      </c>
      <c r="BB8" s="3">
        <f t="shared" si="2"/>
        <v>7092541</v>
      </c>
      <c r="BC8" s="3">
        <f t="shared" si="2"/>
        <v>7091435</v>
      </c>
      <c r="BD8" s="3">
        <f t="shared" si="2"/>
        <v>7090408</v>
      </c>
      <c r="BE8" s="3">
        <f t="shared" si="2"/>
        <v>7090092</v>
      </c>
      <c r="BF8" s="3">
        <f t="shared" si="2"/>
        <v>7088828</v>
      </c>
      <c r="BG8" s="3">
        <f t="shared" si="2"/>
        <v>7088196</v>
      </c>
      <c r="BH8" s="3">
        <f t="shared" si="2"/>
        <v>7085984</v>
      </c>
      <c r="BI8" s="3">
        <f t="shared" si="2"/>
        <v>7086063</v>
      </c>
      <c r="BJ8" s="3">
        <f t="shared" si="2"/>
        <v>7086774</v>
      </c>
      <c r="BK8" s="3">
        <f t="shared" si="2"/>
        <v>7086853</v>
      </c>
      <c r="BL8" s="3">
        <f t="shared" si="2"/>
        <v>7084878</v>
      </c>
      <c r="BM8" s="3">
        <f t="shared" si="2"/>
        <v>7083772</v>
      </c>
      <c r="BN8" s="3">
        <f t="shared" si="2"/>
        <v>7084325</v>
      </c>
      <c r="BO8" s="3">
        <f t="shared" ref="BO8:CH8" si="3">BO6*$B$4</f>
        <v>7082666</v>
      </c>
      <c r="BP8" s="3">
        <f t="shared" si="3"/>
        <v>7083219</v>
      </c>
      <c r="BQ8" s="3">
        <f t="shared" si="3"/>
        <v>7083061</v>
      </c>
      <c r="BR8" s="3">
        <f t="shared" si="3"/>
        <v>7070026</v>
      </c>
      <c r="BS8" s="3">
        <f t="shared" si="3"/>
        <v>7047511</v>
      </c>
      <c r="BT8" s="3">
        <f t="shared" si="3"/>
        <v>7020888</v>
      </c>
      <c r="BU8" s="3">
        <f t="shared" si="3"/>
        <v>6983521</v>
      </c>
      <c r="BV8" s="3">
        <f t="shared" si="3"/>
        <v>6972145</v>
      </c>
      <c r="BW8" s="3">
        <f t="shared" si="3"/>
        <v>6932566</v>
      </c>
      <c r="BX8" s="3">
        <f t="shared" si="3"/>
        <v>6884929</v>
      </c>
      <c r="BY8" s="3">
        <f t="shared" si="3"/>
        <v>6772670</v>
      </c>
      <c r="BZ8" s="3">
        <f t="shared" si="3"/>
        <v>6581569</v>
      </c>
      <c r="CA8" s="3">
        <f t="shared" si="3"/>
        <v>6341409</v>
      </c>
      <c r="CB8" s="3">
        <f t="shared" si="3"/>
        <v>5927212</v>
      </c>
      <c r="CC8" s="3">
        <f t="shared" si="3"/>
        <v>5185718</v>
      </c>
      <c r="CD8" s="3">
        <f t="shared" si="3"/>
        <v>4397061</v>
      </c>
      <c r="CE8" s="3">
        <f t="shared" si="3"/>
        <v>3457830</v>
      </c>
      <c r="CF8" s="3">
        <f t="shared" si="3"/>
        <v>2115304</v>
      </c>
      <c r="CG8" s="3">
        <f t="shared" si="3"/>
        <v>919481</v>
      </c>
      <c r="CH8" s="3">
        <f t="shared" si="3"/>
        <v>808881</v>
      </c>
    </row>
    <row r="9" spans="1:86" x14ac:dyDescent="0.2">
      <c r="A9" s="10" t="s">
        <v>904</v>
      </c>
      <c r="B9" s="3">
        <f>B8</f>
        <v>0</v>
      </c>
      <c r="C9" s="3">
        <f>C8+B9</f>
        <v>948</v>
      </c>
      <c r="D9" s="3">
        <f t="shared" ref="D9:BO9" si="4">D8+C9</f>
        <v>2528</v>
      </c>
      <c r="E9" s="3">
        <f t="shared" si="4"/>
        <v>5451</v>
      </c>
      <c r="F9" s="3">
        <f t="shared" si="4"/>
        <v>12087</v>
      </c>
      <c r="G9" s="3">
        <f t="shared" si="4"/>
        <v>26149</v>
      </c>
      <c r="H9" s="3">
        <f t="shared" si="4"/>
        <v>54036</v>
      </c>
      <c r="I9" s="3">
        <f t="shared" si="4"/>
        <v>110442</v>
      </c>
      <c r="J9" s="3">
        <f t="shared" si="4"/>
        <v>223412</v>
      </c>
      <c r="K9" s="3">
        <f t="shared" si="4"/>
        <v>449194</v>
      </c>
      <c r="L9" s="3">
        <f t="shared" si="4"/>
        <v>901390</v>
      </c>
      <c r="M9" s="3">
        <f t="shared" si="4"/>
        <v>1806019</v>
      </c>
      <c r="N9" s="3">
        <f t="shared" si="4"/>
        <v>3615356</v>
      </c>
      <c r="O9" s="3">
        <f t="shared" si="4"/>
        <v>5941827</v>
      </c>
      <c r="P9" s="3">
        <f t="shared" si="4"/>
        <v>8814899</v>
      </c>
      <c r="Q9" s="3">
        <f t="shared" si="4"/>
        <v>12198706</v>
      </c>
      <c r="R9" s="3">
        <f t="shared" si="4"/>
        <v>16056513</v>
      </c>
      <c r="S9" s="3">
        <f t="shared" si="4"/>
        <v>20131649</v>
      </c>
      <c r="T9" s="3">
        <f t="shared" si="4"/>
        <v>24433278</v>
      </c>
      <c r="U9" s="3">
        <f t="shared" si="4"/>
        <v>28878213</v>
      </c>
      <c r="V9" s="3">
        <f t="shared" si="4"/>
        <v>33465348</v>
      </c>
      <c r="W9" s="3">
        <f t="shared" si="4"/>
        <v>38167665</v>
      </c>
      <c r="X9" s="3">
        <f t="shared" si="4"/>
        <v>42987850</v>
      </c>
      <c r="Y9" s="3">
        <f t="shared" si="4"/>
        <v>47918714</v>
      </c>
      <c r="Z9" s="3">
        <f t="shared" si="4"/>
        <v>52996597</v>
      </c>
      <c r="AA9" s="3">
        <f t="shared" si="4"/>
        <v>58200485</v>
      </c>
      <c r="AB9" s="3">
        <f t="shared" si="4"/>
        <v>63493801</v>
      </c>
      <c r="AC9" s="3">
        <f t="shared" si="4"/>
        <v>68927342</v>
      </c>
      <c r="AD9" s="3">
        <f t="shared" si="4"/>
        <v>74514696</v>
      </c>
      <c r="AE9" s="3">
        <f t="shared" si="4"/>
        <v>80257048</v>
      </c>
      <c r="AF9" s="3">
        <f t="shared" si="4"/>
        <v>86082350</v>
      </c>
      <c r="AG9" s="3">
        <f t="shared" si="4"/>
        <v>92056330</v>
      </c>
      <c r="AH9" s="3">
        <f t="shared" si="4"/>
        <v>98126532</v>
      </c>
      <c r="AI9" s="3">
        <f t="shared" si="4"/>
        <v>104339724</v>
      </c>
      <c r="AJ9" s="3">
        <f t="shared" si="4"/>
        <v>110698592</v>
      </c>
      <c r="AK9" s="3">
        <f t="shared" si="4"/>
        <v>117211589</v>
      </c>
      <c r="AL9" s="3">
        <f t="shared" si="4"/>
        <v>123863073</v>
      </c>
      <c r="AM9" s="3">
        <f t="shared" si="4"/>
        <v>130653992</v>
      </c>
      <c r="AN9" s="3">
        <f t="shared" si="4"/>
        <v>137550218</v>
      </c>
      <c r="AO9" s="3">
        <f t="shared" si="4"/>
        <v>144530421</v>
      </c>
      <c r="AP9" s="3">
        <f t="shared" si="4"/>
        <v>151578722</v>
      </c>
      <c r="AQ9" s="3">
        <f t="shared" si="4"/>
        <v>158685799</v>
      </c>
      <c r="AR9" s="3">
        <f t="shared" si="4"/>
        <v>165786793</v>
      </c>
      <c r="AS9" s="3">
        <f t="shared" si="4"/>
        <v>172882573</v>
      </c>
      <c r="AT9" s="3">
        <f t="shared" si="4"/>
        <v>179979696</v>
      </c>
      <c r="AU9" s="3">
        <f t="shared" si="4"/>
        <v>187077451</v>
      </c>
      <c r="AV9" s="3">
        <f t="shared" si="4"/>
        <v>194173152</v>
      </c>
      <c r="AW9" s="3">
        <f t="shared" si="4"/>
        <v>201268537</v>
      </c>
      <c r="AX9" s="3">
        <f t="shared" si="4"/>
        <v>208364238</v>
      </c>
      <c r="AY9" s="3">
        <f t="shared" si="4"/>
        <v>215460571</v>
      </c>
      <c r="AZ9" s="3">
        <f t="shared" si="4"/>
        <v>222556430</v>
      </c>
      <c r="BA9" s="3">
        <f t="shared" si="4"/>
        <v>229651025</v>
      </c>
      <c r="BB9" s="3">
        <f t="shared" si="4"/>
        <v>236743566</v>
      </c>
      <c r="BC9" s="3">
        <f t="shared" si="4"/>
        <v>243835001</v>
      </c>
      <c r="BD9" s="3">
        <f t="shared" si="4"/>
        <v>250925409</v>
      </c>
      <c r="BE9" s="3">
        <f t="shared" si="4"/>
        <v>258015501</v>
      </c>
      <c r="BF9" s="3">
        <f t="shared" si="4"/>
        <v>265104329</v>
      </c>
      <c r="BG9" s="3">
        <f t="shared" si="4"/>
        <v>272192525</v>
      </c>
      <c r="BH9" s="3">
        <f t="shared" si="4"/>
        <v>279278509</v>
      </c>
      <c r="BI9" s="3">
        <f t="shared" si="4"/>
        <v>286364572</v>
      </c>
      <c r="BJ9" s="3">
        <f t="shared" si="4"/>
        <v>293451346</v>
      </c>
      <c r="BK9" s="3">
        <f t="shared" si="4"/>
        <v>300538199</v>
      </c>
      <c r="BL9" s="3">
        <f t="shared" si="4"/>
        <v>307623077</v>
      </c>
      <c r="BM9" s="3">
        <f t="shared" si="4"/>
        <v>314706849</v>
      </c>
      <c r="BN9" s="3">
        <f t="shared" si="4"/>
        <v>321791174</v>
      </c>
      <c r="BO9" s="3">
        <f t="shared" si="4"/>
        <v>328873840</v>
      </c>
      <c r="BP9" s="3">
        <f t="shared" ref="BP9:CH9" si="5">BP8+BO9</f>
        <v>335957059</v>
      </c>
      <c r="BQ9" s="3">
        <f t="shared" si="5"/>
        <v>343040120</v>
      </c>
      <c r="BR9" s="3">
        <f t="shared" si="5"/>
        <v>350110146</v>
      </c>
      <c r="BS9" s="3">
        <f t="shared" si="5"/>
        <v>357157657</v>
      </c>
      <c r="BT9" s="3">
        <f t="shared" si="5"/>
        <v>364178545</v>
      </c>
      <c r="BU9" s="3">
        <f t="shared" si="5"/>
        <v>371162066</v>
      </c>
      <c r="BV9" s="3">
        <f t="shared" si="5"/>
        <v>378134211</v>
      </c>
      <c r="BW9" s="3">
        <f t="shared" si="5"/>
        <v>385066777</v>
      </c>
      <c r="BX9" s="3">
        <f t="shared" si="5"/>
        <v>391951706</v>
      </c>
      <c r="BY9" s="3">
        <f t="shared" si="5"/>
        <v>398724376</v>
      </c>
      <c r="BZ9" s="3">
        <f t="shared" si="5"/>
        <v>405305945</v>
      </c>
      <c r="CA9" s="3">
        <f t="shared" si="5"/>
        <v>411647354</v>
      </c>
      <c r="CB9" s="3">
        <f t="shared" si="5"/>
        <v>417574566</v>
      </c>
      <c r="CC9" s="3">
        <f t="shared" si="5"/>
        <v>422760284</v>
      </c>
      <c r="CD9" s="3">
        <f t="shared" si="5"/>
        <v>427157345</v>
      </c>
      <c r="CE9" s="3">
        <f t="shared" si="5"/>
        <v>430615175</v>
      </c>
      <c r="CF9" s="3">
        <f t="shared" si="5"/>
        <v>432730479</v>
      </c>
      <c r="CG9" s="3">
        <f t="shared" si="5"/>
        <v>433649960</v>
      </c>
      <c r="CH9" s="3">
        <f t="shared" si="5"/>
        <v>434458841</v>
      </c>
    </row>
    <row r="10" spans="1:86" ht="17" thickBot="1" x14ac:dyDescent="0.25">
      <c r="A10" s="177" t="s">
        <v>905</v>
      </c>
      <c r="B10" s="178">
        <f>B8-($B$5*B6)-B7-B3</f>
        <v>-4556598</v>
      </c>
      <c r="C10" s="178">
        <f t="shared" ref="C10:BN10" si="6">C8-($B$5*C6)-C7-C3</f>
        <v>-199310.36</v>
      </c>
      <c r="D10" s="178">
        <f t="shared" si="6"/>
        <v>-202850.6</v>
      </c>
      <c r="E10" s="178">
        <f t="shared" si="6"/>
        <v>-205953.61</v>
      </c>
      <c r="F10" s="178">
        <f t="shared" si="6"/>
        <v>-207414.12</v>
      </c>
      <c r="G10" s="178">
        <f t="shared" si="6"/>
        <v>-206256.772</v>
      </c>
      <c r="H10" s="178">
        <f t="shared" si="6"/>
        <v>-200529.25064000001</v>
      </c>
      <c r="I10" s="178">
        <f t="shared" si="6"/>
        <v>-184198.90385280002</v>
      </c>
      <c r="J10" s="178">
        <f t="shared" si="6"/>
        <v>-147555.03352985601</v>
      </c>
      <c r="K10" s="178">
        <f t="shared" si="6"/>
        <v>-70082.616200453136</v>
      </c>
      <c r="L10" s="178">
        <f t="shared" si="6"/>
        <v>89939.766275537811</v>
      </c>
      <c r="M10" s="178">
        <f t="shared" si="6"/>
        <v>414290.0860010485</v>
      </c>
      <c r="N10" s="178">
        <f t="shared" si="6"/>
        <v>1067560.5483210695</v>
      </c>
      <c r="O10" s="178">
        <f t="shared" si="6"/>
        <v>1438785.6710874906</v>
      </c>
      <c r="P10" s="178">
        <f t="shared" si="6"/>
        <v>1831347.6339092406</v>
      </c>
      <c r="Q10" s="178">
        <f t="shared" si="6"/>
        <v>2197716.7573874253</v>
      </c>
      <c r="R10" s="178">
        <f t="shared" si="6"/>
        <v>2537258.8423351739</v>
      </c>
      <c r="S10" s="178">
        <f t="shared" si="6"/>
        <v>2689975.3389818775</v>
      </c>
      <c r="T10" s="178">
        <f t="shared" si="6"/>
        <v>2849250.6861615148</v>
      </c>
      <c r="U10" s="178">
        <f t="shared" si="6"/>
        <v>2947900.3004847453</v>
      </c>
      <c r="V10" s="178">
        <f t="shared" si="6"/>
        <v>3045633.31549444</v>
      </c>
      <c r="W10" s="178">
        <f t="shared" si="6"/>
        <v>3123597.3308043284</v>
      </c>
      <c r="X10" s="178">
        <f t="shared" si="6"/>
        <v>3203398.7812204156</v>
      </c>
      <c r="Y10" s="178">
        <f t="shared" si="6"/>
        <v>3277851.5858448241</v>
      </c>
      <c r="Z10" s="178">
        <f t="shared" si="6"/>
        <v>3378619.3371617203</v>
      </c>
      <c r="AA10" s="178">
        <f t="shared" si="6"/>
        <v>3463976.3901049546</v>
      </c>
      <c r="AB10" s="178">
        <f t="shared" si="6"/>
        <v>3522598.6811070535</v>
      </c>
      <c r="AC10" s="178">
        <f t="shared" si="6"/>
        <v>3618045.5071291947</v>
      </c>
      <c r="AD10" s="178">
        <f t="shared" si="6"/>
        <v>3723245.9246717785</v>
      </c>
      <c r="AE10" s="178">
        <f t="shared" si="6"/>
        <v>3829174.5187652144</v>
      </c>
      <c r="AF10" s="178">
        <f t="shared" si="6"/>
        <v>3882553.9219405181</v>
      </c>
      <c r="AG10" s="178">
        <f t="shared" si="6"/>
        <v>3983609.0831793295</v>
      </c>
      <c r="AH10" s="178">
        <f t="shared" si="6"/>
        <v>4046362.0968429148</v>
      </c>
      <c r="AI10" s="178">
        <f t="shared" si="6"/>
        <v>4142992.4415797736</v>
      </c>
      <c r="AJ10" s="178">
        <f t="shared" si="6"/>
        <v>4241428.95921137</v>
      </c>
      <c r="AK10" s="178">
        <f t="shared" si="6"/>
        <v>4345864.0035955971</v>
      </c>
      <c r="AL10" s="178">
        <f t="shared" si="6"/>
        <v>4438766.2094675088</v>
      </c>
      <c r="AM10" s="178">
        <f t="shared" si="6"/>
        <v>4532201.2012568591</v>
      </c>
      <c r="AN10" s="178">
        <f t="shared" si="6"/>
        <v>4600649.1618819954</v>
      </c>
      <c r="AO10" s="178">
        <f t="shared" si="6"/>
        <v>4653417.0315196365</v>
      </c>
      <c r="AP10" s="178">
        <f t="shared" si="6"/>
        <v>4694466.9763500281</v>
      </c>
      <c r="AQ10" s="178">
        <f t="shared" si="6"/>
        <v>4728565.6772770286</v>
      </c>
      <c r="AR10" s="178">
        <f t="shared" si="6"/>
        <v>4715308.3286225703</v>
      </c>
      <c r="AS10" s="178">
        <f t="shared" si="6"/>
        <v>4702506.5067950217</v>
      </c>
      <c r="AT10" s="178">
        <f t="shared" si="6"/>
        <v>4694294.5189309213</v>
      </c>
      <c r="AU10" s="178">
        <f t="shared" si="6"/>
        <v>4685381.5215095403</v>
      </c>
      <c r="AV10" s="178">
        <f t="shared" si="6"/>
        <v>4674327.0889397301</v>
      </c>
      <c r="AW10" s="178">
        <f t="shared" si="6"/>
        <v>4664345.7921185251</v>
      </c>
      <c r="AX10" s="178">
        <f t="shared" si="6"/>
        <v>4654629.2269608956</v>
      </c>
      <c r="AY10" s="178">
        <f t="shared" si="6"/>
        <v>4644943.6129001137</v>
      </c>
      <c r="AZ10" s="178">
        <f t="shared" si="6"/>
        <v>4634250.5113581158</v>
      </c>
      <c r="BA10" s="178">
        <f t="shared" si="6"/>
        <v>4622775.7441852782</v>
      </c>
      <c r="BB10" s="178">
        <f t="shared" si="6"/>
        <v>4610515.1720689842</v>
      </c>
      <c r="BC10" s="178">
        <f t="shared" si="6"/>
        <v>4598728.9129103636</v>
      </c>
      <c r="BD10" s="178">
        <f t="shared" si="6"/>
        <v>4586780.4901685705</v>
      </c>
      <c r="BE10" s="178">
        <f t="shared" si="6"/>
        <v>4575125.2711719424</v>
      </c>
      <c r="BF10" s="178">
        <f t="shared" si="6"/>
        <v>4562551.9053953812</v>
      </c>
      <c r="BG10" s="178">
        <f t="shared" si="6"/>
        <v>4550205.2227032883</v>
      </c>
      <c r="BH10" s="178">
        <f t="shared" si="6"/>
        <v>4536471.4015573543</v>
      </c>
      <c r="BI10" s="178">
        <f t="shared" si="6"/>
        <v>4524161.7171885017</v>
      </c>
      <c r="BJ10" s="178">
        <f t="shared" si="6"/>
        <v>4512064.449732272</v>
      </c>
      <c r="BK10" s="178">
        <f t="shared" si="6"/>
        <v>4499255.1323269168</v>
      </c>
      <c r="BL10" s="178">
        <f t="shared" si="6"/>
        <v>4484694.2591734556</v>
      </c>
      <c r="BM10" s="178">
        <f t="shared" si="6"/>
        <v>4470503.0735569242</v>
      </c>
      <c r="BN10" s="178">
        <f t="shared" si="6"/>
        <v>4457251.0258280626</v>
      </c>
      <c r="BO10" s="178">
        <f t="shared" ref="BO10:CH10" si="7">BO8-($B$5*BO6)-BO7-BO3</f>
        <v>4442116.7313446244</v>
      </c>
      <c r="BP10" s="178">
        <f t="shared" si="7"/>
        <v>4428313.0483715162</v>
      </c>
      <c r="BQ10" s="178">
        <f t="shared" si="7"/>
        <v>4413708.015938947</v>
      </c>
      <c r="BR10" s="178">
        <f t="shared" si="7"/>
        <v>4389445.5716577256</v>
      </c>
      <c r="BS10" s="178">
        <f t="shared" si="7"/>
        <v>4357991.1294908812</v>
      </c>
      <c r="BT10" s="178">
        <f t="shared" si="7"/>
        <v>4323246.7374806982</v>
      </c>
      <c r="BU10" s="178">
        <f t="shared" si="7"/>
        <v>4280378.8854303118</v>
      </c>
      <c r="BV10" s="178">
        <f t="shared" si="7"/>
        <v>4256104.9725389183</v>
      </c>
      <c r="BW10" s="178">
        <f t="shared" si="7"/>
        <v>4210994.3049896965</v>
      </c>
      <c r="BX10" s="178">
        <f t="shared" si="7"/>
        <v>4159695.3334894902</v>
      </c>
      <c r="BY10" s="178">
        <f t="shared" si="7"/>
        <v>4061053.0107592796</v>
      </c>
      <c r="BZ10" s="178">
        <f t="shared" si="7"/>
        <v>3904716.0789744658</v>
      </c>
      <c r="CA10" s="178">
        <f t="shared" si="7"/>
        <v>3712343.937153955</v>
      </c>
      <c r="CB10" s="178">
        <f t="shared" si="7"/>
        <v>3393012.1184970341</v>
      </c>
      <c r="CC10" s="178">
        <f t="shared" si="7"/>
        <v>2835221.7576669748</v>
      </c>
      <c r="CD10" s="178">
        <f t="shared" si="7"/>
        <v>2242754.2680203142</v>
      </c>
      <c r="CE10" s="178">
        <f t="shared" si="7"/>
        <v>1540374.0687807202</v>
      </c>
      <c r="CF10" s="178">
        <f t="shared" si="7"/>
        <v>544227.13215633482</v>
      </c>
      <c r="CG10" s="178">
        <f t="shared" si="7"/>
        <v>-345588.04960053856</v>
      </c>
      <c r="CH10" s="178">
        <f t="shared" si="7"/>
        <v>-446335.67719254934</v>
      </c>
    </row>
    <row r="11" spans="1:86" ht="17" thickBot="1" x14ac:dyDescent="0.25">
      <c r="A11" s="196"/>
      <c r="B11" s="196"/>
      <c r="C11" s="196"/>
      <c r="D11" s="196"/>
      <c r="E11" s="196"/>
      <c r="F11" s="196"/>
      <c r="G11" s="196"/>
      <c r="H11" s="196"/>
      <c r="I11" s="196"/>
      <c r="J11" s="196"/>
      <c r="K11" s="196"/>
      <c r="L11" s="196"/>
      <c r="M11" s="196"/>
      <c r="N11" s="196"/>
      <c r="O11" s="196"/>
      <c r="P11" s="196"/>
      <c r="Q11" s="196"/>
      <c r="R11" s="196"/>
      <c r="S11" s="196"/>
      <c r="T11" s="196"/>
      <c r="U11" s="196"/>
      <c r="V11" s="196"/>
      <c r="W11" s="196"/>
      <c r="X11" s="196"/>
      <c r="Y11" s="196"/>
      <c r="Z11" s="196"/>
      <c r="AA11" s="196"/>
      <c r="AB11" s="196"/>
      <c r="AC11" s="196"/>
      <c r="AD11" s="196"/>
      <c r="AE11" s="196"/>
      <c r="AF11" s="196"/>
      <c r="AG11" s="196"/>
      <c r="AH11" s="196"/>
      <c r="AI11" s="196"/>
      <c r="AJ11" s="196"/>
      <c r="AK11" s="196"/>
      <c r="AL11" s="196"/>
      <c r="AM11" s="196"/>
      <c r="AN11" s="196"/>
      <c r="AO11" s="196"/>
      <c r="AP11" s="196"/>
      <c r="AQ11" s="196"/>
      <c r="AR11" s="196"/>
      <c r="AS11" s="196"/>
      <c r="AT11" s="196"/>
      <c r="AU11" s="196"/>
      <c r="AV11" s="196"/>
      <c r="AW11" s="196"/>
      <c r="AX11" s="196"/>
      <c r="AY11" s="196"/>
      <c r="AZ11" s="196"/>
      <c r="BA11" s="196"/>
      <c r="BB11" s="196"/>
      <c r="BC11" s="196"/>
      <c r="BD11" s="196"/>
      <c r="BE11" s="196"/>
      <c r="BF11" s="196"/>
      <c r="BG11" s="196"/>
      <c r="BH11" s="196"/>
      <c r="BI11" s="196"/>
      <c r="BJ11" s="196"/>
      <c r="BK11" s="196"/>
      <c r="BL11" s="196"/>
      <c r="BM11" s="196"/>
      <c r="BN11" s="196"/>
      <c r="BO11" s="196"/>
      <c r="BP11" s="196"/>
      <c r="BQ11" s="196"/>
      <c r="BR11" s="196"/>
      <c r="BS11" s="196"/>
      <c r="BT11" s="196"/>
      <c r="BU11" s="196"/>
      <c r="BV11" s="196"/>
      <c r="BW11" s="196"/>
      <c r="BX11" s="196"/>
      <c r="BY11" s="196"/>
      <c r="BZ11" s="196"/>
      <c r="CA11" s="196"/>
      <c r="CB11" s="196"/>
      <c r="CC11" s="196"/>
      <c r="CD11" s="196"/>
      <c r="CE11" s="196"/>
      <c r="CF11" s="196"/>
      <c r="CG11" s="196"/>
      <c r="CH11" s="196"/>
    </row>
    <row r="12" spans="1:86" x14ac:dyDescent="0.2">
      <c r="A12" s="192" t="s">
        <v>906</v>
      </c>
      <c r="B12" s="197"/>
      <c r="C12" s="197"/>
      <c r="D12" s="197"/>
      <c r="E12" s="197"/>
      <c r="F12" s="197"/>
      <c r="G12" s="197"/>
      <c r="H12" s="197"/>
      <c r="I12" s="197"/>
      <c r="J12" s="197"/>
      <c r="K12" s="197"/>
      <c r="L12" s="197"/>
      <c r="M12" s="197"/>
      <c r="N12" s="197"/>
      <c r="O12" s="197"/>
      <c r="P12" s="197"/>
      <c r="Q12" s="197"/>
      <c r="R12" s="197"/>
      <c r="S12" s="197"/>
      <c r="T12" s="197"/>
      <c r="U12" s="197"/>
      <c r="V12" s="197"/>
      <c r="W12" s="197"/>
      <c r="X12" s="197"/>
      <c r="Y12" s="197"/>
      <c r="Z12" s="197"/>
      <c r="AA12" s="197"/>
      <c r="AB12" s="197"/>
      <c r="AC12" s="197"/>
      <c r="AD12" s="197"/>
      <c r="AE12" s="197"/>
      <c r="AF12" s="197"/>
      <c r="AG12" s="197"/>
      <c r="AH12" s="197"/>
      <c r="AI12" s="197"/>
      <c r="AJ12" s="197"/>
      <c r="AK12" s="197"/>
      <c r="AL12" s="197"/>
      <c r="AM12" s="197"/>
      <c r="AN12" s="197"/>
      <c r="AO12" s="197"/>
      <c r="AP12" s="197"/>
      <c r="AQ12" s="197"/>
      <c r="AR12" s="197"/>
      <c r="AS12" s="197"/>
      <c r="AT12" s="197"/>
      <c r="AU12" s="197"/>
      <c r="AV12" s="197"/>
      <c r="AW12" s="197"/>
      <c r="AX12" s="197"/>
      <c r="AY12" s="197"/>
      <c r="AZ12" s="197"/>
      <c r="BA12" s="197"/>
      <c r="BB12" s="197"/>
      <c r="BC12" s="197"/>
      <c r="BD12" s="197"/>
      <c r="BE12" s="197"/>
      <c r="BF12" s="197"/>
      <c r="BG12" s="197"/>
      <c r="BH12" s="197"/>
      <c r="BI12" s="197"/>
      <c r="BJ12" s="197"/>
      <c r="BK12" s="197"/>
      <c r="BL12" s="197"/>
      <c r="BM12" s="197"/>
      <c r="BN12" s="197"/>
      <c r="BO12" s="197"/>
      <c r="BP12" s="197"/>
      <c r="BQ12" s="197"/>
      <c r="BR12" s="197"/>
      <c r="BS12" s="197"/>
      <c r="BT12" s="197"/>
      <c r="BU12" s="197"/>
      <c r="BV12" s="197"/>
      <c r="BW12" s="197"/>
      <c r="BX12" s="197"/>
      <c r="BY12" s="197"/>
      <c r="BZ12" s="197"/>
      <c r="CA12" s="197"/>
      <c r="CB12" s="197"/>
      <c r="CC12" s="197"/>
      <c r="CD12" s="197"/>
      <c r="CE12" s="197"/>
      <c r="CF12" s="197"/>
      <c r="CG12" s="197"/>
      <c r="CH12" s="198"/>
    </row>
    <row r="13" spans="1:86" x14ac:dyDescent="0.2">
      <c r="A13" s="10" t="s">
        <v>907</v>
      </c>
      <c r="B13" s="3">
        <v>23765</v>
      </c>
      <c r="C13" s="3"/>
      <c r="D13" s="3"/>
      <c r="E13" s="3"/>
      <c r="F13" s="3"/>
      <c r="G13" s="3"/>
      <c r="H13" s="3"/>
      <c r="I13" s="3"/>
      <c r="J13" s="3"/>
      <c r="K13" s="3"/>
      <c r="L13" s="3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  <c r="BA13" s="3"/>
      <c r="BB13" s="3"/>
      <c r="BC13" s="3"/>
      <c r="BD13" s="3"/>
      <c r="BE13" s="3"/>
      <c r="BF13" s="3"/>
      <c r="BG13" s="3"/>
      <c r="BH13" s="3"/>
      <c r="BI13" s="3"/>
      <c r="BJ13" s="3"/>
      <c r="BK13" s="3"/>
      <c r="BL13" s="3"/>
      <c r="BM13" s="3"/>
      <c r="BN13" s="3"/>
      <c r="BO13" s="3"/>
      <c r="BP13" s="3"/>
      <c r="BQ13" s="3"/>
      <c r="BR13" s="3"/>
      <c r="BS13" s="3"/>
      <c r="BT13" s="3"/>
      <c r="BU13" s="3"/>
      <c r="BV13" s="3"/>
      <c r="BW13" s="3"/>
      <c r="BX13" s="3"/>
      <c r="BY13" s="3"/>
      <c r="BZ13" s="3"/>
      <c r="CA13" s="3"/>
      <c r="CB13" s="3"/>
      <c r="CC13" s="3"/>
      <c r="CD13" s="3"/>
      <c r="CE13" s="3"/>
      <c r="CF13" s="3"/>
      <c r="CG13" s="3"/>
      <c r="CH13" s="11"/>
    </row>
    <row r="14" spans="1:86" x14ac:dyDescent="0.2">
      <c r="A14" s="10" t="s">
        <v>908</v>
      </c>
      <c r="B14" s="3">
        <v>34.950000000000003</v>
      </c>
      <c r="C14" s="3"/>
      <c r="D14" s="3"/>
      <c r="E14" s="3"/>
      <c r="F14" s="3"/>
      <c r="G14" s="3"/>
      <c r="H14" s="3"/>
      <c r="I14" s="3"/>
      <c r="J14" s="3"/>
      <c r="K14" s="3"/>
      <c r="L14" s="3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  <c r="BA14" s="3"/>
      <c r="BB14" s="3"/>
      <c r="BC14" s="3"/>
      <c r="BD14" s="3"/>
      <c r="BE14" s="3"/>
      <c r="BF14" s="3"/>
      <c r="BG14" s="3"/>
      <c r="BH14" s="3"/>
      <c r="BI14" s="3"/>
      <c r="BJ14" s="3"/>
      <c r="BK14" s="3"/>
      <c r="BL14" s="3"/>
      <c r="BM14" s="3"/>
      <c r="BN14" s="3"/>
      <c r="BO14" s="3"/>
      <c r="BP14" s="3"/>
      <c r="BQ14" s="3"/>
      <c r="BR14" s="3"/>
      <c r="BS14" s="3"/>
      <c r="BT14" s="3"/>
      <c r="BU14" s="3"/>
      <c r="BV14" s="3"/>
      <c r="BW14" s="3"/>
      <c r="BX14" s="3"/>
      <c r="BY14" s="3"/>
      <c r="BZ14" s="3"/>
      <c r="CA14" s="3"/>
      <c r="CB14" s="3"/>
      <c r="CC14" s="3"/>
      <c r="CD14" s="3"/>
      <c r="CE14" s="3"/>
      <c r="CF14" s="3"/>
      <c r="CG14" s="3"/>
      <c r="CH14" s="11"/>
    </row>
    <row r="15" spans="1:86" x14ac:dyDescent="0.2">
      <c r="A15" s="10" t="s">
        <v>909</v>
      </c>
      <c r="B15" s="3">
        <v>6.24</v>
      </c>
      <c r="C15" s="3"/>
      <c r="D15" s="3"/>
      <c r="E15" s="3"/>
      <c r="F15" s="3"/>
      <c r="G15" s="3"/>
      <c r="H15" s="3"/>
      <c r="I15" s="3"/>
      <c r="J15" s="3"/>
      <c r="K15" s="3"/>
      <c r="L15" s="3"/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  <c r="AY15" s="3"/>
      <c r="AZ15" s="3"/>
      <c r="BA15" s="3"/>
      <c r="BB15" s="3"/>
      <c r="BC15" s="3"/>
      <c r="BD15" s="3"/>
      <c r="BE15" s="3"/>
      <c r="BF15" s="3"/>
      <c r="BG15" s="3"/>
      <c r="BH15" s="3"/>
      <c r="BI15" s="3"/>
      <c r="BJ15" s="3"/>
      <c r="BK15" s="3"/>
      <c r="BL15" s="3"/>
      <c r="BM15" s="3"/>
      <c r="BN15" s="3"/>
      <c r="BO15" s="3"/>
      <c r="BP15" s="3"/>
      <c r="BQ15" s="3"/>
      <c r="BR15" s="3"/>
      <c r="BS15" s="3"/>
      <c r="BT15" s="3"/>
      <c r="BU15" s="3"/>
      <c r="BV15" s="3"/>
      <c r="BW15" s="3"/>
      <c r="BX15" s="3"/>
      <c r="BY15" s="3"/>
      <c r="BZ15" s="3"/>
      <c r="CA15" s="3"/>
      <c r="CB15" s="3"/>
      <c r="CC15" s="3"/>
      <c r="CD15" s="3"/>
      <c r="CE15" s="3"/>
      <c r="CF15" s="3"/>
      <c r="CG15" s="3"/>
      <c r="CH15" s="11"/>
    </row>
    <row r="16" spans="1:86" x14ac:dyDescent="0.2">
      <c r="A16" s="10" t="s">
        <v>910</v>
      </c>
      <c r="B16" s="3">
        <v>0</v>
      </c>
      <c r="C16" s="3">
        <v>4</v>
      </c>
      <c r="D16" s="3">
        <v>12</v>
      </c>
      <c r="E16" s="3">
        <v>14</v>
      </c>
      <c r="F16" s="3">
        <v>16</v>
      </c>
      <c r="G16" s="3">
        <v>19</v>
      </c>
      <c r="H16" s="3">
        <v>22</v>
      </c>
      <c r="I16" s="3">
        <v>26</v>
      </c>
      <c r="J16" s="3">
        <v>31</v>
      </c>
      <c r="K16" s="3">
        <v>37</v>
      </c>
      <c r="L16" s="3">
        <v>44</v>
      </c>
      <c r="M16" s="3">
        <v>52</v>
      </c>
      <c r="N16" s="3">
        <v>62</v>
      </c>
      <c r="O16" s="3">
        <v>74</v>
      </c>
      <c r="P16" s="3">
        <v>88</v>
      </c>
      <c r="Q16" s="3">
        <v>89</v>
      </c>
      <c r="R16" s="3">
        <v>93</v>
      </c>
      <c r="S16" s="3">
        <v>97</v>
      </c>
      <c r="T16" s="3">
        <v>92</v>
      </c>
      <c r="U16" s="3">
        <v>94</v>
      </c>
      <c r="V16" s="3">
        <v>91</v>
      </c>
      <c r="W16" s="3">
        <v>86</v>
      </c>
      <c r="X16" s="3">
        <v>70</v>
      </c>
      <c r="Y16" s="3">
        <v>58</v>
      </c>
      <c r="Z16" s="3">
        <v>47</v>
      </c>
      <c r="AA16" s="3">
        <v>30</v>
      </c>
      <c r="AB16" s="3">
        <v>20</v>
      </c>
      <c r="AC16" s="3">
        <v>4</v>
      </c>
      <c r="AD16" s="3">
        <v>0</v>
      </c>
      <c r="AE16" s="3">
        <v>0</v>
      </c>
      <c r="AF16" s="3">
        <v>0</v>
      </c>
      <c r="AG16" s="3">
        <v>0</v>
      </c>
      <c r="AH16" s="3">
        <v>0</v>
      </c>
      <c r="AI16" s="3">
        <v>0</v>
      </c>
      <c r="AJ16" s="3">
        <v>0</v>
      </c>
      <c r="AK16" s="3">
        <v>0</v>
      </c>
      <c r="AL16" s="3">
        <v>0</v>
      </c>
      <c r="AM16" s="3">
        <v>0</v>
      </c>
      <c r="AN16" s="3">
        <v>0</v>
      </c>
      <c r="AO16" s="3">
        <v>0</v>
      </c>
      <c r="AP16" s="3">
        <v>0</v>
      </c>
      <c r="AQ16" s="3">
        <v>0</v>
      </c>
      <c r="AR16" s="3">
        <v>0</v>
      </c>
      <c r="AS16" s="3">
        <v>0</v>
      </c>
      <c r="AT16" s="3">
        <v>0</v>
      </c>
      <c r="AU16" s="3">
        <v>0</v>
      </c>
      <c r="AV16" s="3">
        <v>0</v>
      </c>
      <c r="AW16" s="3">
        <v>0</v>
      </c>
      <c r="AX16" s="3">
        <v>0</v>
      </c>
      <c r="AY16" s="3">
        <v>0</v>
      </c>
      <c r="AZ16" s="3">
        <v>0</v>
      </c>
      <c r="BA16" s="3">
        <v>0</v>
      </c>
      <c r="BB16" s="3">
        <v>0</v>
      </c>
      <c r="BC16" s="3">
        <v>0</v>
      </c>
      <c r="BD16" s="3">
        <v>0</v>
      </c>
      <c r="BE16" s="3">
        <v>0</v>
      </c>
      <c r="BF16" s="3">
        <v>0</v>
      </c>
      <c r="BG16" s="3">
        <v>0</v>
      </c>
      <c r="BH16" s="3">
        <v>0</v>
      </c>
      <c r="BI16" s="3">
        <v>0</v>
      </c>
      <c r="BJ16" s="3">
        <v>0</v>
      </c>
      <c r="BK16" s="3">
        <v>0</v>
      </c>
      <c r="BL16" s="3">
        <v>0</v>
      </c>
      <c r="BM16" s="3">
        <v>0</v>
      </c>
      <c r="BN16" s="3">
        <v>0</v>
      </c>
      <c r="BO16" s="3">
        <v>0</v>
      </c>
      <c r="BP16" s="3">
        <v>0</v>
      </c>
      <c r="BQ16" s="3">
        <v>0</v>
      </c>
      <c r="BR16" s="3">
        <v>0</v>
      </c>
      <c r="BS16" s="3">
        <v>0</v>
      </c>
      <c r="BT16" s="3">
        <v>0</v>
      </c>
      <c r="BU16" s="3">
        <v>0</v>
      </c>
      <c r="BV16" s="3">
        <v>0</v>
      </c>
      <c r="BW16" s="3">
        <v>0</v>
      </c>
      <c r="BX16" s="3">
        <v>0</v>
      </c>
      <c r="BY16" s="3">
        <v>0</v>
      </c>
      <c r="BZ16" s="3">
        <v>0</v>
      </c>
      <c r="CA16" s="3">
        <v>0</v>
      </c>
      <c r="CB16" s="3">
        <v>0</v>
      </c>
      <c r="CC16" s="3">
        <v>0</v>
      </c>
      <c r="CD16" s="3">
        <v>0</v>
      </c>
      <c r="CE16" s="3">
        <v>0</v>
      </c>
      <c r="CF16" s="3">
        <v>0</v>
      </c>
      <c r="CG16" s="3">
        <v>0</v>
      </c>
      <c r="CH16" s="11">
        <v>0</v>
      </c>
    </row>
    <row r="17" spans="1:86" x14ac:dyDescent="0.2">
      <c r="A17" s="10" t="s">
        <v>911</v>
      </c>
      <c r="B17" s="3">
        <v>670</v>
      </c>
      <c r="C17" s="3">
        <f ca="1">RANDBETWEEN(600, 750)</f>
        <v>719</v>
      </c>
      <c r="D17" s="3">
        <f t="shared" ref="D17:BO17" ca="1" si="8">RANDBETWEEN(600, 750)</f>
        <v>749</v>
      </c>
      <c r="E17" s="3">
        <f t="shared" ca="1" si="8"/>
        <v>624</v>
      </c>
      <c r="F17" s="3">
        <f t="shared" ca="1" si="8"/>
        <v>616</v>
      </c>
      <c r="G17" s="3">
        <f t="shared" ca="1" si="8"/>
        <v>671</v>
      </c>
      <c r="H17" s="3">
        <f t="shared" ca="1" si="8"/>
        <v>718</v>
      </c>
      <c r="I17" s="3">
        <f t="shared" ca="1" si="8"/>
        <v>719</v>
      </c>
      <c r="J17" s="3">
        <f t="shared" ca="1" si="8"/>
        <v>706</v>
      </c>
      <c r="K17" s="3">
        <f t="shared" ca="1" si="8"/>
        <v>746</v>
      </c>
      <c r="L17" s="3">
        <f t="shared" ca="1" si="8"/>
        <v>608</v>
      </c>
      <c r="M17" s="3">
        <f t="shared" ca="1" si="8"/>
        <v>671</v>
      </c>
      <c r="N17" s="3">
        <f t="shared" ca="1" si="8"/>
        <v>622</v>
      </c>
      <c r="O17" s="3">
        <f t="shared" ca="1" si="8"/>
        <v>692</v>
      </c>
      <c r="P17" s="3">
        <f t="shared" ca="1" si="8"/>
        <v>663</v>
      </c>
      <c r="Q17" s="3">
        <f t="shared" ca="1" si="8"/>
        <v>723</v>
      </c>
      <c r="R17" s="3">
        <f t="shared" ca="1" si="8"/>
        <v>662</v>
      </c>
      <c r="S17" s="3">
        <f t="shared" ca="1" si="8"/>
        <v>687</v>
      </c>
      <c r="T17" s="3">
        <f t="shared" ca="1" si="8"/>
        <v>698</v>
      </c>
      <c r="U17" s="3">
        <f t="shared" ca="1" si="8"/>
        <v>748</v>
      </c>
      <c r="V17" s="3">
        <f t="shared" ca="1" si="8"/>
        <v>727</v>
      </c>
      <c r="W17" s="3">
        <f t="shared" ca="1" si="8"/>
        <v>643</v>
      </c>
      <c r="X17" s="3">
        <f t="shared" ca="1" si="8"/>
        <v>665</v>
      </c>
      <c r="Y17" s="3">
        <f t="shared" ca="1" si="8"/>
        <v>714</v>
      </c>
      <c r="Z17" s="3">
        <f t="shared" ca="1" si="8"/>
        <v>661</v>
      </c>
      <c r="AA17" s="3">
        <f t="shared" ca="1" si="8"/>
        <v>666</v>
      </c>
      <c r="AB17" s="3">
        <f t="shared" ca="1" si="8"/>
        <v>653</v>
      </c>
      <c r="AC17" s="3">
        <f t="shared" ca="1" si="8"/>
        <v>606</v>
      </c>
      <c r="AD17" s="3">
        <f t="shared" ca="1" si="8"/>
        <v>618</v>
      </c>
      <c r="AE17" s="3">
        <f t="shared" ca="1" si="8"/>
        <v>734</v>
      </c>
      <c r="AF17" s="3">
        <f t="shared" ca="1" si="8"/>
        <v>628</v>
      </c>
      <c r="AG17" s="3">
        <f t="shared" ca="1" si="8"/>
        <v>652</v>
      </c>
      <c r="AH17" s="3">
        <f t="shared" ca="1" si="8"/>
        <v>724</v>
      </c>
      <c r="AI17" s="3">
        <f t="shared" ca="1" si="8"/>
        <v>631</v>
      </c>
      <c r="AJ17" s="3">
        <f t="shared" ca="1" si="8"/>
        <v>603</v>
      </c>
      <c r="AK17" s="3">
        <f t="shared" ca="1" si="8"/>
        <v>699</v>
      </c>
      <c r="AL17" s="3">
        <f t="shared" ca="1" si="8"/>
        <v>743</v>
      </c>
      <c r="AM17" s="3">
        <f t="shared" ca="1" si="8"/>
        <v>647</v>
      </c>
      <c r="AN17" s="3">
        <f t="shared" ca="1" si="8"/>
        <v>609</v>
      </c>
      <c r="AO17" s="3">
        <f t="shared" ca="1" si="8"/>
        <v>689</v>
      </c>
      <c r="AP17" s="3">
        <f t="shared" ca="1" si="8"/>
        <v>626</v>
      </c>
      <c r="AQ17" s="3">
        <f t="shared" ca="1" si="8"/>
        <v>673</v>
      </c>
      <c r="AR17" s="3">
        <f t="shared" ca="1" si="8"/>
        <v>623</v>
      </c>
      <c r="AS17" s="3">
        <f t="shared" ca="1" si="8"/>
        <v>644</v>
      </c>
      <c r="AT17" s="3">
        <f t="shared" ca="1" si="8"/>
        <v>723</v>
      </c>
      <c r="AU17" s="3">
        <f t="shared" ca="1" si="8"/>
        <v>708</v>
      </c>
      <c r="AV17" s="3">
        <f t="shared" ca="1" si="8"/>
        <v>740</v>
      </c>
      <c r="AW17" s="3">
        <f t="shared" ca="1" si="8"/>
        <v>648</v>
      </c>
      <c r="AX17" s="3">
        <f t="shared" ca="1" si="8"/>
        <v>740</v>
      </c>
      <c r="AY17" s="3">
        <f t="shared" ca="1" si="8"/>
        <v>674</v>
      </c>
      <c r="AZ17" s="3">
        <f t="shared" ca="1" si="8"/>
        <v>667</v>
      </c>
      <c r="BA17" s="3">
        <f t="shared" ca="1" si="8"/>
        <v>624</v>
      </c>
      <c r="BB17" s="3">
        <f t="shared" ca="1" si="8"/>
        <v>670</v>
      </c>
      <c r="BC17" s="3">
        <f t="shared" ca="1" si="8"/>
        <v>704</v>
      </c>
      <c r="BD17" s="3">
        <f t="shared" ca="1" si="8"/>
        <v>716</v>
      </c>
      <c r="BE17" s="3">
        <f t="shared" ca="1" si="8"/>
        <v>743</v>
      </c>
      <c r="BF17" s="3">
        <f t="shared" ca="1" si="8"/>
        <v>681</v>
      </c>
      <c r="BG17" s="3">
        <f t="shared" ca="1" si="8"/>
        <v>667</v>
      </c>
      <c r="BH17" s="3">
        <f t="shared" ca="1" si="8"/>
        <v>682</v>
      </c>
      <c r="BI17" s="3">
        <f t="shared" ca="1" si="8"/>
        <v>735</v>
      </c>
      <c r="BJ17" s="3">
        <f t="shared" ca="1" si="8"/>
        <v>607</v>
      </c>
      <c r="BK17" s="3">
        <f t="shared" ca="1" si="8"/>
        <v>720</v>
      </c>
      <c r="BL17" s="3">
        <f t="shared" ca="1" si="8"/>
        <v>698</v>
      </c>
      <c r="BM17" s="3">
        <f t="shared" ca="1" si="8"/>
        <v>659</v>
      </c>
      <c r="BN17" s="3">
        <f t="shared" ca="1" si="8"/>
        <v>740</v>
      </c>
      <c r="BO17" s="3">
        <f t="shared" ca="1" si="8"/>
        <v>666</v>
      </c>
      <c r="BP17" s="3">
        <f t="shared" ref="BP17:CH17" ca="1" si="9">RANDBETWEEN(600, 750)</f>
        <v>649</v>
      </c>
      <c r="BQ17" s="3">
        <f t="shared" ca="1" si="9"/>
        <v>695</v>
      </c>
      <c r="BR17" s="3">
        <f t="shared" ca="1" si="9"/>
        <v>694</v>
      </c>
      <c r="BS17" s="3">
        <f t="shared" ca="1" si="9"/>
        <v>703</v>
      </c>
      <c r="BT17" s="3">
        <f t="shared" ca="1" si="9"/>
        <v>678</v>
      </c>
      <c r="BU17" s="3">
        <f t="shared" ca="1" si="9"/>
        <v>624</v>
      </c>
      <c r="BV17" s="3">
        <f t="shared" ca="1" si="9"/>
        <v>648</v>
      </c>
      <c r="BW17" s="3">
        <f t="shared" ca="1" si="9"/>
        <v>717</v>
      </c>
      <c r="BX17" s="3">
        <f t="shared" ca="1" si="9"/>
        <v>607</v>
      </c>
      <c r="BY17" s="3">
        <f t="shared" ca="1" si="9"/>
        <v>657</v>
      </c>
      <c r="BZ17" s="3">
        <f t="shared" ca="1" si="9"/>
        <v>603</v>
      </c>
      <c r="CA17" s="3">
        <f t="shared" ca="1" si="9"/>
        <v>626</v>
      </c>
      <c r="CB17" s="3">
        <f t="shared" ca="1" si="9"/>
        <v>749</v>
      </c>
      <c r="CC17" s="3">
        <f t="shared" ca="1" si="9"/>
        <v>750</v>
      </c>
      <c r="CD17" s="3">
        <f t="shared" ca="1" si="9"/>
        <v>652</v>
      </c>
      <c r="CE17" s="3">
        <f t="shared" ca="1" si="9"/>
        <v>654</v>
      </c>
      <c r="CF17" s="3">
        <f t="shared" ca="1" si="9"/>
        <v>626</v>
      </c>
      <c r="CG17" s="3">
        <f t="shared" ca="1" si="9"/>
        <v>686</v>
      </c>
      <c r="CH17" s="11">
        <f t="shared" ca="1" si="9"/>
        <v>634</v>
      </c>
    </row>
    <row r="18" spans="1:86" x14ac:dyDescent="0.2">
      <c r="A18" s="10" t="s">
        <v>912</v>
      </c>
      <c r="B18" s="3">
        <f>B16*$B$14</f>
        <v>0</v>
      </c>
      <c r="C18" s="3">
        <f t="shared" ref="C18:BN18" si="10">C16*$B$14</f>
        <v>139.80000000000001</v>
      </c>
      <c r="D18" s="3">
        <f t="shared" si="10"/>
        <v>419.40000000000003</v>
      </c>
      <c r="E18" s="3">
        <f t="shared" si="10"/>
        <v>489.30000000000007</v>
      </c>
      <c r="F18" s="3">
        <f t="shared" si="10"/>
        <v>559.20000000000005</v>
      </c>
      <c r="G18" s="3">
        <f t="shared" si="10"/>
        <v>664.05000000000007</v>
      </c>
      <c r="H18" s="3">
        <f t="shared" si="10"/>
        <v>768.90000000000009</v>
      </c>
      <c r="I18" s="3">
        <f t="shared" si="10"/>
        <v>908.7</v>
      </c>
      <c r="J18" s="3">
        <f t="shared" si="10"/>
        <v>1083.45</v>
      </c>
      <c r="K18" s="3">
        <f t="shared" si="10"/>
        <v>1293.1500000000001</v>
      </c>
      <c r="L18" s="3">
        <f t="shared" si="10"/>
        <v>1537.8000000000002</v>
      </c>
      <c r="M18" s="3">
        <f t="shared" si="10"/>
        <v>1817.4</v>
      </c>
      <c r="N18" s="3">
        <f t="shared" si="10"/>
        <v>2166.9</v>
      </c>
      <c r="O18" s="3">
        <f t="shared" si="10"/>
        <v>2586.3000000000002</v>
      </c>
      <c r="P18" s="3">
        <f t="shared" si="10"/>
        <v>3075.6000000000004</v>
      </c>
      <c r="Q18" s="3">
        <f t="shared" si="10"/>
        <v>3110.55</v>
      </c>
      <c r="R18" s="3">
        <f t="shared" si="10"/>
        <v>3250.3500000000004</v>
      </c>
      <c r="S18" s="3">
        <f t="shared" si="10"/>
        <v>3390.15</v>
      </c>
      <c r="T18" s="3">
        <f t="shared" si="10"/>
        <v>3215.4</v>
      </c>
      <c r="U18" s="3">
        <f t="shared" si="10"/>
        <v>3285.3</v>
      </c>
      <c r="V18" s="3">
        <f t="shared" si="10"/>
        <v>3180.4500000000003</v>
      </c>
      <c r="W18" s="3">
        <f t="shared" si="10"/>
        <v>3005.7000000000003</v>
      </c>
      <c r="X18" s="3">
        <f t="shared" si="10"/>
        <v>2446.5</v>
      </c>
      <c r="Y18" s="3">
        <f t="shared" si="10"/>
        <v>2027.1000000000001</v>
      </c>
      <c r="Z18" s="3">
        <f t="shared" si="10"/>
        <v>1642.65</v>
      </c>
      <c r="AA18" s="3">
        <f t="shared" si="10"/>
        <v>1048.5</v>
      </c>
      <c r="AB18" s="3">
        <f t="shared" si="10"/>
        <v>699</v>
      </c>
      <c r="AC18" s="3">
        <f t="shared" si="10"/>
        <v>139.80000000000001</v>
      </c>
      <c r="AD18" s="3">
        <f t="shared" si="10"/>
        <v>0</v>
      </c>
      <c r="AE18" s="3">
        <f t="shared" si="10"/>
        <v>0</v>
      </c>
      <c r="AF18" s="3">
        <f t="shared" si="10"/>
        <v>0</v>
      </c>
      <c r="AG18" s="3">
        <f t="shared" si="10"/>
        <v>0</v>
      </c>
      <c r="AH18" s="3">
        <f t="shared" si="10"/>
        <v>0</v>
      </c>
      <c r="AI18" s="3">
        <f t="shared" si="10"/>
        <v>0</v>
      </c>
      <c r="AJ18" s="3">
        <f t="shared" si="10"/>
        <v>0</v>
      </c>
      <c r="AK18" s="3">
        <f t="shared" si="10"/>
        <v>0</v>
      </c>
      <c r="AL18" s="3">
        <f t="shared" si="10"/>
        <v>0</v>
      </c>
      <c r="AM18" s="3">
        <f t="shared" si="10"/>
        <v>0</v>
      </c>
      <c r="AN18" s="3">
        <f t="shared" si="10"/>
        <v>0</v>
      </c>
      <c r="AO18" s="3">
        <f t="shared" si="10"/>
        <v>0</v>
      </c>
      <c r="AP18" s="3">
        <f t="shared" si="10"/>
        <v>0</v>
      </c>
      <c r="AQ18" s="3">
        <f t="shared" si="10"/>
        <v>0</v>
      </c>
      <c r="AR18" s="3">
        <f t="shared" si="10"/>
        <v>0</v>
      </c>
      <c r="AS18" s="3">
        <f t="shared" si="10"/>
        <v>0</v>
      </c>
      <c r="AT18" s="3">
        <f t="shared" si="10"/>
        <v>0</v>
      </c>
      <c r="AU18" s="3">
        <f t="shared" si="10"/>
        <v>0</v>
      </c>
      <c r="AV18" s="3">
        <f t="shared" si="10"/>
        <v>0</v>
      </c>
      <c r="AW18" s="3">
        <f t="shared" si="10"/>
        <v>0</v>
      </c>
      <c r="AX18" s="3">
        <f t="shared" si="10"/>
        <v>0</v>
      </c>
      <c r="AY18" s="3">
        <f t="shared" si="10"/>
        <v>0</v>
      </c>
      <c r="AZ18" s="3">
        <f t="shared" si="10"/>
        <v>0</v>
      </c>
      <c r="BA18" s="3">
        <f t="shared" si="10"/>
        <v>0</v>
      </c>
      <c r="BB18" s="3">
        <f t="shared" si="10"/>
        <v>0</v>
      </c>
      <c r="BC18" s="3">
        <f t="shared" si="10"/>
        <v>0</v>
      </c>
      <c r="BD18" s="3">
        <f t="shared" si="10"/>
        <v>0</v>
      </c>
      <c r="BE18" s="3">
        <f t="shared" si="10"/>
        <v>0</v>
      </c>
      <c r="BF18" s="3">
        <f t="shared" si="10"/>
        <v>0</v>
      </c>
      <c r="BG18" s="3">
        <f t="shared" si="10"/>
        <v>0</v>
      </c>
      <c r="BH18" s="3">
        <f t="shared" si="10"/>
        <v>0</v>
      </c>
      <c r="BI18" s="3">
        <f t="shared" si="10"/>
        <v>0</v>
      </c>
      <c r="BJ18" s="3">
        <f t="shared" si="10"/>
        <v>0</v>
      </c>
      <c r="BK18" s="3">
        <f t="shared" si="10"/>
        <v>0</v>
      </c>
      <c r="BL18" s="3">
        <f t="shared" si="10"/>
        <v>0</v>
      </c>
      <c r="BM18" s="3">
        <f t="shared" si="10"/>
        <v>0</v>
      </c>
      <c r="BN18" s="3">
        <f t="shared" si="10"/>
        <v>0</v>
      </c>
      <c r="BO18" s="3">
        <f t="shared" ref="BO18:CH18" si="11">BO16*$B$14</f>
        <v>0</v>
      </c>
      <c r="BP18" s="3">
        <f t="shared" si="11"/>
        <v>0</v>
      </c>
      <c r="BQ18" s="3">
        <f t="shared" si="11"/>
        <v>0</v>
      </c>
      <c r="BR18" s="3">
        <f t="shared" si="11"/>
        <v>0</v>
      </c>
      <c r="BS18" s="3">
        <f t="shared" si="11"/>
        <v>0</v>
      </c>
      <c r="BT18" s="3">
        <f t="shared" si="11"/>
        <v>0</v>
      </c>
      <c r="BU18" s="3">
        <f t="shared" si="11"/>
        <v>0</v>
      </c>
      <c r="BV18" s="3">
        <f t="shared" si="11"/>
        <v>0</v>
      </c>
      <c r="BW18" s="3">
        <f t="shared" si="11"/>
        <v>0</v>
      </c>
      <c r="BX18" s="3">
        <f t="shared" si="11"/>
        <v>0</v>
      </c>
      <c r="BY18" s="3">
        <f t="shared" si="11"/>
        <v>0</v>
      </c>
      <c r="BZ18" s="3">
        <f t="shared" si="11"/>
        <v>0</v>
      </c>
      <c r="CA18" s="3">
        <f t="shared" si="11"/>
        <v>0</v>
      </c>
      <c r="CB18" s="3">
        <f t="shared" si="11"/>
        <v>0</v>
      </c>
      <c r="CC18" s="3">
        <f t="shared" si="11"/>
        <v>0</v>
      </c>
      <c r="CD18" s="3">
        <f t="shared" si="11"/>
        <v>0</v>
      </c>
      <c r="CE18" s="3">
        <f t="shared" si="11"/>
        <v>0</v>
      </c>
      <c r="CF18" s="3">
        <f t="shared" si="11"/>
        <v>0</v>
      </c>
      <c r="CG18" s="3">
        <f t="shared" si="11"/>
        <v>0</v>
      </c>
      <c r="CH18" s="3">
        <f t="shared" si="11"/>
        <v>0</v>
      </c>
    </row>
    <row r="19" spans="1:86" x14ac:dyDescent="0.2">
      <c r="A19" s="10" t="s">
        <v>913</v>
      </c>
      <c r="B19" s="3">
        <f>B18</f>
        <v>0</v>
      </c>
      <c r="C19" s="3">
        <f>C18+B19</f>
        <v>139.80000000000001</v>
      </c>
      <c r="D19" s="3">
        <f t="shared" ref="D19:BO19" si="12">D18+C19</f>
        <v>559.20000000000005</v>
      </c>
      <c r="E19" s="3">
        <f t="shared" si="12"/>
        <v>1048.5</v>
      </c>
      <c r="F19" s="3">
        <f t="shared" si="12"/>
        <v>1607.7</v>
      </c>
      <c r="G19" s="3">
        <f t="shared" si="12"/>
        <v>2271.75</v>
      </c>
      <c r="H19" s="3">
        <f t="shared" si="12"/>
        <v>3040.65</v>
      </c>
      <c r="I19" s="3">
        <f t="shared" si="12"/>
        <v>3949.3500000000004</v>
      </c>
      <c r="J19" s="3">
        <f t="shared" si="12"/>
        <v>5032.8</v>
      </c>
      <c r="K19" s="3">
        <f t="shared" si="12"/>
        <v>6325.9500000000007</v>
      </c>
      <c r="L19" s="3">
        <f t="shared" si="12"/>
        <v>7863.7500000000009</v>
      </c>
      <c r="M19" s="3">
        <f t="shared" si="12"/>
        <v>9681.1500000000015</v>
      </c>
      <c r="N19" s="3">
        <f t="shared" si="12"/>
        <v>11848.050000000001</v>
      </c>
      <c r="O19" s="3">
        <f t="shared" si="12"/>
        <v>14434.350000000002</v>
      </c>
      <c r="P19" s="3">
        <f t="shared" si="12"/>
        <v>17509.950000000004</v>
      </c>
      <c r="Q19" s="3">
        <f t="shared" si="12"/>
        <v>20620.500000000004</v>
      </c>
      <c r="R19" s="3">
        <f t="shared" si="12"/>
        <v>23870.850000000006</v>
      </c>
      <c r="S19" s="3">
        <f t="shared" si="12"/>
        <v>27261.000000000007</v>
      </c>
      <c r="T19" s="3">
        <f t="shared" si="12"/>
        <v>30476.400000000009</v>
      </c>
      <c r="U19" s="3">
        <f t="shared" si="12"/>
        <v>33761.700000000012</v>
      </c>
      <c r="V19" s="3">
        <f t="shared" si="12"/>
        <v>36942.150000000009</v>
      </c>
      <c r="W19" s="3">
        <f t="shared" si="12"/>
        <v>39947.850000000006</v>
      </c>
      <c r="X19" s="3">
        <f t="shared" si="12"/>
        <v>42394.350000000006</v>
      </c>
      <c r="Y19" s="3">
        <f t="shared" si="12"/>
        <v>44421.450000000004</v>
      </c>
      <c r="Z19" s="3">
        <f t="shared" si="12"/>
        <v>46064.100000000006</v>
      </c>
      <c r="AA19" s="3">
        <f t="shared" si="12"/>
        <v>47112.600000000006</v>
      </c>
      <c r="AB19" s="3">
        <f t="shared" si="12"/>
        <v>47811.600000000006</v>
      </c>
      <c r="AC19" s="3">
        <f t="shared" si="12"/>
        <v>47951.400000000009</v>
      </c>
      <c r="AD19" s="3">
        <f t="shared" si="12"/>
        <v>47951.400000000009</v>
      </c>
      <c r="AE19" s="3">
        <f t="shared" si="12"/>
        <v>47951.400000000009</v>
      </c>
      <c r="AF19" s="3">
        <f t="shared" si="12"/>
        <v>47951.400000000009</v>
      </c>
      <c r="AG19" s="3">
        <f t="shared" si="12"/>
        <v>47951.400000000009</v>
      </c>
      <c r="AH19" s="3">
        <f t="shared" si="12"/>
        <v>47951.400000000009</v>
      </c>
      <c r="AI19" s="3">
        <f t="shared" si="12"/>
        <v>47951.400000000009</v>
      </c>
      <c r="AJ19" s="3">
        <f t="shared" si="12"/>
        <v>47951.400000000009</v>
      </c>
      <c r="AK19" s="3">
        <f t="shared" si="12"/>
        <v>47951.400000000009</v>
      </c>
      <c r="AL19" s="3">
        <f t="shared" si="12"/>
        <v>47951.400000000009</v>
      </c>
      <c r="AM19" s="3">
        <f t="shared" si="12"/>
        <v>47951.400000000009</v>
      </c>
      <c r="AN19" s="3">
        <f t="shared" si="12"/>
        <v>47951.400000000009</v>
      </c>
      <c r="AO19" s="3">
        <f t="shared" si="12"/>
        <v>47951.400000000009</v>
      </c>
      <c r="AP19" s="3">
        <f t="shared" si="12"/>
        <v>47951.400000000009</v>
      </c>
      <c r="AQ19" s="3">
        <f t="shared" si="12"/>
        <v>47951.400000000009</v>
      </c>
      <c r="AR19" s="3">
        <f t="shared" si="12"/>
        <v>47951.400000000009</v>
      </c>
      <c r="AS19" s="3">
        <f t="shared" si="12"/>
        <v>47951.400000000009</v>
      </c>
      <c r="AT19" s="3">
        <f t="shared" si="12"/>
        <v>47951.400000000009</v>
      </c>
      <c r="AU19" s="3">
        <f t="shared" si="12"/>
        <v>47951.400000000009</v>
      </c>
      <c r="AV19" s="3">
        <f t="shared" si="12"/>
        <v>47951.400000000009</v>
      </c>
      <c r="AW19" s="3">
        <f t="shared" si="12"/>
        <v>47951.400000000009</v>
      </c>
      <c r="AX19" s="3">
        <f t="shared" si="12"/>
        <v>47951.400000000009</v>
      </c>
      <c r="AY19" s="3">
        <f t="shared" si="12"/>
        <v>47951.400000000009</v>
      </c>
      <c r="AZ19" s="3">
        <f t="shared" si="12"/>
        <v>47951.400000000009</v>
      </c>
      <c r="BA19" s="3">
        <f t="shared" si="12"/>
        <v>47951.400000000009</v>
      </c>
      <c r="BB19" s="3">
        <f t="shared" si="12"/>
        <v>47951.400000000009</v>
      </c>
      <c r="BC19" s="3">
        <f t="shared" si="12"/>
        <v>47951.400000000009</v>
      </c>
      <c r="BD19" s="3">
        <f t="shared" si="12"/>
        <v>47951.400000000009</v>
      </c>
      <c r="BE19" s="3">
        <f t="shared" si="12"/>
        <v>47951.400000000009</v>
      </c>
      <c r="BF19" s="3">
        <f t="shared" si="12"/>
        <v>47951.400000000009</v>
      </c>
      <c r="BG19" s="3">
        <f t="shared" si="12"/>
        <v>47951.400000000009</v>
      </c>
      <c r="BH19" s="3">
        <f t="shared" si="12"/>
        <v>47951.400000000009</v>
      </c>
      <c r="BI19" s="3">
        <f t="shared" si="12"/>
        <v>47951.400000000009</v>
      </c>
      <c r="BJ19" s="3">
        <f t="shared" si="12"/>
        <v>47951.400000000009</v>
      </c>
      <c r="BK19" s="3">
        <f t="shared" si="12"/>
        <v>47951.400000000009</v>
      </c>
      <c r="BL19" s="3">
        <f t="shared" si="12"/>
        <v>47951.400000000009</v>
      </c>
      <c r="BM19" s="3">
        <f t="shared" si="12"/>
        <v>47951.400000000009</v>
      </c>
      <c r="BN19" s="3">
        <f t="shared" si="12"/>
        <v>47951.400000000009</v>
      </c>
      <c r="BO19" s="3">
        <f t="shared" si="12"/>
        <v>47951.400000000009</v>
      </c>
      <c r="BP19" s="3">
        <f t="shared" ref="BP19:CH19" si="13">BP18+BO19</f>
        <v>47951.400000000009</v>
      </c>
      <c r="BQ19" s="3">
        <f t="shared" si="13"/>
        <v>47951.400000000009</v>
      </c>
      <c r="BR19" s="3">
        <f t="shared" si="13"/>
        <v>47951.400000000009</v>
      </c>
      <c r="BS19" s="3">
        <f t="shared" si="13"/>
        <v>47951.400000000009</v>
      </c>
      <c r="BT19" s="3">
        <f t="shared" si="13"/>
        <v>47951.400000000009</v>
      </c>
      <c r="BU19" s="3">
        <f t="shared" si="13"/>
        <v>47951.400000000009</v>
      </c>
      <c r="BV19" s="3">
        <f t="shared" si="13"/>
        <v>47951.400000000009</v>
      </c>
      <c r="BW19" s="3">
        <f t="shared" si="13"/>
        <v>47951.400000000009</v>
      </c>
      <c r="BX19" s="3">
        <f t="shared" si="13"/>
        <v>47951.400000000009</v>
      </c>
      <c r="BY19" s="3">
        <f t="shared" si="13"/>
        <v>47951.400000000009</v>
      </c>
      <c r="BZ19" s="3">
        <f t="shared" si="13"/>
        <v>47951.400000000009</v>
      </c>
      <c r="CA19" s="3">
        <f t="shared" si="13"/>
        <v>47951.400000000009</v>
      </c>
      <c r="CB19" s="3">
        <f t="shared" si="13"/>
        <v>47951.400000000009</v>
      </c>
      <c r="CC19" s="3">
        <f t="shared" si="13"/>
        <v>47951.400000000009</v>
      </c>
      <c r="CD19" s="3">
        <f t="shared" si="13"/>
        <v>47951.400000000009</v>
      </c>
      <c r="CE19" s="3">
        <f t="shared" si="13"/>
        <v>47951.400000000009</v>
      </c>
      <c r="CF19" s="3">
        <f t="shared" si="13"/>
        <v>47951.400000000009</v>
      </c>
      <c r="CG19" s="3">
        <f t="shared" si="13"/>
        <v>47951.400000000009</v>
      </c>
      <c r="CH19" s="3">
        <f t="shared" si="13"/>
        <v>47951.400000000009</v>
      </c>
    </row>
    <row r="20" spans="1:86" ht="17" thickBot="1" x14ac:dyDescent="0.25">
      <c r="A20" s="177" t="s">
        <v>914</v>
      </c>
      <c r="B20" s="178">
        <f>B18-($B$15*B16)-B17-B13</f>
        <v>-24435</v>
      </c>
      <c r="C20" s="178">
        <f t="shared" ref="C20:BN20" ca="1" si="14">C18-($B$15*C16)-C17-C13</f>
        <v>-604.16</v>
      </c>
      <c r="D20" s="178">
        <f t="shared" ca="1" si="14"/>
        <v>-404.47999999999996</v>
      </c>
      <c r="E20" s="178">
        <f t="shared" ca="1" si="14"/>
        <v>-222.05999999999995</v>
      </c>
      <c r="F20" s="178">
        <f t="shared" ca="1" si="14"/>
        <v>-156.63999999999999</v>
      </c>
      <c r="G20" s="178">
        <f t="shared" ca="1" si="14"/>
        <v>-125.50999999999999</v>
      </c>
      <c r="H20" s="178">
        <f t="shared" ca="1" si="14"/>
        <v>-86.379999999999882</v>
      </c>
      <c r="I20" s="178">
        <f t="shared" ca="1" si="14"/>
        <v>27.460000000000036</v>
      </c>
      <c r="J20" s="178">
        <f t="shared" ca="1" si="14"/>
        <v>184.01</v>
      </c>
      <c r="K20" s="178">
        <f t="shared" ca="1" si="14"/>
        <v>316.27</v>
      </c>
      <c r="L20" s="178">
        <f t="shared" ca="1" si="14"/>
        <v>655.24000000000024</v>
      </c>
      <c r="M20" s="178">
        <f t="shared" ca="1" si="14"/>
        <v>821.92000000000007</v>
      </c>
      <c r="N20" s="178">
        <f t="shared" ca="1" si="14"/>
        <v>1158.02</v>
      </c>
      <c r="O20" s="178">
        <f t="shared" ca="1" si="14"/>
        <v>1432.54</v>
      </c>
      <c r="P20" s="178">
        <f t="shared" ca="1" si="14"/>
        <v>1863.4800000000005</v>
      </c>
      <c r="Q20" s="178">
        <f t="shared" ca="1" si="14"/>
        <v>1832.19</v>
      </c>
      <c r="R20" s="178">
        <f t="shared" ca="1" si="14"/>
        <v>2008.0300000000002</v>
      </c>
      <c r="S20" s="178">
        <f t="shared" ca="1" si="14"/>
        <v>2097.87</v>
      </c>
      <c r="T20" s="178">
        <f t="shared" ca="1" si="14"/>
        <v>1943.3200000000002</v>
      </c>
      <c r="U20" s="178">
        <f t="shared" ca="1" si="14"/>
        <v>1950.7400000000002</v>
      </c>
      <c r="V20" s="178">
        <f t="shared" ca="1" si="14"/>
        <v>1885.6100000000001</v>
      </c>
      <c r="W20" s="178">
        <f t="shared" ca="1" si="14"/>
        <v>1826.0600000000004</v>
      </c>
      <c r="X20" s="178">
        <f t="shared" ca="1" si="14"/>
        <v>1344.7</v>
      </c>
      <c r="Y20" s="178">
        <f t="shared" ca="1" si="14"/>
        <v>951.18000000000006</v>
      </c>
      <c r="Z20" s="178">
        <f t="shared" ca="1" si="14"/>
        <v>688.37000000000012</v>
      </c>
      <c r="AA20" s="178">
        <f t="shared" ca="1" si="14"/>
        <v>195.29999999999995</v>
      </c>
      <c r="AB20" s="178">
        <f t="shared" ca="1" si="14"/>
        <v>-78.799999999999955</v>
      </c>
      <c r="AC20" s="178">
        <f t="shared" ca="1" si="14"/>
        <v>-491.15999999999997</v>
      </c>
      <c r="AD20" s="178">
        <f t="shared" ca="1" si="14"/>
        <v>-618</v>
      </c>
      <c r="AE20" s="178">
        <f t="shared" ca="1" si="14"/>
        <v>-734</v>
      </c>
      <c r="AF20" s="178">
        <f t="shared" ca="1" si="14"/>
        <v>-628</v>
      </c>
      <c r="AG20" s="178">
        <f t="shared" ca="1" si="14"/>
        <v>-652</v>
      </c>
      <c r="AH20" s="178">
        <f t="shared" ca="1" si="14"/>
        <v>-724</v>
      </c>
      <c r="AI20" s="178">
        <f t="shared" ca="1" si="14"/>
        <v>-631</v>
      </c>
      <c r="AJ20" s="178">
        <f t="shared" ca="1" si="14"/>
        <v>-603</v>
      </c>
      <c r="AK20" s="178">
        <f t="shared" ca="1" si="14"/>
        <v>-699</v>
      </c>
      <c r="AL20" s="178">
        <f t="shared" ca="1" si="14"/>
        <v>-743</v>
      </c>
      <c r="AM20" s="178">
        <f t="shared" ca="1" si="14"/>
        <v>-647</v>
      </c>
      <c r="AN20" s="178">
        <f t="shared" ca="1" si="14"/>
        <v>-609</v>
      </c>
      <c r="AO20" s="178">
        <f t="shared" ca="1" si="14"/>
        <v>-689</v>
      </c>
      <c r="AP20" s="178">
        <f t="shared" ca="1" si="14"/>
        <v>-626</v>
      </c>
      <c r="AQ20" s="178">
        <f t="shared" ca="1" si="14"/>
        <v>-673</v>
      </c>
      <c r="AR20" s="178">
        <f t="shared" ca="1" si="14"/>
        <v>-623</v>
      </c>
      <c r="AS20" s="178">
        <f t="shared" ca="1" si="14"/>
        <v>-644</v>
      </c>
      <c r="AT20" s="178">
        <f t="shared" ca="1" si="14"/>
        <v>-723</v>
      </c>
      <c r="AU20" s="178">
        <f t="shared" ca="1" si="14"/>
        <v>-708</v>
      </c>
      <c r="AV20" s="178">
        <f t="shared" ca="1" si="14"/>
        <v>-740</v>
      </c>
      <c r="AW20" s="178">
        <f t="shared" ca="1" si="14"/>
        <v>-648</v>
      </c>
      <c r="AX20" s="178">
        <f t="shared" ca="1" si="14"/>
        <v>-740</v>
      </c>
      <c r="AY20" s="178">
        <f t="shared" ca="1" si="14"/>
        <v>-674</v>
      </c>
      <c r="AZ20" s="178">
        <f t="shared" ca="1" si="14"/>
        <v>-667</v>
      </c>
      <c r="BA20" s="178">
        <f t="shared" ca="1" si="14"/>
        <v>-624</v>
      </c>
      <c r="BB20" s="178">
        <f t="shared" ca="1" si="14"/>
        <v>-670</v>
      </c>
      <c r="BC20" s="178">
        <f t="shared" ca="1" si="14"/>
        <v>-704</v>
      </c>
      <c r="BD20" s="178">
        <f t="shared" ca="1" si="14"/>
        <v>-716</v>
      </c>
      <c r="BE20" s="178">
        <f t="shared" ca="1" si="14"/>
        <v>-743</v>
      </c>
      <c r="BF20" s="178">
        <f t="shared" ca="1" si="14"/>
        <v>-681</v>
      </c>
      <c r="BG20" s="178">
        <f t="shared" ca="1" si="14"/>
        <v>-667</v>
      </c>
      <c r="BH20" s="178">
        <f t="shared" ca="1" si="14"/>
        <v>-682</v>
      </c>
      <c r="BI20" s="178">
        <f t="shared" ca="1" si="14"/>
        <v>-735</v>
      </c>
      <c r="BJ20" s="178">
        <f t="shared" ca="1" si="14"/>
        <v>-607</v>
      </c>
      <c r="BK20" s="178">
        <f t="shared" ca="1" si="14"/>
        <v>-720</v>
      </c>
      <c r="BL20" s="178">
        <f t="shared" ca="1" si="14"/>
        <v>-698</v>
      </c>
      <c r="BM20" s="178">
        <f t="shared" ca="1" si="14"/>
        <v>-659</v>
      </c>
      <c r="BN20" s="178">
        <f t="shared" ca="1" si="14"/>
        <v>-740</v>
      </c>
      <c r="BO20" s="178">
        <f t="shared" ref="BO20:CH20" ca="1" si="15">BO18-($B$15*BO16)-BO17-BO13</f>
        <v>-666</v>
      </c>
      <c r="BP20" s="178">
        <f t="shared" ca="1" si="15"/>
        <v>-649</v>
      </c>
      <c r="BQ20" s="178">
        <f t="shared" ca="1" si="15"/>
        <v>-695</v>
      </c>
      <c r="BR20" s="178">
        <f t="shared" ca="1" si="15"/>
        <v>-694</v>
      </c>
      <c r="BS20" s="178">
        <f t="shared" ca="1" si="15"/>
        <v>-703</v>
      </c>
      <c r="BT20" s="178">
        <f t="shared" ca="1" si="15"/>
        <v>-678</v>
      </c>
      <c r="BU20" s="178">
        <f t="shared" ca="1" si="15"/>
        <v>-624</v>
      </c>
      <c r="BV20" s="178">
        <f t="shared" ca="1" si="15"/>
        <v>-648</v>
      </c>
      <c r="BW20" s="178">
        <f t="shared" ca="1" si="15"/>
        <v>-717</v>
      </c>
      <c r="BX20" s="178">
        <f t="shared" ca="1" si="15"/>
        <v>-607</v>
      </c>
      <c r="BY20" s="178">
        <f t="shared" ca="1" si="15"/>
        <v>-657</v>
      </c>
      <c r="BZ20" s="178">
        <f t="shared" ca="1" si="15"/>
        <v>-603</v>
      </c>
      <c r="CA20" s="178">
        <f t="shared" ca="1" si="15"/>
        <v>-626</v>
      </c>
      <c r="CB20" s="178">
        <f t="shared" ca="1" si="15"/>
        <v>-749</v>
      </c>
      <c r="CC20" s="178">
        <f t="shared" ca="1" si="15"/>
        <v>-750</v>
      </c>
      <c r="CD20" s="178">
        <f t="shared" ca="1" si="15"/>
        <v>-652</v>
      </c>
      <c r="CE20" s="178">
        <f t="shared" ca="1" si="15"/>
        <v>-654</v>
      </c>
      <c r="CF20" s="178">
        <f t="shared" ca="1" si="15"/>
        <v>-626</v>
      </c>
      <c r="CG20" s="178">
        <f t="shared" ca="1" si="15"/>
        <v>-686</v>
      </c>
      <c r="CH20" s="178">
        <f t="shared" ca="1" si="15"/>
        <v>-634</v>
      </c>
    </row>
    <row r="21" spans="1:86" ht="17" thickBot="1" x14ac:dyDescent="0.25">
      <c r="A21" s="196"/>
      <c r="B21" s="196"/>
      <c r="C21" s="196"/>
      <c r="D21" s="196"/>
      <c r="E21" s="196"/>
      <c r="F21" s="196"/>
      <c r="G21" s="196"/>
      <c r="H21" s="196"/>
      <c r="I21" s="196"/>
      <c r="J21" s="196"/>
      <c r="K21" s="196"/>
      <c r="L21" s="196"/>
      <c r="M21" s="196"/>
      <c r="N21" s="196"/>
      <c r="O21" s="196"/>
      <c r="P21" s="196"/>
      <c r="Q21" s="196"/>
      <c r="R21" s="196"/>
      <c r="S21" s="196"/>
      <c r="T21" s="196"/>
      <c r="U21" s="196"/>
      <c r="V21" s="196"/>
      <c r="W21" s="196"/>
      <c r="X21" s="196"/>
      <c r="Y21" s="196"/>
      <c r="Z21" s="196"/>
      <c r="AA21" s="196"/>
      <c r="AB21" s="196"/>
      <c r="AC21" s="196"/>
      <c r="AD21" s="196"/>
      <c r="AE21" s="196"/>
      <c r="AF21" s="196"/>
      <c r="AG21" s="196"/>
      <c r="AH21" s="196"/>
      <c r="AI21" s="196"/>
      <c r="AJ21" s="196"/>
      <c r="AK21" s="196"/>
      <c r="AL21" s="196"/>
      <c r="AM21" s="196"/>
      <c r="AN21" s="196"/>
      <c r="AO21" s="196"/>
      <c r="AP21" s="196"/>
      <c r="AQ21" s="196"/>
      <c r="AR21" s="196"/>
      <c r="AS21" s="196"/>
      <c r="AT21" s="196"/>
      <c r="AU21" s="196"/>
      <c r="AV21" s="196"/>
      <c r="AW21" s="196"/>
      <c r="AX21" s="196"/>
      <c r="AY21" s="196"/>
      <c r="AZ21" s="196"/>
      <c r="BA21" s="196"/>
      <c r="BB21" s="196"/>
      <c r="BC21" s="196"/>
      <c r="BD21" s="196"/>
      <c r="BE21" s="196"/>
      <c r="BF21" s="196"/>
      <c r="BG21" s="196"/>
      <c r="BH21" s="196"/>
      <c r="BI21" s="196"/>
      <c r="BJ21" s="196"/>
      <c r="BK21" s="196"/>
      <c r="BL21" s="196"/>
      <c r="BM21" s="196"/>
      <c r="BN21" s="196"/>
      <c r="BO21" s="196"/>
      <c r="BP21" s="196"/>
      <c r="BQ21" s="196"/>
      <c r="BR21" s="196"/>
      <c r="BS21" s="196"/>
      <c r="BT21" s="196"/>
      <c r="BU21" s="196"/>
      <c r="BV21" s="196"/>
      <c r="BW21" s="196"/>
      <c r="BX21" s="196"/>
      <c r="BY21" s="196"/>
      <c r="BZ21" s="196"/>
      <c r="CA21" s="196"/>
      <c r="CB21" s="196"/>
      <c r="CC21" s="196"/>
      <c r="CD21" s="196"/>
      <c r="CE21" s="196"/>
      <c r="CF21" s="196"/>
      <c r="CG21" s="196"/>
      <c r="CH21" s="196"/>
    </row>
    <row r="22" spans="1:86" x14ac:dyDescent="0.2">
      <c r="A22" s="192" t="s">
        <v>915</v>
      </c>
      <c r="B22" s="197"/>
      <c r="C22" s="197"/>
      <c r="D22" s="197"/>
      <c r="E22" s="197"/>
      <c r="F22" s="197"/>
      <c r="G22" s="197"/>
      <c r="H22" s="197"/>
      <c r="I22" s="197"/>
      <c r="J22" s="197"/>
      <c r="K22" s="197"/>
      <c r="L22" s="197"/>
      <c r="M22" s="197"/>
      <c r="N22" s="197"/>
      <c r="O22" s="197"/>
      <c r="P22" s="197"/>
      <c r="Q22" s="197"/>
      <c r="R22" s="197"/>
      <c r="S22" s="197"/>
      <c r="T22" s="197"/>
      <c r="U22" s="197"/>
      <c r="V22" s="197"/>
      <c r="W22" s="197"/>
      <c r="X22" s="197"/>
      <c r="Y22" s="197"/>
      <c r="Z22" s="197"/>
      <c r="AA22" s="197"/>
      <c r="AB22" s="197"/>
      <c r="AC22" s="197"/>
      <c r="AD22" s="197"/>
      <c r="AE22" s="197"/>
      <c r="AF22" s="197"/>
      <c r="AG22" s="197"/>
      <c r="AH22" s="197"/>
      <c r="AI22" s="197"/>
      <c r="AJ22" s="197"/>
      <c r="AK22" s="197"/>
      <c r="AL22" s="197"/>
      <c r="AM22" s="197"/>
      <c r="AN22" s="197"/>
      <c r="AO22" s="197"/>
      <c r="AP22" s="197"/>
      <c r="AQ22" s="197"/>
      <c r="AR22" s="197"/>
      <c r="AS22" s="197"/>
      <c r="AT22" s="197"/>
      <c r="AU22" s="197"/>
      <c r="AV22" s="197"/>
      <c r="AW22" s="197"/>
      <c r="AX22" s="197"/>
      <c r="AY22" s="197"/>
      <c r="AZ22" s="197"/>
      <c r="BA22" s="197"/>
      <c r="BB22" s="197"/>
      <c r="BC22" s="197"/>
      <c r="BD22" s="197"/>
      <c r="BE22" s="197"/>
      <c r="BF22" s="197"/>
      <c r="BG22" s="197"/>
      <c r="BH22" s="197"/>
      <c r="BI22" s="197"/>
      <c r="BJ22" s="197"/>
      <c r="BK22" s="197"/>
      <c r="BL22" s="197"/>
      <c r="BM22" s="197"/>
      <c r="BN22" s="197"/>
      <c r="BO22" s="197"/>
      <c r="BP22" s="197"/>
      <c r="BQ22" s="197"/>
      <c r="BR22" s="197"/>
      <c r="BS22" s="197"/>
      <c r="BT22" s="197"/>
      <c r="BU22" s="197"/>
      <c r="BV22" s="197"/>
      <c r="BW22" s="197"/>
      <c r="BX22" s="197"/>
      <c r="BY22" s="197"/>
      <c r="BZ22" s="197"/>
      <c r="CA22" s="197"/>
      <c r="CB22" s="197"/>
      <c r="CC22" s="197"/>
      <c r="CD22" s="197"/>
      <c r="CE22" s="197"/>
      <c r="CF22" s="197"/>
      <c r="CG22" s="197"/>
      <c r="CH22" s="198"/>
    </row>
    <row r="23" spans="1:86" x14ac:dyDescent="0.2">
      <c r="A23" s="10" t="s">
        <v>916</v>
      </c>
      <c r="B23" s="3">
        <v>4356598</v>
      </c>
      <c r="C23" s="3"/>
      <c r="D23" s="3"/>
      <c r="E23" s="3"/>
      <c r="F23" s="3"/>
      <c r="G23" s="3"/>
      <c r="H23" s="3"/>
      <c r="I23" s="3"/>
      <c r="J23" s="3"/>
      <c r="K23" s="3"/>
      <c r="L23" s="3"/>
      <c r="M23" s="3"/>
      <c r="N23" s="3"/>
      <c r="O23" s="3"/>
      <c r="P23" s="3"/>
      <c r="Q23" s="3"/>
      <c r="R23" s="3"/>
      <c r="S23" s="3"/>
      <c r="T23" s="3"/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  <c r="BA23" s="3"/>
      <c r="BB23" s="3"/>
      <c r="BC23" s="3"/>
      <c r="BD23" s="3"/>
      <c r="BE23" s="3"/>
      <c r="BF23" s="3"/>
      <c r="BG23" s="3"/>
      <c r="BH23" s="3"/>
      <c r="BI23" s="3"/>
      <c r="BJ23" s="3"/>
      <c r="BK23" s="3"/>
      <c r="BL23" s="3"/>
      <c r="BM23" s="3"/>
      <c r="BN23" s="3"/>
      <c r="BO23" s="3"/>
      <c r="BP23" s="3"/>
      <c r="BQ23" s="3"/>
      <c r="BR23" s="3"/>
      <c r="BS23" s="3"/>
      <c r="BT23" s="3"/>
      <c r="BU23" s="3"/>
      <c r="BV23" s="3"/>
      <c r="BW23" s="3"/>
      <c r="BX23" s="3"/>
      <c r="BY23" s="3"/>
      <c r="BZ23" s="3"/>
      <c r="CA23" s="3"/>
      <c r="CB23" s="3"/>
      <c r="CC23" s="3"/>
      <c r="CD23" s="3"/>
      <c r="CE23" s="3"/>
      <c r="CF23" s="3"/>
      <c r="CG23" s="3"/>
      <c r="CH23" s="11"/>
    </row>
    <row r="24" spans="1:86" x14ac:dyDescent="0.2">
      <c r="A24" s="10" t="s">
        <v>917</v>
      </c>
      <c r="B24" s="3">
        <v>19.95</v>
      </c>
      <c r="C24" s="3"/>
      <c r="D24" s="3"/>
      <c r="E24" s="3"/>
      <c r="F24" s="3"/>
      <c r="G24" s="3"/>
      <c r="H24" s="3"/>
      <c r="I24" s="3"/>
      <c r="J24" s="3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  <c r="BA24" s="3"/>
      <c r="BB24" s="3"/>
      <c r="BC24" s="3"/>
      <c r="BD24" s="3"/>
      <c r="BE24" s="3"/>
      <c r="BF24" s="3"/>
      <c r="BG24" s="3"/>
      <c r="BH24" s="3"/>
      <c r="BI24" s="3"/>
      <c r="BJ24" s="3"/>
      <c r="BK24" s="3"/>
      <c r="BL24" s="3"/>
      <c r="BM24" s="3"/>
      <c r="BN24" s="3"/>
      <c r="BO24" s="3"/>
      <c r="BP24" s="3"/>
      <c r="BQ24" s="3"/>
      <c r="BR24" s="3"/>
      <c r="BS24" s="3"/>
      <c r="BT24" s="3"/>
      <c r="BU24" s="3"/>
      <c r="BV24" s="3"/>
      <c r="BW24" s="3"/>
      <c r="BX24" s="3"/>
      <c r="BY24" s="3"/>
      <c r="BZ24" s="3"/>
      <c r="CA24" s="3"/>
      <c r="CB24" s="3"/>
      <c r="CC24" s="3"/>
      <c r="CD24" s="3"/>
      <c r="CE24" s="3"/>
      <c r="CF24" s="3"/>
      <c r="CG24" s="3"/>
      <c r="CH24" s="11"/>
    </row>
    <row r="25" spans="1:86" x14ac:dyDescent="0.2">
      <c r="A25" s="10" t="s">
        <v>918</v>
      </c>
      <c r="B25" s="3">
        <v>4.6399999999999997</v>
      </c>
      <c r="C25" s="3"/>
      <c r="D25" s="3"/>
      <c r="E25" s="3"/>
      <c r="F25" s="3"/>
      <c r="G25" s="3"/>
      <c r="H25" s="3"/>
      <c r="I25" s="3"/>
      <c r="J25" s="3"/>
      <c r="K25" s="3"/>
      <c r="L25" s="3"/>
      <c r="M25" s="3"/>
      <c r="N25" s="3"/>
      <c r="O25" s="3"/>
      <c r="P25" s="3"/>
      <c r="Q25" s="3"/>
      <c r="R25" s="3"/>
      <c r="S25" s="3"/>
      <c r="T25" s="3"/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  <c r="AW25" s="3"/>
      <c r="AX25" s="3"/>
      <c r="AY25" s="3"/>
      <c r="AZ25" s="3"/>
      <c r="BA25" s="3"/>
      <c r="BB25" s="3"/>
      <c r="BC25" s="3"/>
      <c r="BD25" s="3"/>
      <c r="BE25" s="3"/>
      <c r="BF25" s="3"/>
      <c r="BG25" s="3"/>
      <c r="BH25" s="3"/>
      <c r="BI25" s="3"/>
      <c r="BJ25" s="3"/>
      <c r="BK25" s="3"/>
      <c r="BL25" s="3"/>
      <c r="BM25" s="3"/>
      <c r="BN25" s="3"/>
      <c r="BO25" s="3"/>
      <c r="BP25" s="3"/>
      <c r="BQ25" s="3"/>
      <c r="BR25" s="3"/>
      <c r="BS25" s="3"/>
      <c r="BT25" s="3"/>
      <c r="BU25" s="3"/>
      <c r="BV25" s="3"/>
      <c r="BW25" s="3"/>
      <c r="BX25" s="3"/>
      <c r="BY25" s="3"/>
      <c r="BZ25" s="3"/>
      <c r="CA25" s="3"/>
      <c r="CB25" s="3"/>
      <c r="CC25" s="3"/>
      <c r="CD25" s="3"/>
      <c r="CE25" s="3"/>
      <c r="CF25" s="3"/>
      <c r="CG25" s="3"/>
      <c r="CH25" s="11"/>
    </row>
    <row r="26" spans="1:86" x14ac:dyDescent="0.2">
      <c r="A26" s="10" t="s">
        <v>919</v>
      </c>
      <c r="B26" s="3">
        <v>0</v>
      </c>
      <c r="C26" s="3">
        <v>10</v>
      </c>
      <c r="D26" s="3">
        <v>11</v>
      </c>
      <c r="E26" s="3">
        <v>12</v>
      </c>
      <c r="F26" s="3">
        <v>13</v>
      </c>
      <c r="G26" s="3">
        <v>14</v>
      </c>
      <c r="H26" s="3">
        <v>15</v>
      </c>
      <c r="I26" s="3">
        <v>16</v>
      </c>
      <c r="J26" s="3">
        <v>17</v>
      </c>
      <c r="K26" s="3">
        <v>18</v>
      </c>
      <c r="L26" s="3">
        <v>19</v>
      </c>
      <c r="M26" s="3">
        <v>20</v>
      </c>
      <c r="N26" s="3">
        <v>22</v>
      </c>
      <c r="O26" s="3">
        <v>24</v>
      </c>
      <c r="P26" s="3">
        <v>26</v>
      </c>
      <c r="Q26" s="3">
        <v>28</v>
      </c>
      <c r="R26" s="3">
        <v>30</v>
      </c>
      <c r="S26" s="3">
        <v>33</v>
      </c>
      <c r="T26" s="3">
        <v>36</v>
      </c>
      <c r="U26" s="3">
        <v>39</v>
      </c>
      <c r="V26" s="3">
        <v>42</v>
      </c>
      <c r="W26" s="3">
        <v>46</v>
      </c>
      <c r="X26" s="3">
        <v>50</v>
      </c>
      <c r="Y26" s="3">
        <v>55</v>
      </c>
      <c r="Z26" s="3">
        <v>60</v>
      </c>
      <c r="AA26" s="3">
        <v>66</v>
      </c>
      <c r="AB26" s="3">
        <v>72</v>
      </c>
      <c r="AC26" s="3">
        <v>79</v>
      </c>
      <c r="AD26" s="3">
        <v>86</v>
      </c>
      <c r="AE26" s="3">
        <v>94</v>
      </c>
      <c r="AF26" s="3">
        <v>103</v>
      </c>
      <c r="AG26" s="3">
        <v>113</v>
      </c>
      <c r="AH26" s="3">
        <v>124</v>
      </c>
      <c r="AI26" s="3">
        <v>136</v>
      </c>
      <c r="AJ26" s="3">
        <v>149</v>
      </c>
      <c r="AK26" s="3">
        <v>163</v>
      </c>
      <c r="AL26" s="3">
        <v>179</v>
      </c>
      <c r="AM26" s="3">
        <v>196</v>
      </c>
      <c r="AN26" s="3">
        <v>215</v>
      </c>
      <c r="AO26" s="3">
        <v>236</v>
      </c>
      <c r="AP26" s="3">
        <v>259</v>
      </c>
      <c r="AQ26" s="3">
        <v>284</v>
      </c>
      <c r="AR26" s="3">
        <v>312</v>
      </c>
      <c r="AS26" s="3">
        <v>343</v>
      </c>
      <c r="AT26" s="3">
        <v>377</v>
      </c>
      <c r="AU26" s="3">
        <v>414</v>
      </c>
      <c r="AV26" s="3">
        <v>455</v>
      </c>
      <c r="AW26" s="3">
        <v>500</v>
      </c>
      <c r="AX26" s="3">
        <v>550</v>
      </c>
      <c r="AY26" s="3">
        <v>605</v>
      </c>
      <c r="AZ26" s="3">
        <v>665</v>
      </c>
      <c r="BA26" s="3">
        <v>675</v>
      </c>
      <c r="BB26" s="3">
        <v>687</v>
      </c>
      <c r="BC26" s="3">
        <v>698</v>
      </c>
      <c r="BD26" s="3">
        <v>714</v>
      </c>
      <c r="BE26" s="3">
        <v>730</v>
      </c>
      <c r="BF26" s="3">
        <v>749</v>
      </c>
      <c r="BG26" s="3">
        <v>735</v>
      </c>
      <c r="BH26" s="3">
        <v>716</v>
      </c>
      <c r="BI26" s="3">
        <v>702</v>
      </c>
      <c r="BJ26" s="3">
        <v>682</v>
      </c>
      <c r="BK26" s="3">
        <v>662</v>
      </c>
      <c r="BL26" s="3">
        <v>643</v>
      </c>
      <c r="BM26" s="3">
        <v>632</v>
      </c>
      <c r="BN26" s="3">
        <v>617</v>
      </c>
      <c r="BO26" s="3">
        <v>600</v>
      </c>
      <c r="BP26" s="3">
        <v>589</v>
      </c>
      <c r="BQ26" s="3">
        <v>569</v>
      </c>
      <c r="BR26" s="3">
        <v>557</v>
      </c>
      <c r="BS26" s="3">
        <v>538</v>
      </c>
      <c r="BT26" s="3">
        <v>521</v>
      </c>
      <c r="BU26" s="3">
        <v>511</v>
      </c>
      <c r="BV26" s="3">
        <v>494</v>
      </c>
      <c r="BW26" s="3">
        <v>482</v>
      </c>
      <c r="BX26" s="3">
        <v>468</v>
      </c>
      <c r="BY26" s="3">
        <v>454</v>
      </c>
      <c r="BZ26" s="3">
        <v>438</v>
      </c>
      <c r="CA26" s="3">
        <v>427</v>
      </c>
      <c r="CB26" s="3">
        <v>410</v>
      </c>
      <c r="CC26" s="3">
        <v>396</v>
      </c>
      <c r="CD26" s="3">
        <v>379</v>
      </c>
      <c r="CE26" s="3">
        <v>361</v>
      </c>
      <c r="CF26" s="3">
        <v>351</v>
      </c>
      <c r="CG26" s="3">
        <v>338</v>
      </c>
      <c r="CH26" s="11">
        <v>322</v>
      </c>
    </row>
    <row r="27" spans="1:86" x14ac:dyDescent="0.2">
      <c r="A27" s="10" t="s">
        <v>920</v>
      </c>
      <c r="B27" s="3">
        <v>450</v>
      </c>
      <c r="C27" s="3">
        <f ca="1">RANDBETWEEN(350, 490)</f>
        <v>357</v>
      </c>
      <c r="D27" s="3">
        <f t="shared" ref="D27:BO27" ca="1" si="16">RANDBETWEEN(350, 490)</f>
        <v>423</v>
      </c>
      <c r="E27" s="3">
        <f t="shared" ca="1" si="16"/>
        <v>464</v>
      </c>
      <c r="F27" s="3">
        <f t="shared" ca="1" si="16"/>
        <v>446</v>
      </c>
      <c r="G27" s="3">
        <f t="shared" ca="1" si="16"/>
        <v>384</v>
      </c>
      <c r="H27" s="3">
        <f t="shared" ca="1" si="16"/>
        <v>361</v>
      </c>
      <c r="I27" s="3">
        <f t="shared" ca="1" si="16"/>
        <v>356</v>
      </c>
      <c r="J27" s="3">
        <f t="shared" ca="1" si="16"/>
        <v>415</v>
      </c>
      <c r="K27" s="3">
        <f t="shared" ca="1" si="16"/>
        <v>419</v>
      </c>
      <c r="L27" s="3">
        <f t="shared" ca="1" si="16"/>
        <v>381</v>
      </c>
      <c r="M27" s="3">
        <f t="shared" ca="1" si="16"/>
        <v>395</v>
      </c>
      <c r="N27" s="3">
        <f t="shared" ca="1" si="16"/>
        <v>359</v>
      </c>
      <c r="O27" s="3">
        <f t="shared" ca="1" si="16"/>
        <v>419</v>
      </c>
      <c r="P27" s="3">
        <f t="shared" ca="1" si="16"/>
        <v>470</v>
      </c>
      <c r="Q27" s="3">
        <f t="shared" ca="1" si="16"/>
        <v>359</v>
      </c>
      <c r="R27" s="3">
        <f t="shared" ca="1" si="16"/>
        <v>429</v>
      </c>
      <c r="S27" s="3">
        <f t="shared" ca="1" si="16"/>
        <v>363</v>
      </c>
      <c r="T27" s="3">
        <f t="shared" ca="1" si="16"/>
        <v>418</v>
      </c>
      <c r="U27" s="3">
        <f t="shared" ca="1" si="16"/>
        <v>417</v>
      </c>
      <c r="V27" s="3">
        <f t="shared" ca="1" si="16"/>
        <v>388</v>
      </c>
      <c r="W27" s="3">
        <f t="shared" ca="1" si="16"/>
        <v>409</v>
      </c>
      <c r="X27" s="3">
        <f t="shared" ca="1" si="16"/>
        <v>452</v>
      </c>
      <c r="Y27" s="3">
        <f t="shared" ca="1" si="16"/>
        <v>363</v>
      </c>
      <c r="Z27" s="3">
        <f t="shared" ca="1" si="16"/>
        <v>490</v>
      </c>
      <c r="AA27" s="3">
        <f t="shared" ca="1" si="16"/>
        <v>477</v>
      </c>
      <c r="AB27" s="3">
        <f t="shared" ca="1" si="16"/>
        <v>383</v>
      </c>
      <c r="AC27" s="3">
        <f t="shared" ca="1" si="16"/>
        <v>482</v>
      </c>
      <c r="AD27" s="3">
        <f t="shared" ca="1" si="16"/>
        <v>426</v>
      </c>
      <c r="AE27" s="3">
        <f t="shared" ca="1" si="16"/>
        <v>481</v>
      </c>
      <c r="AF27" s="3">
        <f t="shared" ca="1" si="16"/>
        <v>457</v>
      </c>
      <c r="AG27" s="3">
        <f t="shared" ca="1" si="16"/>
        <v>432</v>
      </c>
      <c r="AH27" s="3">
        <f t="shared" ca="1" si="16"/>
        <v>364</v>
      </c>
      <c r="AI27" s="3">
        <f t="shared" ca="1" si="16"/>
        <v>484</v>
      </c>
      <c r="AJ27" s="3">
        <f t="shared" ca="1" si="16"/>
        <v>416</v>
      </c>
      <c r="AK27" s="3">
        <f t="shared" ca="1" si="16"/>
        <v>415</v>
      </c>
      <c r="AL27" s="3">
        <f t="shared" ca="1" si="16"/>
        <v>372</v>
      </c>
      <c r="AM27" s="3">
        <f t="shared" ca="1" si="16"/>
        <v>411</v>
      </c>
      <c r="AN27" s="3">
        <f t="shared" ca="1" si="16"/>
        <v>351</v>
      </c>
      <c r="AO27" s="3">
        <f t="shared" ca="1" si="16"/>
        <v>469</v>
      </c>
      <c r="AP27" s="3">
        <f t="shared" ca="1" si="16"/>
        <v>433</v>
      </c>
      <c r="AQ27" s="3">
        <f t="shared" ca="1" si="16"/>
        <v>458</v>
      </c>
      <c r="AR27" s="3">
        <f t="shared" ca="1" si="16"/>
        <v>430</v>
      </c>
      <c r="AS27" s="3">
        <f t="shared" ca="1" si="16"/>
        <v>479</v>
      </c>
      <c r="AT27" s="3">
        <f t="shared" ca="1" si="16"/>
        <v>398</v>
      </c>
      <c r="AU27" s="3">
        <f t="shared" ca="1" si="16"/>
        <v>478</v>
      </c>
      <c r="AV27" s="3">
        <f t="shared" ca="1" si="16"/>
        <v>431</v>
      </c>
      <c r="AW27" s="3">
        <f t="shared" ca="1" si="16"/>
        <v>428</v>
      </c>
      <c r="AX27" s="3">
        <f t="shared" ca="1" si="16"/>
        <v>406</v>
      </c>
      <c r="AY27" s="3">
        <f t="shared" ca="1" si="16"/>
        <v>414</v>
      </c>
      <c r="AZ27" s="3">
        <f t="shared" ca="1" si="16"/>
        <v>426</v>
      </c>
      <c r="BA27" s="3">
        <f t="shared" ca="1" si="16"/>
        <v>445</v>
      </c>
      <c r="BB27" s="3">
        <f t="shared" ca="1" si="16"/>
        <v>368</v>
      </c>
      <c r="BC27" s="3">
        <f t="shared" ca="1" si="16"/>
        <v>412</v>
      </c>
      <c r="BD27" s="3">
        <f t="shared" ca="1" si="16"/>
        <v>422</v>
      </c>
      <c r="BE27" s="3">
        <f t="shared" ca="1" si="16"/>
        <v>435</v>
      </c>
      <c r="BF27" s="3">
        <f t="shared" ca="1" si="16"/>
        <v>402</v>
      </c>
      <c r="BG27" s="3">
        <f t="shared" ca="1" si="16"/>
        <v>456</v>
      </c>
      <c r="BH27" s="3">
        <f t="shared" ca="1" si="16"/>
        <v>454</v>
      </c>
      <c r="BI27" s="3">
        <f t="shared" ca="1" si="16"/>
        <v>394</v>
      </c>
      <c r="BJ27" s="3">
        <f t="shared" ca="1" si="16"/>
        <v>479</v>
      </c>
      <c r="BK27" s="3">
        <f t="shared" ca="1" si="16"/>
        <v>421</v>
      </c>
      <c r="BL27" s="3">
        <f t="shared" ca="1" si="16"/>
        <v>425</v>
      </c>
      <c r="BM27" s="3">
        <f t="shared" ca="1" si="16"/>
        <v>374</v>
      </c>
      <c r="BN27" s="3">
        <f t="shared" ca="1" si="16"/>
        <v>394</v>
      </c>
      <c r="BO27" s="3">
        <f t="shared" ca="1" si="16"/>
        <v>378</v>
      </c>
      <c r="BP27" s="3">
        <f t="shared" ref="BP27:CH27" ca="1" si="17">RANDBETWEEN(350, 490)</f>
        <v>404</v>
      </c>
      <c r="BQ27" s="3">
        <f t="shared" ca="1" si="17"/>
        <v>370</v>
      </c>
      <c r="BR27" s="3">
        <f t="shared" ca="1" si="17"/>
        <v>481</v>
      </c>
      <c r="BS27" s="3">
        <f t="shared" ca="1" si="17"/>
        <v>368</v>
      </c>
      <c r="BT27" s="3">
        <f t="shared" ca="1" si="17"/>
        <v>413</v>
      </c>
      <c r="BU27" s="3">
        <f t="shared" ca="1" si="17"/>
        <v>432</v>
      </c>
      <c r="BV27" s="3">
        <f t="shared" ca="1" si="17"/>
        <v>433</v>
      </c>
      <c r="BW27" s="3">
        <f t="shared" ca="1" si="17"/>
        <v>374</v>
      </c>
      <c r="BX27" s="3">
        <f t="shared" ca="1" si="17"/>
        <v>392</v>
      </c>
      <c r="BY27" s="3">
        <f t="shared" ca="1" si="17"/>
        <v>454</v>
      </c>
      <c r="BZ27" s="3">
        <f t="shared" ca="1" si="17"/>
        <v>480</v>
      </c>
      <c r="CA27" s="3">
        <f t="shared" ca="1" si="17"/>
        <v>469</v>
      </c>
      <c r="CB27" s="3">
        <f t="shared" ca="1" si="17"/>
        <v>416</v>
      </c>
      <c r="CC27" s="3">
        <f t="shared" ca="1" si="17"/>
        <v>449</v>
      </c>
      <c r="CD27" s="3">
        <f t="shared" ca="1" si="17"/>
        <v>438</v>
      </c>
      <c r="CE27" s="3">
        <f t="shared" ca="1" si="17"/>
        <v>376</v>
      </c>
      <c r="CF27" s="3">
        <f t="shared" ca="1" si="17"/>
        <v>442</v>
      </c>
      <c r="CG27" s="3">
        <f t="shared" ca="1" si="17"/>
        <v>394</v>
      </c>
      <c r="CH27" s="11">
        <f t="shared" ca="1" si="17"/>
        <v>469</v>
      </c>
    </row>
    <row r="28" spans="1:86" x14ac:dyDescent="0.2">
      <c r="A28" s="10" t="s">
        <v>921</v>
      </c>
      <c r="B28" s="3">
        <f>B26*$B$24</f>
        <v>0</v>
      </c>
      <c r="C28" s="3">
        <f>C26*$B$24</f>
        <v>199.5</v>
      </c>
      <c r="D28" s="3">
        <f t="shared" ref="D28:BO28" si="18">D26*$B$24</f>
        <v>219.45</v>
      </c>
      <c r="E28" s="3">
        <f t="shared" si="18"/>
        <v>239.39999999999998</v>
      </c>
      <c r="F28" s="3">
        <f t="shared" si="18"/>
        <v>259.34999999999997</v>
      </c>
      <c r="G28" s="3">
        <f t="shared" si="18"/>
        <v>279.3</v>
      </c>
      <c r="H28" s="3">
        <f t="shared" si="18"/>
        <v>299.25</v>
      </c>
      <c r="I28" s="3">
        <f t="shared" si="18"/>
        <v>319.2</v>
      </c>
      <c r="J28" s="3">
        <f t="shared" si="18"/>
        <v>339.15</v>
      </c>
      <c r="K28" s="3">
        <f t="shared" si="18"/>
        <v>359.09999999999997</v>
      </c>
      <c r="L28" s="3">
        <f t="shared" si="18"/>
        <v>379.05</v>
      </c>
      <c r="M28" s="3">
        <f t="shared" si="18"/>
        <v>399</v>
      </c>
      <c r="N28" s="3">
        <f t="shared" si="18"/>
        <v>438.9</v>
      </c>
      <c r="O28" s="3">
        <f t="shared" si="18"/>
        <v>478.79999999999995</v>
      </c>
      <c r="P28" s="3">
        <f t="shared" si="18"/>
        <v>518.69999999999993</v>
      </c>
      <c r="Q28" s="3">
        <f t="shared" si="18"/>
        <v>558.6</v>
      </c>
      <c r="R28" s="3">
        <f t="shared" si="18"/>
        <v>598.5</v>
      </c>
      <c r="S28" s="3">
        <f t="shared" si="18"/>
        <v>658.35</v>
      </c>
      <c r="T28" s="3">
        <f t="shared" si="18"/>
        <v>718.19999999999993</v>
      </c>
      <c r="U28" s="3">
        <f t="shared" si="18"/>
        <v>778.05</v>
      </c>
      <c r="V28" s="3">
        <f t="shared" si="18"/>
        <v>837.9</v>
      </c>
      <c r="W28" s="3">
        <f t="shared" si="18"/>
        <v>917.69999999999993</v>
      </c>
      <c r="X28" s="3">
        <f t="shared" si="18"/>
        <v>997.5</v>
      </c>
      <c r="Y28" s="3">
        <f t="shared" si="18"/>
        <v>1097.25</v>
      </c>
      <c r="Z28" s="3">
        <f t="shared" si="18"/>
        <v>1197</v>
      </c>
      <c r="AA28" s="3">
        <f t="shared" si="18"/>
        <v>1316.7</v>
      </c>
      <c r="AB28" s="3">
        <f t="shared" si="18"/>
        <v>1436.3999999999999</v>
      </c>
      <c r="AC28" s="3">
        <f t="shared" si="18"/>
        <v>1576.05</v>
      </c>
      <c r="AD28" s="3">
        <f t="shared" si="18"/>
        <v>1715.7</v>
      </c>
      <c r="AE28" s="3">
        <f t="shared" si="18"/>
        <v>1875.3</v>
      </c>
      <c r="AF28" s="3">
        <f t="shared" si="18"/>
        <v>2054.85</v>
      </c>
      <c r="AG28" s="3">
        <f t="shared" si="18"/>
        <v>2254.35</v>
      </c>
      <c r="AH28" s="3">
        <f t="shared" si="18"/>
        <v>2473.7999999999997</v>
      </c>
      <c r="AI28" s="3">
        <f t="shared" si="18"/>
        <v>2713.2</v>
      </c>
      <c r="AJ28" s="3">
        <f t="shared" si="18"/>
        <v>2972.5499999999997</v>
      </c>
      <c r="AK28" s="3">
        <f t="shared" si="18"/>
        <v>3251.85</v>
      </c>
      <c r="AL28" s="3">
        <f t="shared" si="18"/>
        <v>3571.0499999999997</v>
      </c>
      <c r="AM28" s="3">
        <f t="shared" si="18"/>
        <v>3910.2</v>
      </c>
      <c r="AN28" s="3">
        <f t="shared" si="18"/>
        <v>4289.25</v>
      </c>
      <c r="AO28" s="3">
        <f t="shared" si="18"/>
        <v>4708.2</v>
      </c>
      <c r="AP28" s="3">
        <f t="shared" si="18"/>
        <v>5167.05</v>
      </c>
      <c r="AQ28" s="3">
        <f t="shared" si="18"/>
        <v>5665.8</v>
      </c>
      <c r="AR28" s="3">
        <f t="shared" si="18"/>
        <v>6224.4</v>
      </c>
      <c r="AS28" s="3">
        <f t="shared" si="18"/>
        <v>6842.8499999999995</v>
      </c>
      <c r="AT28" s="3">
        <f t="shared" si="18"/>
        <v>7521.15</v>
      </c>
      <c r="AU28" s="3">
        <f t="shared" si="18"/>
        <v>8259.2999999999993</v>
      </c>
      <c r="AV28" s="3">
        <f t="shared" si="18"/>
        <v>9077.25</v>
      </c>
      <c r="AW28" s="3">
        <f t="shared" si="18"/>
        <v>9975</v>
      </c>
      <c r="AX28" s="3">
        <f t="shared" si="18"/>
        <v>10972.5</v>
      </c>
      <c r="AY28" s="3">
        <f t="shared" si="18"/>
        <v>12069.75</v>
      </c>
      <c r="AZ28" s="3">
        <f t="shared" si="18"/>
        <v>13266.75</v>
      </c>
      <c r="BA28" s="3">
        <f t="shared" si="18"/>
        <v>13466.25</v>
      </c>
      <c r="BB28" s="3">
        <f t="shared" si="18"/>
        <v>13705.65</v>
      </c>
      <c r="BC28" s="3">
        <f t="shared" si="18"/>
        <v>13925.1</v>
      </c>
      <c r="BD28" s="3">
        <f t="shared" si="18"/>
        <v>14244.3</v>
      </c>
      <c r="BE28" s="3">
        <f t="shared" si="18"/>
        <v>14563.5</v>
      </c>
      <c r="BF28" s="3">
        <f t="shared" si="18"/>
        <v>14942.55</v>
      </c>
      <c r="BG28" s="3">
        <f t="shared" si="18"/>
        <v>14663.25</v>
      </c>
      <c r="BH28" s="3">
        <f t="shared" si="18"/>
        <v>14284.199999999999</v>
      </c>
      <c r="BI28" s="3">
        <f t="shared" si="18"/>
        <v>14004.9</v>
      </c>
      <c r="BJ28" s="3">
        <f t="shared" si="18"/>
        <v>13605.9</v>
      </c>
      <c r="BK28" s="3">
        <f t="shared" si="18"/>
        <v>13206.9</v>
      </c>
      <c r="BL28" s="3">
        <f t="shared" si="18"/>
        <v>12827.85</v>
      </c>
      <c r="BM28" s="3">
        <f t="shared" si="18"/>
        <v>12608.4</v>
      </c>
      <c r="BN28" s="3">
        <f t="shared" si="18"/>
        <v>12309.15</v>
      </c>
      <c r="BO28" s="3">
        <f t="shared" si="18"/>
        <v>11970</v>
      </c>
      <c r="BP28" s="3">
        <f t="shared" ref="BP28:CH28" si="19">BP26*$B$24</f>
        <v>11750.55</v>
      </c>
      <c r="BQ28" s="3">
        <f t="shared" si="19"/>
        <v>11351.55</v>
      </c>
      <c r="BR28" s="3">
        <f t="shared" si="19"/>
        <v>11112.15</v>
      </c>
      <c r="BS28" s="3">
        <f t="shared" si="19"/>
        <v>10733.1</v>
      </c>
      <c r="BT28" s="3">
        <f t="shared" si="19"/>
        <v>10393.949999999999</v>
      </c>
      <c r="BU28" s="3">
        <f t="shared" si="19"/>
        <v>10194.449999999999</v>
      </c>
      <c r="BV28" s="3">
        <f t="shared" si="19"/>
        <v>9855.2999999999993</v>
      </c>
      <c r="BW28" s="3">
        <f t="shared" si="19"/>
        <v>9615.9</v>
      </c>
      <c r="BX28" s="3">
        <f t="shared" si="19"/>
        <v>9336.6</v>
      </c>
      <c r="BY28" s="3">
        <f t="shared" si="19"/>
        <v>9057.2999999999993</v>
      </c>
      <c r="BZ28" s="3">
        <f t="shared" si="19"/>
        <v>8738.1</v>
      </c>
      <c r="CA28" s="3">
        <f t="shared" si="19"/>
        <v>8518.65</v>
      </c>
      <c r="CB28" s="3">
        <f t="shared" si="19"/>
        <v>8179.5</v>
      </c>
      <c r="CC28" s="3">
        <f t="shared" si="19"/>
        <v>7900.2</v>
      </c>
      <c r="CD28" s="3">
        <f t="shared" si="19"/>
        <v>7561.05</v>
      </c>
      <c r="CE28" s="3">
        <f t="shared" si="19"/>
        <v>7201.95</v>
      </c>
      <c r="CF28" s="3">
        <f t="shared" si="19"/>
        <v>7002.45</v>
      </c>
      <c r="CG28" s="3">
        <f t="shared" si="19"/>
        <v>6743.0999999999995</v>
      </c>
      <c r="CH28" s="3">
        <f t="shared" si="19"/>
        <v>6423.9</v>
      </c>
    </row>
    <row r="29" spans="1:86" x14ac:dyDescent="0.2">
      <c r="A29" s="10" t="s">
        <v>922</v>
      </c>
      <c r="B29" s="3">
        <f>B28</f>
        <v>0</v>
      </c>
      <c r="C29" s="3">
        <f>C28+B29</f>
        <v>199.5</v>
      </c>
      <c r="D29" s="3">
        <f t="shared" ref="D29:BO29" si="20">D28+C29</f>
        <v>418.95</v>
      </c>
      <c r="E29" s="3">
        <f t="shared" si="20"/>
        <v>658.34999999999991</v>
      </c>
      <c r="F29" s="3">
        <f t="shared" si="20"/>
        <v>917.69999999999982</v>
      </c>
      <c r="G29" s="3">
        <f t="shared" si="20"/>
        <v>1196.9999999999998</v>
      </c>
      <c r="H29" s="3">
        <f t="shared" si="20"/>
        <v>1496.2499999999998</v>
      </c>
      <c r="I29" s="3">
        <f t="shared" si="20"/>
        <v>1815.4499999999998</v>
      </c>
      <c r="J29" s="3">
        <f t="shared" si="20"/>
        <v>2154.6</v>
      </c>
      <c r="K29" s="3">
        <f t="shared" si="20"/>
        <v>2513.6999999999998</v>
      </c>
      <c r="L29" s="3">
        <f t="shared" si="20"/>
        <v>2892.75</v>
      </c>
      <c r="M29" s="3">
        <f t="shared" si="20"/>
        <v>3291.75</v>
      </c>
      <c r="N29" s="3">
        <f t="shared" si="20"/>
        <v>3730.65</v>
      </c>
      <c r="O29" s="3">
        <f t="shared" si="20"/>
        <v>4209.45</v>
      </c>
      <c r="P29" s="3">
        <f t="shared" si="20"/>
        <v>4728.1499999999996</v>
      </c>
      <c r="Q29" s="3">
        <f t="shared" si="20"/>
        <v>5286.75</v>
      </c>
      <c r="R29" s="3">
        <f t="shared" si="20"/>
        <v>5885.25</v>
      </c>
      <c r="S29" s="3">
        <f t="shared" si="20"/>
        <v>6543.6</v>
      </c>
      <c r="T29" s="3">
        <f t="shared" si="20"/>
        <v>7261.8</v>
      </c>
      <c r="U29" s="3">
        <f t="shared" si="20"/>
        <v>8039.85</v>
      </c>
      <c r="V29" s="3">
        <f t="shared" si="20"/>
        <v>8877.75</v>
      </c>
      <c r="W29" s="3">
        <f t="shared" si="20"/>
        <v>9795.4500000000007</v>
      </c>
      <c r="X29" s="3">
        <f t="shared" si="20"/>
        <v>10792.95</v>
      </c>
      <c r="Y29" s="3">
        <f t="shared" si="20"/>
        <v>11890.2</v>
      </c>
      <c r="Z29" s="3">
        <f t="shared" si="20"/>
        <v>13087.2</v>
      </c>
      <c r="AA29" s="3">
        <f t="shared" si="20"/>
        <v>14403.900000000001</v>
      </c>
      <c r="AB29" s="3">
        <f t="shared" si="20"/>
        <v>15840.300000000001</v>
      </c>
      <c r="AC29" s="3">
        <f t="shared" si="20"/>
        <v>17416.350000000002</v>
      </c>
      <c r="AD29" s="3">
        <f t="shared" si="20"/>
        <v>19132.050000000003</v>
      </c>
      <c r="AE29" s="3">
        <f t="shared" si="20"/>
        <v>21007.350000000002</v>
      </c>
      <c r="AF29" s="3">
        <f t="shared" si="20"/>
        <v>23062.2</v>
      </c>
      <c r="AG29" s="3">
        <f t="shared" si="20"/>
        <v>25316.55</v>
      </c>
      <c r="AH29" s="3">
        <f t="shared" si="20"/>
        <v>27790.35</v>
      </c>
      <c r="AI29" s="3">
        <f t="shared" si="20"/>
        <v>30503.55</v>
      </c>
      <c r="AJ29" s="3">
        <f t="shared" si="20"/>
        <v>33476.1</v>
      </c>
      <c r="AK29" s="3">
        <f t="shared" si="20"/>
        <v>36727.949999999997</v>
      </c>
      <c r="AL29" s="3">
        <f t="shared" si="20"/>
        <v>40299</v>
      </c>
      <c r="AM29" s="3">
        <f t="shared" si="20"/>
        <v>44209.2</v>
      </c>
      <c r="AN29" s="3">
        <f t="shared" si="20"/>
        <v>48498.45</v>
      </c>
      <c r="AO29" s="3">
        <f t="shared" si="20"/>
        <v>53206.649999999994</v>
      </c>
      <c r="AP29" s="3">
        <f t="shared" si="20"/>
        <v>58373.7</v>
      </c>
      <c r="AQ29" s="3">
        <f t="shared" si="20"/>
        <v>64039.5</v>
      </c>
      <c r="AR29" s="3">
        <f t="shared" si="20"/>
        <v>70263.899999999994</v>
      </c>
      <c r="AS29" s="3">
        <f t="shared" si="20"/>
        <v>77106.75</v>
      </c>
      <c r="AT29" s="3">
        <f t="shared" si="20"/>
        <v>84627.9</v>
      </c>
      <c r="AU29" s="3">
        <f t="shared" si="20"/>
        <v>92887.2</v>
      </c>
      <c r="AV29" s="3">
        <f t="shared" si="20"/>
        <v>101964.45</v>
      </c>
      <c r="AW29" s="3">
        <f t="shared" si="20"/>
        <v>111939.45</v>
      </c>
      <c r="AX29" s="3">
        <f t="shared" si="20"/>
        <v>122911.95</v>
      </c>
      <c r="AY29" s="3">
        <f t="shared" si="20"/>
        <v>134981.70000000001</v>
      </c>
      <c r="AZ29" s="3">
        <f t="shared" si="20"/>
        <v>148248.45000000001</v>
      </c>
      <c r="BA29" s="3">
        <f t="shared" si="20"/>
        <v>161714.70000000001</v>
      </c>
      <c r="BB29" s="3">
        <f t="shared" si="20"/>
        <v>175420.35</v>
      </c>
      <c r="BC29" s="3">
        <f t="shared" si="20"/>
        <v>189345.45</v>
      </c>
      <c r="BD29" s="3">
        <f t="shared" si="20"/>
        <v>203589.75</v>
      </c>
      <c r="BE29" s="3">
        <f t="shared" si="20"/>
        <v>218153.25</v>
      </c>
      <c r="BF29" s="3">
        <f t="shared" si="20"/>
        <v>233095.8</v>
      </c>
      <c r="BG29" s="3">
        <f t="shared" si="20"/>
        <v>247759.05</v>
      </c>
      <c r="BH29" s="3">
        <f t="shared" si="20"/>
        <v>262043.25</v>
      </c>
      <c r="BI29" s="3">
        <f t="shared" si="20"/>
        <v>276048.15000000002</v>
      </c>
      <c r="BJ29" s="3">
        <f t="shared" si="20"/>
        <v>289654.05000000005</v>
      </c>
      <c r="BK29" s="3">
        <f t="shared" si="20"/>
        <v>302860.95000000007</v>
      </c>
      <c r="BL29" s="3">
        <f t="shared" si="20"/>
        <v>315688.80000000005</v>
      </c>
      <c r="BM29" s="3">
        <f t="shared" si="20"/>
        <v>328297.20000000007</v>
      </c>
      <c r="BN29" s="3">
        <f t="shared" si="20"/>
        <v>340606.35000000009</v>
      </c>
      <c r="BO29" s="3">
        <f t="shared" si="20"/>
        <v>352576.35000000009</v>
      </c>
      <c r="BP29" s="3">
        <f t="shared" ref="BP29:CH29" si="21">BP28+BO29</f>
        <v>364326.90000000008</v>
      </c>
      <c r="BQ29" s="3">
        <f t="shared" si="21"/>
        <v>375678.45000000007</v>
      </c>
      <c r="BR29" s="3">
        <f t="shared" si="21"/>
        <v>386790.60000000009</v>
      </c>
      <c r="BS29" s="3">
        <f t="shared" si="21"/>
        <v>397523.70000000007</v>
      </c>
      <c r="BT29" s="3">
        <f t="shared" si="21"/>
        <v>407917.65000000008</v>
      </c>
      <c r="BU29" s="3">
        <f t="shared" si="21"/>
        <v>418112.10000000009</v>
      </c>
      <c r="BV29" s="3">
        <f t="shared" si="21"/>
        <v>427967.40000000008</v>
      </c>
      <c r="BW29" s="3">
        <f t="shared" si="21"/>
        <v>437583.3000000001</v>
      </c>
      <c r="BX29" s="3">
        <f t="shared" si="21"/>
        <v>446919.90000000008</v>
      </c>
      <c r="BY29" s="3">
        <f t="shared" si="21"/>
        <v>455977.20000000007</v>
      </c>
      <c r="BZ29" s="3">
        <f t="shared" si="21"/>
        <v>464715.30000000005</v>
      </c>
      <c r="CA29" s="3">
        <f t="shared" si="21"/>
        <v>473233.95000000007</v>
      </c>
      <c r="CB29" s="3">
        <f t="shared" si="21"/>
        <v>481413.45000000007</v>
      </c>
      <c r="CC29" s="3">
        <f t="shared" si="21"/>
        <v>489313.65000000008</v>
      </c>
      <c r="CD29" s="3">
        <f t="shared" si="21"/>
        <v>496874.70000000007</v>
      </c>
      <c r="CE29" s="3">
        <f t="shared" si="21"/>
        <v>504076.65000000008</v>
      </c>
      <c r="CF29" s="3">
        <f t="shared" si="21"/>
        <v>511079.10000000009</v>
      </c>
      <c r="CG29" s="3">
        <f t="shared" si="21"/>
        <v>517822.20000000007</v>
      </c>
      <c r="CH29" s="3">
        <f t="shared" si="21"/>
        <v>524246.10000000009</v>
      </c>
    </row>
    <row r="30" spans="1:86" ht="17" thickBot="1" x14ac:dyDescent="0.25">
      <c r="A30" s="177" t="s">
        <v>923</v>
      </c>
      <c r="B30" s="178">
        <f>B28-(B26*$B$25)-B27-B23</f>
        <v>-4357048</v>
      </c>
      <c r="C30" s="178">
        <f t="shared" ref="C30:BN30" ca="1" si="22">C28-(C26*$B$25)-C27-C23</f>
        <v>-203.9</v>
      </c>
      <c r="D30" s="178">
        <f t="shared" ca="1" si="22"/>
        <v>-254.59</v>
      </c>
      <c r="E30" s="178">
        <f t="shared" ca="1" si="22"/>
        <v>-280.28000000000003</v>
      </c>
      <c r="F30" s="178">
        <f t="shared" ca="1" si="22"/>
        <v>-246.97000000000003</v>
      </c>
      <c r="G30" s="178">
        <f t="shared" ca="1" si="22"/>
        <v>-169.65999999999997</v>
      </c>
      <c r="H30" s="178">
        <f t="shared" ca="1" si="22"/>
        <v>-131.35</v>
      </c>
      <c r="I30" s="178">
        <f t="shared" ca="1" si="22"/>
        <v>-111.04000000000002</v>
      </c>
      <c r="J30" s="178">
        <f t="shared" ca="1" si="22"/>
        <v>-154.73000000000002</v>
      </c>
      <c r="K30" s="178">
        <f t="shared" ca="1" si="22"/>
        <v>-143.42000000000002</v>
      </c>
      <c r="L30" s="178">
        <f t="shared" ca="1" si="22"/>
        <v>-90.110000000000014</v>
      </c>
      <c r="M30" s="178">
        <f t="shared" ca="1" si="22"/>
        <v>-88.800000000000011</v>
      </c>
      <c r="N30" s="178">
        <f t="shared" ca="1" si="22"/>
        <v>-22.180000000000007</v>
      </c>
      <c r="O30" s="178">
        <f t="shared" ca="1" si="22"/>
        <v>-51.560000000000059</v>
      </c>
      <c r="P30" s="178">
        <f t="shared" ca="1" si="22"/>
        <v>-71.940000000000055</v>
      </c>
      <c r="Q30" s="178">
        <f t="shared" ca="1" si="22"/>
        <v>69.680000000000064</v>
      </c>
      <c r="R30" s="178">
        <f t="shared" ca="1" si="22"/>
        <v>30.300000000000011</v>
      </c>
      <c r="S30" s="178">
        <f t="shared" ca="1" si="22"/>
        <v>142.23000000000002</v>
      </c>
      <c r="T30" s="178">
        <f t="shared" ca="1" si="22"/>
        <v>133.15999999999997</v>
      </c>
      <c r="U30" s="178">
        <f t="shared" ca="1" si="22"/>
        <v>180.08999999999992</v>
      </c>
      <c r="V30" s="178">
        <f t="shared" ca="1" si="22"/>
        <v>255.01999999999998</v>
      </c>
      <c r="W30" s="178">
        <f t="shared" ca="1" si="22"/>
        <v>295.26</v>
      </c>
      <c r="X30" s="178">
        <f t="shared" ca="1" si="22"/>
        <v>313.5</v>
      </c>
      <c r="Y30" s="178">
        <f t="shared" ca="1" si="22"/>
        <v>479.04999999999995</v>
      </c>
      <c r="Z30" s="178">
        <f t="shared" ca="1" si="22"/>
        <v>428.6</v>
      </c>
      <c r="AA30" s="178">
        <f t="shared" ca="1" si="22"/>
        <v>533.46</v>
      </c>
      <c r="AB30" s="178">
        <f t="shared" ca="1" si="22"/>
        <v>719.31999999999994</v>
      </c>
      <c r="AC30" s="178">
        <f t="shared" ca="1" si="22"/>
        <v>727.49</v>
      </c>
      <c r="AD30" s="178">
        <f t="shared" ca="1" si="22"/>
        <v>890.66000000000008</v>
      </c>
      <c r="AE30" s="178">
        <f t="shared" ca="1" si="22"/>
        <v>958.13999999999987</v>
      </c>
      <c r="AF30" s="178">
        <f t="shared" ca="1" si="22"/>
        <v>1119.9299999999998</v>
      </c>
      <c r="AG30" s="178">
        <f t="shared" ca="1" si="22"/>
        <v>1298.03</v>
      </c>
      <c r="AH30" s="178">
        <f t="shared" ca="1" si="22"/>
        <v>1534.4399999999996</v>
      </c>
      <c r="AI30" s="178">
        <f t="shared" ca="1" si="22"/>
        <v>1598.1599999999999</v>
      </c>
      <c r="AJ30" s="178">
        <f t="shared" ca="1" si="22"/>
        <v>1865.1899999999996</v>
      </c>
      <c r="AK30" s="178">
        <f t="shared" ca="1" si="22"/>
        <v>2080.5299999999997</v>
      </c>
      <c r="AL30" s="178">
        <f t="shared" ca="1" si="22"/>
        <v>2368.4899999999998</v>
      </c>
      <c r="AM30" s="178">
        <f t="shared" ca="1" si="22"/>
        <v>2589.7599999999998</v>
      </c>
      <c r="AN30" s="178">
        <f t="shared" ca="1" si="22"/>
        <v>2940.65</v>
      </c>
      <c r="AO30" s="178">
        <f t="shared" ca="1" si="22"/>
        <v>3144.16</v>
      </c>
      <c r="AP30" s="178">
        <f t="shared" ca="1" si="22"/>
        <v>3532.29</v>
      </c>
      <c r="AQ30" s="178">
        <f t="shared" ca="1" si="22"/>
        <v>3890.04</v>
      </c>
      <c r="AR30" s="178">
        <f t="shared" ca="1" si="22"/>
        <v>4346.7199999999993</v>
      </c>
      <c r="AS30" s="178">
        <f t="shared" ca="1" si="22"/>
        <v>4772.33</v>
      </c>
      <c r="AT30" s="178">
        <f t="shared" ca="1" si="22"/>
        <v>5373.87</v>
      </c>
      <c r="AU30" s="178">
        <f t="shared" ca="1" si="22"/>
        <v>5860.3399999999992</v>
      </c>
      <c r="AV30" s="178">
        <f t="shared" ca="1" si="22"/>
        <v>6535.05</v>
      </c>
      <c r="AW30" s="178">
        <f t="shared" ca="1" si="22"/>
        <v>7227</v>
      </c>
      <c r="AX30" s="178">
        <f t="shared" ca="1" si="22"/>
        <v>8014.5</v>
      </c>
      <c r="AY30" s="178">
        <f t="shared" ca="1" si="22"/>
        <v>8848.5499999999993</v>
      </c>
      <c r="AZ30" s="178">
        <f t="shared" ca="1" si="22"/>
        <v>9755.15</v>
      </c>
      <c r="BA30" s="178">
        <f t="shared" ca="1" si="22"/>
        <v>9889.25</v>
      </c>
      <c r="BB30" s="178">
        <f t="shared" ca="1" si="22"/>
        <v>10149.969999999999</v>
      </c>
      <c r="BC30" s="178">
        <f t="shared" ca="1" si="22"/>
        <v>10274.380000000001</v>
      </c>
      <c r="BD30" s="178">
        <f t="shared" ca="1" si="22"/>
        <v>10509.34</v>
      </c>
      <c r="BE30" s="178">
        <f t="shared" ca="1" si="22"/>
        <v>10741.3</v>
      </c>
      <c r="BF30" s="178">
        <f t="shared" ca="1" si="22"/>
        <v>11065.189999999999</v>
      </c>
      <c r="BG30" s="178">
        <f t="shared" ca="1" si="22"/>
        <v>10796.85</v>
      </c>
      <c r="BH30" s="178">
        <f t="shared" ca="1" si="22"/>
        <v>10507.96</v>
      </c>
      <c r="BI30" s="178">
        <f t="shared" ca="1" si="22"/>
        <v>10353.619999999999</v>
      </c>
      <c r="BJ30" s="178">
        <f t="shared" ca="1" si="22"/>
        <v>9962.42</v>
      </c>
      <c r="BK30" s="178">
        <f t="shared" ca="1" si="22"/>
        <v>9714.2199999999993</v>
      </c>
      <c r="BL30" s="178">
        <f t="shared" ca="1" si="22"/>
        <v>9419.33</v>
      </c>
      <c r="BM30" s="178">
        <f t="shared" ca="1" si="22"/>
        <v>9301.92</v>
      </c>
      <c r="BN30" s="178">
        <f t="shared" ca="1" si="22"/>
        <v>9052.27</v>
      </c>
      <c r="BO30" s="178">
        <f t="shared" ref="BO30:CH30" ca="1" si="23">BO28-(BO26*$B$25)-BO27-BO23</f>
        <v>8808</v>
      </c>
      <c r="BP30" s="178">
        <f t="shared" ca="1" si="23"/>
        <v>8613.59</v>
      </c>
      <c r="BQ30" s="178">
        <f t="shared" ca="1" si="23"/>
        <v>8341.39</v>
      </c>
      <c r="BR30" s="178">
        <f t="shared" ca="1" si="23"/>
        <v>8046.67</v>
      </c>
      <c r="BS30" s="178">
        <f t="shared" ca="1" si="23"/>
        <v>7868.7800000000007</v>
      </c>
      <c r="BT30" s="178">
        <f t="shared" ca="1" si="23"/>
        <v>7563.5099999999984</v>
      </c>
      <c r="BU30" s="178">
        <f t="shared" ca="1" si="23"/>
        <v>7391.4099999999989</v>
      </c>
      <c r="BV30" s="178">
        <f t="shared" ca="1" si="23"/>
        <v>7130.1399999999994</v>
      </c>
      <c r="BW30" s="178">
        <f t="shared" ca="1" si="23"/>
        <v>7005.42</v>
      </c>
      <c r="BX30" s="178">
        <f t="shared" ca="1" si="23"/>
        <v>6773.08</v>
      </c>
      <c r="BY30" s="178">
        <f t="shared" ca="1" si="23"/>
        <v>6496.74</v>
      </c>
      <c r="BZ30" s="178">
        <f t="shared" ca="1" si="23"/>
        <v>6225.7800000000007</v>
      </c>
      <c r="CA30" s="178">
        <f t="shared" ca="1" si="23"/>
        <v>6068.37</v>
      </c>
      <c r="CB30" s="178">
        <f t="shared" ca="1" si="23"/>
        <v>5861.1</v>
      </c>
      <c r="CC30" s="178">
        <f t="shared" ca="1" si="23"/>
        <v>5613.76</v>
      </c>
      <c r="CD30" s="178">
        <f t="shared" ca="1" si="23"/>
        <v>5364.49</v>
      </c>
      <c r="CE30" s="178">
        <f t="shared" ca="1" si="23"/>
        <v>5150.91</v>
      </c>
      <c r="CF30" s="178">
        <f t="shared" ca="1" si="23"/>
        <v>4931.8099999999995</v>
      </c>
      <c r="CG30" s="178">
        <f t="shared" ca="1" si="23"/>
        <v>4780.78</v>
      </c>
      <c r="CH30" s="178">
        <f t="shared" ca="1" si="23"/>
        <v>4460.82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AA14AF-8D1B-0647-A4B8-D9FF2ABAD046}">
  <sheetPr codeName="Sheet5"/>
  <dimension ref="A1:K22"/>
  <sheetViews>
    <sheetView zoomScale="125" zoomScaleNormal="90" workbookViewId="0">
      <selection activeCell="A3" sqref="A3:A18"/>
    </sheetView>
  </sheetViews>
  <sheetFormatPr baseColWidth="10" defaultRowHeight="16" x14ac:dyDescent="0.2"/>
  <cols>
    <col min="1" max="1" width="22.1640625" style="137" customWidth="1"/>
    <col min="2" max="11" width="21.33203125" style="137" customWidth="1"/>
    <col min="12" max="16384" width="10.83203125" style="137"/>
  </cols>
  <sheetData>
    <row r="1" spans="1:11" x14ac:dyDescent="0.2">
      <c r="A1" s="143"/>
      <c r="B1" s="143"/>
      <c r="C1" s="143"/>
      <c r="D1" s="143"/>
      <c r="E1" s="143"/>
      <c r="F1" s="143"/>
      <c r="G1" s="143"/>
      <c r="H1" s="143"/>
      <c r="I1" s="143"/>
      <c r="J1" s="143"/>
      <c r="K1" s="143"/>
    </row>
    <row r="2" spans="1:11" x14ac:dyDescent="0.2">
      <c r="A2" s="143"/>
      <c r="B2" s="144" t="str">
        <f>A3</f>
        <v>Style</v>
      </c>
      <c r="C2" s="144" t="str">
        <f>A4</f>
        <v>Lightweight</v>
      </c>
      <c r="D2" s="144" t="str">
        <f>A5</f>
        <v>Durable</v>
      </c>
      <c r="E2" s="144" t="str">
        <f>A6</f>
        <v>Simple locking system</v>
      </c>
      <c r="F2" s="144" t="str">
        <f>A7</f>
        <v>Short charging time</v>
      </c>
      <c r="G2" s="144" t="str">
        <f>A8</f>
        <v>Easy-to-replace parts</v>
      </c>
      <c r="H2" s="144" t="s">
        <v>827</v>
      </c>
      <c r="I2" s="144" t="s">
        <v>764</v>
      </c>
      <c r="J2" s="144" t="s">
        <v>169</v>
      </c>
      <c r="K2" s="144" t="s">
        <v>765</v>
      </c>
    </row>
    <row r="3" spans="1:11" x14ac:dyDescent="0.2">
      <c r="A3" s="144" t="s">
        <v>766</v>
      </c>
      <c r="B3" s="138"/>
      <c r="C3" s="139">
        <f t="array" ref="C3:G3">TRANSPOSE(B4:B8)*(-1)</f>
        <v>1</v>
      </c>
      <c r="D3" s="139">
        <v>0</v>
      </c>
      <c r="E3" s="139">
        <v>1</v>
      </c>
      <c r="F3" s="139">
        <v>-1</v>
      </c>
      <c r="G3" s="139">
        <v>0</v>
      </c>
      <c r="H3" s="145" t="s">
        <v>827</v>
      </c>
      <c r="I3" s="139">
        <f>SUM(B3:G3)</f>
        <v>1</v>
      </c>
      <c r="J3" s="139" cm="1">
        <f t="array" ref="J3">I3+(ROUNDUP(MAX(ABS($I$3:$I$8)), -1))</f>
        <v>11</v>
      </c>
      <c r="K3" s="140">
        <f>J3/$J$9</f>
        <v>0.18333333333333332</v>
      </c>
    </row>
    <row r="4" spans="1:11" x14ac:dyDescent="0.2">
      <c r="A4" s="144" t="s">
        <v>767</v>
      </c>
      <c r="B4" s="139">
        <v>-1</v>
      </c>
      <c r="C4" s="138"/>
      <c r="D4" s="139">
        <f t="array" ref="D4:G4">TRANSPOSE(C5:C8)*(-1)</f>
        <v>-1</v>
      </c>
      <c r="E4" s="139">
        <v>0</v>
      </c>
      <c r="F4" s="139">
        <v>-1</v>
      </c>
      <c r="G4" s="141">
        <v>0</v>
      </c>
      <c r="H4" s="146" t="s">
        <v>827</v>
      </c>
      <c r="I4" s="139">
        <f t="shared" ref="I4:I8" si="0">SUM(B4:G4)</f>
        <v>-3</v>
      </c>
      <c r="J4" s="139" cm="1">
        <f t="array" ref="J4">I4+(ROUNDUP(MAX(ABS($I$3:$I$8)), -1))</f>
        <v>7</v>
      </c>
      <c r="K4" s="140">
        <f t="shared" ref="K4:K8" si="1">J4/$J$9</f>
        <v>0.11666666666666667</v>
      </c>
    </row>
    <row r="5" spans="1:11" x14ac:dyDescent="0.2">
      <c r="A5" s="144" t="s">
        <v>768</v>
      </c>
      <c r="B5" s="139">
        <v>0</v>
      </c>
      <c r="C5" s="139">
        <v>1</v>
      </c>
      <c r="D5" s="138"/>
      <c r="E5" s="139">
        <f t="array" ref="E5:G5">TRANSPOSE(D6:D8)*(-1)</f>
        <v>1</v>
      </c>
      <c r="F5" s="139">
        <v>0</v>
      </c>
      <c r="G5" s="141">
        <v>-1</v>
      </c>
      <c r="H5" s="146" t="s">
        <v>827</v>
      </c>
      <c r="I5" s="139">
        <f t="shared" si="0"/>
        <v>1</v>
      </c>
      <c r="J5" s="139" cm="1">
        <f t="array" ref="J5">I5+(ROUNDUP(MAX(ABS($I$3:$I$8)), -1))</f>
        <v>11</v>
      </c>
      <c r="K5" s="140">
        <f t="shared" si="1"/>
        <v>0.18333333333333332</v>
      </c>
    </row>
    <row r="6" spans="1:11" x14ac:dyDescent="0.2">
      <c r="A6" s="144" t="s">
        <v>769</v>
      </c>
      <c r="B6" s="139">
        <v>-1</v>
      </c>
      <c r="C6" s="139">
        <v>0</v>
      </c>
      <c r="D6" s="139">
        <v>-1</v>
      </c>
      <c r="E6" s="138"/>
      <c r="F6" s="139">
        <f t="array" ref="F6:G6">TRANSPOSE(E7:E8)*(-1)</f>
        <v>-1</v>
      </c>
      <c r="G6" s="141">
        <v>-1</v>
      </c>
      <c r="H6" s="146" t="s">
        <v>827</v>
      </c>
      <c r="I6" s="139">
        <f t="shared" si="0"/>
        <v>-4</v>
      </c>
      <c r="J6" s="139" cm="1">
        <f t="array" ref="J6">I6+(ROUNDUP(MAX(ABS($I$3:$I$8)), -1))</f>
        <v>6</v>
      </c>
      <c r="K6" s="140">
        <f t="shared" si="1"/>
        <v>0.1</v>
      </c>
    </row>
    <row r="7" spans="1:11" x14ac:dyDescent="0.2">
      <c r="A7" s="144" t="s">
        <v>770</v>
      </c>
      <c r="B7" s="139">
        <v>1</v>
      </c>
      <c r="C7" s="139">
        <v>1</v>
      </c>
      <c r="D7" s="139">
        <v>0</v>
      </c>
      <c r="E7" s="139">
        <v>1</v>
      </c>
      <c r="F7" s="138"/>
      <c r="G7" s="141">
        <f t="array" ref="G7">TRANSPOSE(F8)*(-1)</f>
        <v>1</v>
      </c>
      <c r="H7" s="146" t="s">
        <v>827</v>
      </c>
      <c r="I7" s="139">
        <f t="shared" si="0"/>
        <v>4</v>
      </c>
      <c r="J7" s="139" cm="1">
        <f t="array" ref="J7">I7+(ROUNDUP(MAX(ABS($I$3:$I$8)), -1))</f>
        <v>14</v>
      </c>
      <c r="K7" s="140">
        <f t="shared" si="1"/>
        <v>0.23333333333333334</v>
      </c>
    </row>
    <row r="8" spans="1:11" x14ac:dyDescent="0.2">
      <c r="A8" s="144" t="s">
        <v>771</v>
      </c>
      <c r="B8" s="139">
        <v>0</v>
      </c>
      <c r="C8" s="139">
        <v>0</v>
      </c>
      <c r="D8" s="139">
        <v>1</v>
      </c>
      <c r="E8" s="139">
        <v>1</v>
      </c>
      <c r="F8" s="139">
        <v>-1</v>
      </c>
      <c r="G8" s="142"/>
      <c r="H8" s="146" t="s">
        <v>827</v>
      </c>
      <c r="I8" s="139">
        <f t="shared" si="0"/>
        <v>1</v>
      </c>
      <c r="J8" s="139" cm="1">
        <f t="array" ref="J8">I8+(ROUNDUP(MAX(ABS($I$3:$I$8)), -1))</f>
        <v>11</v>
      </c>
      <c r="K8" s="140">
        <f t="shared" si="1"/>
        <v>0.18333333333333332</v>
      </c>
    </row>
    <row r="9" spans="1:11" x14ac:dyDescent="0.2">
      <c r="A9" s="1" t="s">
        <v>815</v>
      </c>
      <c r="B9" s="145" t="s">
        <v>827</v>
      </c>
      <c r="C9" s="145" t="s">
        <v>827</v>
      </c>
      <c r="D9" s="145" t="s">
        <v>827</v>
      </c>
      <c r="E9" s="145" t="s">
        <v>827</v>
      </c>
      <c r="F9" s="145" t="s">
        <v>827</v>
      </c>
      <c r="G9" s="145" t="s">
        <v>827</v>
      </c>
      <c r="H9" s="145" t="s">
        <v>827</v>
      </c>
      <c r="J9" s="139">
        <f>SUM(J3:J8)</f>
        <v>60</v>
      </c>
      <c r="K9" s="140"/>
    </row>
    <row r="10" spans="1:11" x14ac:dyDescent="0.2">
      <c r="A10" s="1" t="s">
        <v>816</v>
      </c>
      <c r="B10" s="145" t="s">
        <v>827</v>
      </c>
      <c r="C10" s="145" t="s">
        <v>827</v>
      </c>
      <c r="D10" s="145" t="s">
        <v>827</v>
      </c>
      <c r="E10" s="145" t="s">
        <v>827</v>
      </c>
      <c r="F10" s="145" t="s">
        <v>827</v>
      </c>
      <c r="G10" s="145" t="s">
        <v>827</v>
      </c>
      <c r="H10" s="145" t="s">
        <v>827</v>
      </c>
    </row>
    <row r="11" spans="1:11" x14ac:dyDescent="0.2">
      <c r="A11" s="1" t="s">
        <v>817</v>
      </c>
      <c r="B11" s="145" t="s">
        <v>827</v>
      </c>
      <c r="C11" s="145" t="s">
        <v>827</v>
      </c>
      <c r="D11" s="145" t="s">
        <v>827</v>
      </c>
      <c r="E11" s="145" t="s">
        <v>827</v>
      </c>
      <c r="F11" s="145" t="s">
        <v>827</v>
      </c>
      <c r="G11" s="145" t="s">
        <v>827</v>
      </c>
      <c r="H11" s="145" t="s">
        <v>827</v>
      </c>
    </row>
    <row r="12" spans="1:11" x14ac:dyDescent="0.2">
      <c r="A12" s="1" t="s">
        <v>818</v>
      </c>
      <c r="B12" s="145" t="s">
        <v>827</v>
      </c>
      <c r="C12" s="145" t="s">
        <v>827</v>
      </c>
      <c r="D12" s="145" t="s">
        <v>827</v>
      </c>
      <c r="E12" s="145" t="s">
        <v>827</v>
      </c>
      <c r="F12" s="145" t="s">
        <v>827</v>
      </c>
      <c r="G12" s="145" t="s">
        <v>827</v>
      </c>
      <c r="H12" s="145" t="s">
        <v>827</v>
      </c>
    </row>
    <row r="13" spans="1:11" x14ac:dyDescent="0.2">
      <c r="A13" s="1" t="s">
        <v>819</v>
      </c>
      <c r="B13" s="145" t="s">
        <v>827</v>
      </c>
      <c r="C13" s="145" t="s">
        <v>827</v>
      </c>
      <c r="D13" s="145" t="s">
        <v>827</v>
      </c>
      <c r="E13" s="145" t="s">
        <v>827</v>
      </c>
      <c r="F13" s="145" t="s">
        <v>827</v>
      </c>
      <c r="G13" s="145" t="s">
        <v>827</v>
      </c>
      <c r="H13" s="145" t="s">
        <v>827</v>
      </c>
    </row>
    <row r="14" spans="1:11" x14ac:dyDescent="0.2">
      <c r="A14" s="1" t="s">
        <v>820</v>
      </c>
      <c r="B14" s="145" t="s">
        <v>827</v>
      </c>
      <c r="C14" s="145" t="s">
        <v>827</v>
      </c>
      <c r="D14" s="145" t="s">
        <v>827</v>
      </c>
      <c r="E14" s="145" t="s">
        <v>827</v>
      </c>
      <c r="F14" s="145" t="s">
        <v>827</v>
      </c>
      <c r="G14" s="145" t="s">
        <v>827</v>
      </c>
      <c r="H14" s="145" t="s">
        <v>827</v>
      </c>
    </row>
    <row r="15" spans="1:11" x14ac:dyDescent="0.2">
      <c r="A15" s="1" t="s">
        <v>821</v>
      </c>
      <c r="B15" s="145" t="s">
        <v>827</v>
      </c>
      <c r="C15" s="145" t="s">
        <v>827</v>
      </c>
      <c r="D15" s="145" t="s">
        <v>827</v>
      </c>
      <c r="E15" s="145" t="s">
        <v>827</v>
      </c>
      <c r="F15" s="145" t="s">
        <v>827</v>
      </c>
      <c r="G15" s="145" t="s">
        <v>827</v>
      </c>
      <c r="H15" s="145" t="s">
        <v>827</v>
      </c>
    </row>
    <row r="16" spans="1:11" x14ac:dyDescent="0.2">
      <c r="A16" s="1" t="s">
        <v>822</v>
      </c>
      <c r="B16" s="145" t="s">
        <v>827</v>
      </c>
      <c r="C16" s="145" t="s">
        <v>827</v>
      </c>
      <c r="D16" s="145" t="s">
        <v>827</v>
      </c>
      <c r="E16" s="145" t="s">
        <v>827</v>
      </c>
      <c r="F16" s="145" t="s">
        <v>827</v>
      </c>
      <c r="G16" s="145" t="s">
        <v>827</v>
      </c>
      <c r="H16" s="145" t="s">
        <v>827</v>
      </c>
    </row>
    <row r="17" spans="1:8" x14ac:dyDescent="0.2">
      <c r="A17" s="1" t="s">
        <v>823</v>
      </c>
      <c r="B17" s="145" t="s">
        <v>827</v>
      </c>
      <c r="C17" s="145" t="s">
        <v>827</v>
      </c>
      <c r="D17" s="145" t="s">
        <v>827</v>
      </c>
      <c r="E17" s="145" t="s">
        <v>827</v>
      </c>
      <c r="F17" s="145" t="s">
        <v>827</v>
      </c>
      <c r="G17" s="145" t="s">
        <v>827</v>
      </c>
      <c r="H17" s="145" t="s">
        <v>827</v>
      </c>
    </row>
    <row r="18" spans="1:8" x14ac:dyDescent="0.2">
      <c r="A18" s="1" t="s">
        <v>824</v>
      </c>
      <c r="B18" s="145" t="s">
        <v>827</v>
      </c>
      <c r="C18" s="145" t="s">
        <v>827</v>
      </c>
      <c r="D18" s="145" t="s">
        <v>827</v>
      </c>
      <c r="E18" s="145" t="s">
        <v>827</v>
      </c>
      <c r="F18" s="145" t="s">
        <v>827</v>
      </c>
      <c r="G18" s="145" t="s">
        <v>827</v>
      </c>
      <c r="H18" s="145" t="s">
        <v>827</v>
      </c>
    </row>
    <row r="22" spans="1:8" x14ac:dyDescent="0.2">
      <c r="C22" s="136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787C7A-CD30-A34F-BEE8-E3B0363917A6}">
  <sheetPr codeName="Sheet6">
    <pageSetUpPr fitToPage="1"/>
  </sheetPr>
  <dimension ref="B1:CE57"/>
  <sheetViews>
    <sheetView topLeftCell="A54" zoomScale="61" zoomScaleNormal="61" workbookViewId="0">
      <selection activeCell="AF60" sqref="AF60"/>
    </sheetView>
  </sheetViews>
  <sheetFormatPr baseColWidth="10" defaultColWidth="9.1640625" defaultRowHeight="16" x14ac:dyDescent="0.25"/>
  <cols>
    <col min="1" max="1" width="9.1640625" style="110"/>
    <col min="2" max="2" width="5" style="110" customWidth="1"/>
    <col min="3" max="3" width="14.33203125" style="110" customWidth="1"/>
    <col min="4" max="5" width="5" style="110" customWidth="1"/>
    <col min="6" max="7" width="17.83203125" style="110" customWidth="1"/>
    <col min="8" max="71" width="1.6640625" style="110" customWidth="1"/>
    <col min="72" max="74" width="5" style="110" customWidth="1"/>
    <col min="75" max="75" width="5" style="111" customWidth="1"/>
    <col min="76" max="76" width="5" style="110" customWidth="1"/>
    <col min="77" max="82" width="9" style="110" customWidth="1"/>
    <col min="83" max="83" width="5" style="110" customWidth="1"/>
    <col min="84" max="16384" width="9.1640625" style="110"/>
  </cols>
  <sheetData>
    <row r="1" spans="2:71" ht="10" customHeight="1" x14ac:dyDescent="0.25">
      <c r="J1" s="109"/>
      <c r="K1" s="109"/>
      <c r="L1" s="109"/>
      <c r="M1" s="109"/>
      <c r="N1" s="109"/>
      <c r="O1" s="109"/>
      <c r="P1" s="109"/>
      <c r="Q1" s="109"/>
      <c r="R1" s="109"/>
      <c r="S1" s="109"/>
      <c r="T1" s="109"/>
      <c r="U1" s="109"/>
      <c r="V1" s="109"/>
      <c r="W1" s="109"/>
      <c r="X1" s="109"/>
      <c r="Y1" s="109"/>
      <c r="Z1" s="109"/>
      <c r="AA1" s="109"/>
      <c r="AB1" s="109"/>
      <c r="AC1" s="109"/>
      <c r="AD1" s="109"/>
      <c r="AE1" s="109"/>
      <c r="AF1" s="109"/>
      <c r="AG1" s="109"/>
      <c r="AH1" s="109"/>
      <c r="AI1" s="109"/>
      <c r="AJ1" s="109"/>
      <c r="AK1" s="109"/>
      <c r="AL1" s="109"/>
      <c r="AM1" s="112"/>
      <c r="AN1" s="113"/>
      <c r="AO1" s="109"/>
      <c r="AP1" s="109"/>
      <c r="AQ1" s="109"/>
      <c r="AR1" s="109"/>
      <c r="AS1" s="109"/>
      <c r="AT1" s="109"/>
      <c r="AU1" s="109"/>
      <c r="AV1" s="109"/>
      <c r="AW1" s="109"/>
      <c r="AX1" s="109"/>
      <c r="AY1" s="109"/>
      <c r="AZ1" s="109"/>
      <c r="BA1" s="109"/>
      <c r="BB1" s="109"/>
      <c r="BC1" s="109"/>
      <c r="BD1" s="109"/>
      <c r="BE1" s="109"/>
      <c r="BF1" s="109"/>
      <c r="BG1" s="109"/>
      <c r="BH1" s="109"/>
      <c r="BI1" s="109"/>
      <c r="BJ1" s="109"/>
      <c r="BK1" s="109"/>
      <c r="BL1" s="109"/>
      <c r="BM1" s="109"/>
      <c r="BN1" s="109"/>
      <c r="BO1" s="109"/>
      <c r="BP1" s="109"/>
      <c r="BQ1" s="109"/>
    </row>
    <row r="2" spans="2:71" ht="10" customHeight="1" x14ac:dyDescent="0.25">
      <c r="H2" s="114"/>
      <c r="I2" s="114"/>
      <c r="J2" s="115"/>
      <c r="K2" s="181"/>
      <c r="L2" s="181"/>
      <c r="M2" s="181"/>
      <c r="N2" s="181"/>
      <c r="O2" s="181"/>
      <c r="P2" s="181"/>
      <c r="Q2" s="181"/>
      <c r="R2" s="181"/>
      <c r="S2" s="181"/>
      <c r="T2" s="181"/>
      <c r="U2" s="181"/>
      <c r="V2" s="181"/>
      <c r="W2" s="181"/>
      <c r="X2" s="181"/>
      <c r="Y2" s="181"/>
      <c r="Z2" s="181"/>
      <c r="AA2" s="181"/>
      <c r="AB2" s="181"/>
      <c r="AC2" s="181"/>
      <c r="AD2" s="181"/>
      <c r="AE2" s="181"/>
      <c r="AF2" s="181"/>
      <c r="AG2" s="181"/>
      <c r="AH2" s="181"/>
      <c r="AI2" s="181"/>
      <c r="AJ2" s="181"/>
      <c r="AK2" s="181"/>
      <c r="AL2" s="116"/>
      <c r="AM2" s="261"/>
      <c r="AN2" s="261"/>
      <c r="AO2" s="117"/>
      <c r="AP2" s="181"/>
      <c r="AQ2" s="181"/>
      <c r="AR2" s="181"/>
      <c r="AS2" s="181"/>
      <c r="AT2" s="181"/>
      <c r="AU2" s="181"/>
      <c r="AV2" s="181"/>
      <c r="AW2" s="181"/>
      <c r="AX2" s="181"/>
      <c r="AY2" s="181"/>
      <c r="AZ2" s="181"/>
      <c r="BA2" s="181"/>
      <c r="BB2" s="181"/>
      <c r="BC2" s="181"/>
      <c r="BD2" s="181"/>
      <c r="BE2" s="181"/>
      <c r="BF2" s="181"/>
      <c r="BG2" s="181"/>
      <c r="BH2" s="181"/>
      <c r="BI2" s="181"/>
      <c r="BJ2" s="181"/>
      <c r="BK2" s="181"/>
      <c r="BL2" s="181"/>
      <c r="BM2" s="181"/>
      <c r="BN2" s="181"/>
      <c r="BO2" s="181"/>
      <c r="BP2" s="181"/>
      <c r="BQ2" s="115"/>
      <c r="BR2" s="114"/>
      <c r="BS2" s="114"/>
    </row>
    <row r="3" spans="2:71" ht="10" customHeight="1" x14ac:dyDescent="0.25">
      <c r="H3" s="114"/>
      <c r="I3" s="114"/>
      <c r="J3" s="115"/>
      <c r="K3" s="181"/>
      <c r="L3" s="181"/>
      <c r="M3" s="181"/>
      <c r="N3" s="181"/>
      <c r="O3" s="181"/>
      <c r="P3" s="181"/>
      <c r="Q3" s="181"/>
      <c r="R3" s="181"/>
      <c r="S3" s="181"/>
      <c r="T3" s="181"/>
      <c r="U3" s="181"/>
      <c r="V3" s="181"/>
      <c r="W3" s="181"/>
      <c r="X3" s="181"/>
      <c r="Y3" s="181"/>
      <c r="Z3" s="181"/>
      <c r="AA3" s="181"/>
      <c r="AB3" s="181"/>
      <c r="AC3" s="181"/>
      <c r="AD3" s="181"/>
      <c r="AE3" s="181"/>
      <c r="AF3" s="181"/>
      <c r="AG3" s="181"/>
      <c r="AH3" s="181"/>
      <c r="AI3" s="181"/>
      <c r="AJ3" s="181"/>
      <c r="AK3" s="116"/>
      <c r="AL3" s="117"/>
      <c r="AM3" s="261"/>
      <c r="AN3" s="261"/>
      <c r="AO3" s="116"/>
      <c r="AP3" s="117"/>
      <c r="AQ3" s="181"/>
      <c r="AR3" s="181"/>
      <c r="AS3" s="181"/>
      <c r="AT3" s="181"/>
      <c r="AU3" s="181"/>
      <c r="AV3" s="181"/>
      <c r="AW3" s="181"/>
      <c r="AX3" s="181"/>
      <c r="AY3" s="181"/>
      <c r="AZ3" s="181"/>
      <c r="BA3" s="181"/>
      <c r="BB3" s="181"/>
      <c r="BC3" s="181"/>
      <c r="BD3" s="181"/>
      <c r="BE3" s="181"/>
      <c r="BF3" s="181"/>
      <c r="BG3" s="181"/>
      <c r="BH3" s="181"/>
      <c r="BI3" s="181"/>
      <c r="BJ3" s="181"/>
      <c r="BK3" s="181"/>
      <c r="BL3" s="181"/>
      <c r="BM3" s="181"/>
      <c r="BN3" s="181"/>
      <c r="BO3" s="181"/>
      <c r="BP3" s="181"/>
      <c r="BQ3" s="115"/>
      <c r="BR3" s="114"/>
      <c r="BS3" s="114"/>
    </row>
    <row r="4" spans="2:71" ht="10" customHeight="1" x14ac:dyDescent="0.25">
      <c r="H4" s="114"/>
      <c r="I4" s="114"/>
      <c r="J4" s="115"/>
      <c r="K4" s="181"/>
      <c r="L4" s="181"/>
      <c r="M4" s="181"/>
      <c r="N4" s="181"/>
      <c r="O4" s="181"/>
      <c r="P4" s="181"/>
      <c r="Q4" s="181"/>
      <c r="R4" s="181"/>
      <c r="S4" s="181"/>
      <c r="T4" s="181"/>
      <c r="U4" s="181"/>
      <c r="V4" s="181"/>
      <c r="W4" s="181"/>
      <c r="X4" s="181"/>
      <c r="Y4" s="181"/>
      <c r="Z4" s="181"/>
      <c r="AA4" s="181"/>
      <c r="AB4" s="181"/>
      <c r="AC4" s="181"/>
      <c r="AD4" s="181"/>
      <c r="AE4" s="181"/>
      <c r="AF4" s="181"/>
      <c r="AG4" s="181"/>
      <c r="AH4" s="181"/>
      <c r="AI4" s="181"/>
      <c r="AJ4" s="116"/>
      <c r="AK4" s="261"/>
      <c r="AL4" s="261"/>
      <c r="AM4" s="117"/>
      <c r="AN4" s="116"/>
      <c r="AO4" s="261"/>
      <c r="AP4" s="261"/>
      <c r="AQ4" s="117"/>
      <c r="AR4" s="181"/>
      <c r="AS4" s="181"/>
      <c r="AT4" s="181"/>
      <c r="AU4" s="181"/>
      <c r="AV4" s="181"/>
      <c r="AW4" s="181"/>
      <c r="AX4" s="181"/>
      <c r="AY4" s="181"/>
      <c r="AZ4" s="181"/>
      <c r="BA4" s="181"/>
      <c r="BB4" s="181"/>
      <c r="BC4" s="181"/>
      <c r="BD4" s="181"/>
      <c r="BE4" s="181"/>
      <c r="BF4" s="181"/>
      <c r="BG4" s="181"/>
      <c r="BH4" s="181"/>
      <c r="BI4" s="181"/>
      <c r="BJ4" s="181"/>
      <c r="BK4" s="181"/>
      <c r="BL4" s="181"/>
      <c r="BM4" s="181"/>
      <c r="BN4" s="181"/>
      <c r="BO4" s="181"/>
      <c r="BP4" s="181"/>
      <c r="BQ4" s="115"/>
      <c r="BR4" s="114"/>
      <c r="BS4" s="114"/>
    </row>
    <row r="5" spans="2:71" ht="10" customHeight="1" x14ac:dyDescent="0.25">
      <c r="B5" s="262" t="s">
        <v>772</v>
      </c>
      <c r="C5" s="263"/>
      <c r="D5" s="264"/>
      <c r="H5" s="114"/>
      <c r="I5" s="114"/>
      <c r="J5" s="115"/>
      <c r="K5" s="181"/>
      <c r="L5" s="181"/>
      <c r="M5" s="181"/>
      <c r="N5" s="181"/>
      <c r="O5" s="181"/>
      <c r="P5" s="181"/>
      <c r="Q5" s="181"/>
      <c r="R5" s="181"/>
      <c r="S5" s="181"/>
      <c r="T5" s="181"/>
      <c r="U5" s="181"/>
      <c r="V5" s="181"/>
      <c r="W5" s="181"/>
      <c r="X5" s="181"/>
      <c r="Y5" s="181"/>
      <c r="Z5" s="181"/>
      <c r="AA5" s="181"/>
      <c r="AB5" s="181"/>
      <c r="AC5" s="181"/>
      <c r="AD5" s="181"/>
      <c r="AE5" s="181"/>
      <c r="AF5" s="181"/>
      <c r="AG5" s="181"/>
      <c r="AH5" s="181"/>
      <c r="AI5" s="116"/>
      <c r="AJ5" s="117"/>
      <c r="AK5" s="261"/>
      <c r="AL5" s="261"/>
      <c r="AM5" s="116"/>
      <c r="AN5" s="117"/>
      <c r="AO5" s="261"/>
      <c r="AP5" s="261"/>
      <c r="AQ5" s="116"/>
      <c r="AR5" s="117"/>
      <c r="AS5" s="181"/>
      <c r="AT5" s="181"/>
      <c r="AU5" s="181"/>
      <c r="AV5" s="181"/>
      <c r="AW5" s="181"/>
      <c r="AX5" s="181"/>
      <c r="AY5" s="181"/>
      <c r="AZ5" s="181"/>
      <c r="BA5" s="181"/>
      <c r="BB5" s="181"/>
      <c r="BC5" s="181"/>
      <c r="BD5" s="181"/>
      <c r="BE5" s="181"/>
      <c r="BF5" s="181"/>
      <c r="BG5" s="181"/>
      <c r="BH5" s="181"/>
      <c r="BI5" s="181"/>
      <c r="BJ5" s="181"/>
      <c r="BK5" s="181"/>
      <c r="BL5" s="181"/>
      <c r="BM5" s="181"/>
      <c r="BN5" s="181"/>
      <c r="BO5" s="181"/>
      <c r="BP5" s="181"/>
      <c r="BQ5" s="115"/>
      <c r="BR5" s="114"/>
      <c r="BS5" s="114"/>
    </row>
    <row r="6" spans="2:71" ht="10" customHeight="1" x14ac:dyDescent="0.25">
      <c r="B6" s="265"/>
      <c r="C6" s="266"/>
      <c r="D6" s="267"/>
      <c r="H6" s="114"/>
      <c r="I6" s="114"/>
      <c r="J6" s="115"/>
      <c r="K6" s="181"/>
      <c r="L6" s="181"/>
      <c r="M6" s="181"/>
      <c r="N6" s="181"/>
      <c r="O6" s="181"/>
      <c r="P6" s="181"/>
      <c r="Q6" s="181"/>
      <c r="R6" s="181"/>
      <c r="S6" s="181"/>
      <c r="T6" s="181"/>
      <c r="U6" s="181"/>
      <c r="V6" s="181"/>
      <c r="W6" s="181"/>
      <c r="X6" s="181"/>
      <c r="Y6" s="181"/>
      <c r="Z6" s="181"/>
      <c r="AA6" s="181"/>
      <c r="AB6" s="181"/>
      <c r="AC6" s="181"/>
      <c r="AD6" s="181"/>
      <c r="AE6" s="181"/>
      <c r="AF6" s="181"/>
      <c r="AG6" s="181"/>
      <c r="AH6" s="116"/>
      <c r="AI6" s="261"/>
      <c r="AJ6" s="261"/>
      <c r="AK6" s="117"/>
      <c r="AL6" s="116"/>
      <c r="AM6" s="261"/>
      <c r="AN6" s="261"/>
      <c r="AO6" s="117"/>
      <c r="AP6" s="116"/>
      <c r="AQ6" s="261"/>
      <c r="AR6" s="261"/>
      <c r="AS6" s="117"/>
      <c r="AT6" s="181"/>
      <c r="AU6" s="181"/>
      <c r="AV6" s="181"/>
      <c r="AW6" s="181"/>
      <c r="AX6" s="181"/>
      <c r="AY6" s="181"/>
      <c r="AZ6" s="181"/>
      <c r="BA6" s="181"/>
      <c r="BB6" s="181"/>
      <c r="BC6" s="181"/>
      <c r="BD6" s="181"/>
      <c r="BE6" s="181"/>
      <c r="BF6" s="181"/>
      <c r="BG6" s="181"/>
      <c r="BH6" s="181"/>
      <c r="BI6" s="181"/>
      <c r="BJ6" s="181"/>
      <c r="BK6" s="181"/>
      <c r="BL6" s="181"/>
      <c r="BM6" s="181"/>
      <c r="BN6" s="181"/>
      <c r="BO6" s="181"/>
      <c r="BP6" s="181"/>
      <c r="BQ6" s="115"/>
      <c r="BR6" s="114"/>
      <c r="BS6" s="114"/>
    </row>
    <row r="7" spans="2:71" ht="10" customHeight="1" x14ac:dyDescent="0.25">
      <c r="B7" s="268" t="s">
        <v>773</v>
      </c>
      <c r="C7" s="269"/>
      <c r="D7" s="270" t="s">
        <v>774</v>
      </c>
      <c r="H7" s="114"/>
      <c r="I7" s="114"/>
      <c r="J7" s="115"/>
      <c r="K7" s="181"/>
      <c r="L7" s="181"/>
      <c r="M7" s="181"/>
      <c r="N7" s="181"/>
      <c r="O7" s="181"/>
      <c r="P7" s="181"/>
      <c r="Q7" s="181"/>
      <c r="R7" s="181"/>
      <c r="S7" s="181"/>
      <c r="T7" s="181"/>
      <c r="U7" s="181"/>
      <c r="V7" s="181"/>
      <c r="W7" s="181"/>
      <c r="X7" s="181"/>
      <c r="Y7" s="181"/>
      <c r="Z7" s="181"/>
      <c r="AA7" s="181"/>
      <c r="AB7" s="181"/>
      <c r="AC7" s="181"/>
      <c r="AD7" s="181"/>
      <c r="AE7" s="181"/>
      <c r="AF7" s="181"/>
      <c r="AG7" s="116"/>
      <c r="AH7" s="117"/>
      <c r="AI7" s="261"/>
      <c r="AJ7" s="261"/>
      <c r="AK7" s="116"/>
      <c r="AL7" s="117"/>
      <c r="AM7" s="261"/>
      <c r="AN7" s="261"/>
      <c r="AO7" s="116"/>
      <c r="AP7" s="117"/>
      <c r="AQ7" s="261"/>
      <c r="AR7" s="261"/>
      <c r="AS7" s="116"/>
      <c r="AT7" s="117"/>
      <c r="AU7" s="181"/>
      <c r="AV7" s="181"/>
      <c r="AW7" s="181"/>
      <c r="AX7" s="181"/>
      <c r="AY7" s="181"/>
      <c r="AZ7" s="181"/>
      <c r="BA7" s="181"/>
      <c r="BB7" s="181"/>
      <c r="BC7" s="181"/>
      <c r="BD7" s="181"/>
      <c r="BE7" s="181"/>
      <c r="BF7" s="181"/>
      <c r="BG7" s="181"/>
      <c r="BH7" s="181"/>
      <c r="BI7" s="181"/>
      <c r="BJ7" s="181"/>
      <c r="BK7" s="181"/>
      <c r="BL7" s="181"/>
      <c r="BM7" s="181"/>
      <c r="BN7" s="181"/>
      <c r="BO7" s="181"/>
      <c r="BP7" s="181"/>
      <c r="BQ7" s="115"/>
      <c r="BR7" s="114"/>
      <c r="BS7" s="114"/>
    </row>
    <row r="8" spans="2:71" ht="10" customHeight="1" x14ac:dyDescent="0.25">
      <c r="B8" s="268"/>
      <c r="C8" s="269"/>
      <c r="D8" s="270"/>
      <c r="H8" s="114"/>
      <c r="I8" s="114"/>
      <c r="J8" s="115"/>
      <c r="K8" s="181"/>
      <c r="L8" s="181"/>
      <c r="M8" s="181"/>
      <c r="N8" s="181"/>
      <c r="O8" s="181"/>
      <c r="P8" s="181"/>
      <c r="Q8" s="181"/>
      <c r="R8" s="181"/>
      <c r="S8" s="181"/>
      <c r="T8" s="181"/>
      <c r="U8" s="181"/>
      <c r="V8" s="181"/>
      <c r="W8" s="181"/>
      <c r="X8" s="181"/>
      <c r="Y8" s="181"/>
      <c r="Z8" s="181"/>
      <c r="AA8" s="181"/>
      <c r="AB8" s="181"/>
      <c r="AC8" s="181"/>
      <c r="AD8" s="181"/>
      <c r="AE8" s="181"/>
      <c r="AF8" s="116"/>
      <c r="AG8" s="261"/>
      <c r="AH8" s="261"/>
      <c r="AI8" s="117"/>
      <c r="AJ8" s="116"/>
      <c r="AK8" s="261"/>
      <c r="AL8" s="261"/>
      <c r="AM8" s="117"/>
      <c r="AN8" s="116"/>
      <c r="AO8" s="261"/>
      <c r="AP8" s="261"/>
      <c r="AQ8" s="117"/>
      <c r="AR8" s="116"/>
      <c r="AS8" s="261"/>
      <c r="AT8" s="261"/>
      <c r="AU8" s="117"/>
      <c r="AV8" s="181"/>
      <c r="AW8" s="181"/>
      <c r="AX8" s="181"/>
      <c r="AY8" s="181"/>
      <c r="AZ8" s="181"/>
      <c r="BA8" s="181"/>
      <c r="BB8" s="181"/>
      <c r="BC8" s="181"/>
      <c r="BD8" s="181"/>
      <c r="BE8" s="181"/>
      <c r="BF8" s="181"/>
      <c r="BG8" s="181"/>
      <c r="BH8" s="181"/>
      <c r="BI8" s="181"/>
      <c r="BJ8" s="181"/>
      <c r="BK8" s="181"/>
      <c r="BL8" s="181"/>
      <c r="BM8" s="181"/>
      <c r="BN8" s="181"/>
      <c r="BO8" s="181"/>
      <c r="BP8" s="181"/>
      <c r="BQ8" s="115"/>
      <c r="BR8" s="114"/>
      <c r="BS8" s="114"/>
    </row>
    <row r="9" spans="2:71" ht="10" customHeight="1" x14ac:dyDescent="0.25">
      <c r="B9" s="268" t="s">
        <v>775</v>
      </c>
      <c r="C9" s="269"/>
      <c r="D9" s="270" t="s">
        <v>776</v>
      </c>
      <c r="H9" s="114"/>
      <c r="I9" s="114"/>
      <c r="J9" s="115"/>
      <c r="K9" s="181"/>
      <c r="L9" s="181"/>
      <c r="M9" s="181"/>
      <c r="N9" s="181"/>
      <c r="O9" s="181"/>
      <c r="P9" s="181"/>
      <c r="Q9" s="181"/>
      <c r="R9" s="181"/>
      <c r="S9" s="181"/>
      <c r="T9" s="181"/>
      <c r="U9" s="181"/>
      <c r="V9" s="181"/>
      <c r="W9" s="181"/>
      <c r="X9" s="181"/>
      <c r="Y9" s="181"/>
      <c r="Z9" s="181"/>
      <c r="AA9" s="181"/>
      <c r="AB9" s="181"/>
      <c r="AC9" s="181"/>
      <c r="AD9" s="181"/>
      <c r="AE9" s="116"/>
      <c r="AF9" s="117"/>
      <c r="AG9" s="261"/>
      <c r="AH9" s="261"/>
      <c r="AI9" s="116"/>
      <c r="AJ9" s="117"/>
      <c r="AK9" s="261"/>
      <c r="AL9" s="261"/>
      <c r="AM9" s="116"/>
      <c r="AN9" s="117"/>
      <c r="AO9" s="261"/>
      <c r="AP9" s="261"/>
      <c r="AQ9" s="116"/>
      <c r="AR9" s="117"/>
      <c r="AS9" s="261"/>
      <c r="AT9" s="261"/>
      <c r="AU9" s="116"/>
      <c r="AV9" s="117"/>
      <c r="AW9" s="181"/>
      <c r="AX9" s="181"/>
      <c r="AY9" s="181"/>
      <c r="AZ9" s="181"/>
      <c r="BA9" s="181"/>
      <c r="BB9" s="181"/>
      <c r="BC9" s="181"/>
      <c r="BD9" s="181"/>
      <c r="BE9" s="181"/>
      <c r="BF9" s="181"/>
      <c r="BG9" s="181"/>
      <c r="BH9" s="181"/>
      <c r="BI9" s="181"/>
      <c r="BJ9" s="181"/>
      <c r="BK9" s="181"/>
      <c r="BL9" s="181"/>
      <c r="BM9" s="181"/>
      <c r="BN9" s="181"/>
      <c r="BO9" s="181"/>
      <c r="BP9" s="181"/>
      <c r="BQ9" s="115"/>
      <c r="BR9" s="114"/>
      <c r="BS9" s="114"/>
    </row>
    <row r="10" spans="2:71" ht="10" customHeight="1" x14ac:dyDescent="0.25">
      <c r="B10" s="268"/>
      <c r="C10" s="269"/>
      <c r="D10" s="270"/>
      <c r="H10" s="114"/>
      <c r="I10" s="114"/>
      <c r="J10" s="115"/>
      <c r="K10" s="181"/>
      <c r="L10" s="181"/>
      <c r="M10" s="181"/>
      <c r="N10" s="181"/>
      <c r="O10" s="181"/>
      <c r="P10" s="181"/>
      <c r="Q10" s="181"/>
      <c r="R10" s="181"/>
      <c r="S10" s="181"/>
      <c r="T10" s="181"/>
      <c r="U10" s="181"/>
      <c r="V10" s="181"/>
      <c r="W10" s="181"/>
      <c r="X10" s="181"/>
      <c r="Y10" s="181"/>
      <c r="Z10" s="181"/>
      <c r="AA10" s="181"/>
      <c r="AB10" s="181"/>
      <c r="AC10" s="181"/>
      <c r="AD10" s="116"/>
      <c r="AE10" s="261"/>
      <c r="AF10" s="261"/>
      <c r="AG10" s="117"/>
      <c r="AH10" s="116"/>
      <c r="AI10" s="261"/>
      <c r="AJ10" s="261"/>
      <c r="AK10" s="117"/>
      <c r="AL10" s="116"/>
      <c r="AM10" s="261"/>
      <c r="AN10" s="261"/>
      <c r="AO10" s="117"/>
      <c r="AP10" s="116"/>
      <c r="AQ10" s="261"/>
      <c r="AR10" s="261"/>
      <c r="AS10" s="117"/>
      <c r="AT10" s="116"/>
      <c r="AU10" s="261"/>
      <c r="AV10" s="261"/>
      <c r="AW10" s="117"/>
      <c r="AX10" s="181"/>
      <c r="AY10" s="181"/>
      <c r="AZ10" s="181"/>
      <c r="BA10" s="181"/>
      <c r="BB10" s="181"/>
      <c r="BC10" s="181"/>
      <c r="BD10" s="181"/>
      <c r="BE10" s="181"/>
      <c r="BF10" s="181"/>
      <c r="BG10" s="181"/>
      <c r="BH10" s="181"/>
      <c r="BI10" s="181"/>
      <c r="BJ10" s="181"/>
      <c r="BK10" s="181"/>
      <c r="BL10" s="181"/>
      <c r="BM10" s="181"/>
      <c r="BN10" s="181"/>
      <c r="BO10" s="181"/>
      <c r="BP10" s="181"/>
      <c r="BQ10" s="115"/>
      <c r="BR10" s="114"/>
      <c r="BS10" s="114"/>
    </row>
    <row r="11" spans="2:71" ht="10" customHeight="1" x14ac:dyDescent="0.25">
      <c r="B11" s="268" t="s">
        <v>777</v>
      </c>
      <c r="C11" s="269"/>
      <c r="D11" s="270"/>
      <c r="H11" s="114"/>
      <c r="I11" s="114"/>
      <c r="J11" s="115"/>
      <c r="K11" s="181"/>
      <c r="L11" s="181"/>
      <c r="M11" s="181"/>
      <c r="N11" s="181"/>
      <c r="O11" s="181"/>
      <c r="P11" s="181"/>
      <c r="Q11" s="181"/>
      <c r="R11" s="181"/>
      <c r="S11" s="181"/>
      <c r="T11" s="181"/>
      <c r="U11" s="181"/>
      <c r="V11" s="181"/>
      <c r="W11" s="181"/>
      <c r="X11" s="181"/>
      <c r="Y11" s="181"/>
      <c r="Z11" s="181"/>
      <c r="AA11" s="181"/>
      <c r="AB11" s="181"/>
      <c r="AC11" s="116"/>
      <c r="AD11" s="117"/>
      <c r="AE11" s="261"/>
      <c r="AF11" s="261"/>
      <c r="AG11" s="116"/>
      <c r="AH11" s="117"/>
      <c r="AI11" s="261"/>
      <c r="AJ11" s="261"/>
      <c r="AK11" s="116"/>
      <c r="AL11" s="117"/>
      <c r="AM11" s="261"/>
      <c r="AN11" s="261"/>
      <c r="AO11" s="116"/>
      <c r="AP11" s="117"/>
      <c r="AQ11" s="261"/>
      <c r="AR11" s="261"/>
      <c r="AS11" s="116"/>
      <c r="AT11" s="117"/>
      <c r="AU11" s="261"/>
      <c r="AV11" s="261"/>
      <c r="AW11" s="116"/>
      <c r="AX11" s="117"/>
      <c r="AY11" s="181"/>
      <c r="AZ11" s="181"/>
      <c r="BA11" s="181"/>
      <c r="BB11" s="181"/>
      <c r="BC11" s="181"/>
      <c r="BD11" s="181"/>
      <c r="BE11" s="181"/>
      <c r="BF11" s="181"/>
      <c r="BG11" s="181"/>
      <c r="BH11" s="181"/>
      <c r="BI11" s="181"/>
      <c r="BJ11" s="181"/>
      <c r="BK11" s="181"/>
      <c r="BL11" s="181"/>
      <c r="BM11" s="181"/>
      <c r="BN11" s="181"/>
      <c r="BO11" s="181"/>
      <c r="BP11" s="181"/>
      <c r="BQ11" s="115"/>
      <c r="BR11" s="114"/>
      <c r="BS11" s="114"/>
    </row>
    <row r="12" spans="2:71" ht="10" customHeight="1" x14ac:dyDescent="0.25">
      <c r="B12" s="271"/>
      <c r="C12" s="272"/>
      <c r="D12" s="273"/>
      <c r="H12" s="114"/>
      <c r="I12" s="114"/>
      <c r="J12" s="115"/>
      <c r="K12" s="181"/>
      <c r="L12" s="181"/>
      <c r="M12" s="181"/>
      <c r="N12" s="181"/>
      <c r="O12" s="181"/>
      <c r="P12" s="181"/>
      <c r="Q12" s="181"/>
      <c r="R12" s="181"/>
      <c r="S12" s="181"/>
      <c r="T12" s="181"/>
      <c r="U12" s="181"/>
      <c r="V12" s="181"/>
      <c r="W12" s="181"/>
      <c r="X12" s="181"/>
      <c r="Y12" s="181"/>
      <c r="Z12" s="181"/>
      <c r="AA12" s="181"/>
      <c r="AB12" s="116"/>
      <c r="AC12" s="261"/>
      <c r="AD12" s="261"/>
      <c r="AE12" s="117"/>
      <c r="AF12" s="116"/>
      <c r="AG12" s="261"/>
      <c r="AH12" s="261"/>
      <c r="AI12" s="117"/>
      <c r="AJ12" s="116"/>
      <c r="AK12" s="261"/>
      <c r="AL12" s="261"/>
      <c r="AM12" s="117"/>
      <c r="AN12" s="116"/>
      <c r="AO12" s="261"/>
      <c r="AP12" s="261"/>
      <c r="AQ12" s="117"/>
      <c r="AR12" s="116"/>
      <c r="AS12" s="261"/>
      <c r="AT12" s="261"/>
      <c r="AU12" s="117"/>
      <c r="AV12" s="116"/>
      <c r="AW12" s="261"/>
      <c r="AX12" s="261"/>
      <c r="AY12" s="117"/>
      <c r="AZ12" s="181"/>
      <c r="BA12" s="181"/>
      <c r="BB12" s="181"/>
      <c r="BC12" s="181"/>
      <c r="BD12" s="181"/>
      <c r="BE12" s="181"/>
      <c r="BF12" s="181"/>
      <c r="BG12" s="181"/>
      <c r="BH12" s="181"/>
      <c r="BI12" s="181"/>
      <c r="BJ12" s="181"/>
      <c r="BK12" s="181"/>
      <c r="BL12" s="181"/>
      <c r="BM12" s="181"/>
      <c r="BN12" s="181"/>
      <c r="BO12" s="181"/>
      <c r="BP12" s="181"/>
      <c r="BQ12" s="115"/>
      <c r="BR12" s="114"/>
      <c r="BS12" s="114"/>
    </row>
    <row r="13" spans="2:71" ht="10" customHeight="1" x14ac:dyDescent="0.25">
      <c r="H13" s="114"/>
      <c r="I13" s="114"/>
      <c r="J13" s="115"/>
      <c r="K13" s="181"/>
      <c r="L13" s="181"/>
      <c r="M13" s="181"/>
      <c r="N13" s="181"/>
      <c r="O13" s="181"/>
      <c r="P13" s="181"/>
      <c r="Q13" s="181"/>
      <c r="R13" s="181"/>
      <c r="S13" s="181"/>
      <c r="T13" s="181"/>
      <c r="U13" s="181"/>
      <c r="V13" s="181"/>
      <c r="W13" s="181"/>
      <c r="X13" s="181"/>
      <c r="Y13" s="181"/>
      <c r="Z13" s="181"/>
      <c r="AA13" s="116"/>
      <c r="AB13" s="117"/>
      <c r="AC13" s="261"/>
      <c r="AD13" s="261"/>
      <c r="AE13" s="116"/>
      <c r="AF13" s="117"/>
      <c r="AG13" s="261"/>
      <c r="AH13" s="261"/>
      <c r="AI13" s="116"/>
      <c r="AJ13" s="117"/>
      <c r="AK13" s="261"/>
      <c r="AL13" s="261"/>
      <c r="AM13" s="116"/>
      <c r="AN13" s="117"/>
      <c r="AO13" s="261"/>
      <c r="AP13" s="261"/>
      <c r="AQ13" s="116"/>
      <c r="AR13" s="117"/>
      <c r="AS13" s="261"/>
      <c r="AT13" s="261"/>
      <c r="AU13" s="116"/>
      <c r="AV13" s="117"/>
      <c r="AW13" s="261"/>
      <c r="AX13" s="261"/>
      <c r="AY13" s="116"/>
      <c r="AZ13" s="117"/>
      <c r="BA13" s="181"/>
      <c r="BB13" s="181"/>
      <c r="BC13" s="181"/>
      <c r="BD13" s="181"/>
      <c r="BE13" s="181"/>
      <c r="BF13" s="181"/>
      <c r="BG13" s="181"/>
      <c r="BH13" s="181"/>
      <c r="BI13" s="181"/>
      <c r="BJ13" s="181"/>
      <c r="BK13" s="181"/>
      <c r="BL13" s="181"/>
      <c r="BM13" s="181"/>
      <c r="BN13" s="181"/>
      <c r="BO13" s="181"/>
      <c r="BP13" s="181"/>
      <c r="BQ13" s="115"/>
      <c r="BR13" s="114"/>
      <c r="BS13" s="114"/>
    </row>
    <row r="14" spans="2:71" ht="10" customHeight="1" x14ac:dyDescent="0.25">
      <c r="B14" s="262" t="s">
        <v>778</v>
      </c>
      <c r="C14" s="263"/>
      <c r="D14" s="264"/>
      <c r="H14" s="114"/>
      <c r="I14" s="114"/>
      <c r="J14" s="115"/>
      <c r="K14" s="181"/>
      <c r="L14" s="181"/>
      <c r="M14" s="181"/>
      <c r="N14" s="181"/>
      <c r="O14" s="181"/>
      <c r="P14" s="181"/>
      <c r="Q14" s="181"/>
      <c r="R14" s="181"/>
      <c r="S14" s="181"/>
      <c r="T14" s="181"/>
      <c r="U14" s="181"/>
      <c r="V14" s="181"/>
      <c r="W14" s="181"/>
      <c r="X14" s="181"/>
      <c r="Y14" s="181"/>
      <c r="Z14" s="116"/>
      <c r="AA14" s="261"/>
      <c r="AB14" s="261"/>
      <c r="AC14" s="117"/>
      <c r="AD14" s="116"/>
      <c r="AE14" s="261"/>
      <c r="AF14" s="261"/>
      <c r="AG14" s="117"/>
      <c r="AH14" s="116"/>
      <c r="AI14" s="261"/>
      <c r="AJ14" s="261"/>
      <c r="AK14" s="117"/>
      <c r="AL14" s="116"/>
      <c r="AM14" s="261"/>
      <c r="AN14" s="261"/>
      <c r="AO14" s="117"/>
      <c r="AP14" s="116"/>
      <c r="AQ14" s="261"/>
      <c r="AR14" s="261"/>
      <c r="AS14" s="117"/>
      <c r="AT14" s="116"/>
      <c r="AU14" s="261"/>
      <c r="AV14" s="261"/>
      <c r="AW14" s="117"/>
      <c r="AX14" s="116"/>
      <c r="AY14" s="261"/>
      <c r="AZ14" s="261"/>
      <c r="BA14" s="117"/>
      <c r="BB14" s="181"/>
      <c r="BC14" s="181"/>
      <c r="BD14" s="181"/>
      <c r="BE14" s="181"/>
      <c r="BF14" s="181"/>
      <c r="BG14" s="181"/>
      <c r="BH14" s="181"/>
      <c r="BI14" s="181"/>
      <c r="BJ14" s="181"/>
      <c r="BK14" s="181"/>
      <c r="BL14" s="181"/>
      <c r="BM14" s="181"/>
      <c r="BN14" s="181"/>
      <c r="BO14" s="181"/>
      <c r="BP14" s="181"/>
      <c r="BQ14" s="115"/>
      <c r="BR14" s="114"/>
      <c r="BS14" s="114"/>
    </row>
    <row r="15" spans="2:71" ht="10" customHeight="1" x14ac:dyDescent="0.25">
      <c r="B15" s="265"/>
      <c r="C15" s="266"/>
      <c r="D15" s="267"/>
      <c r="H15" s="114"/>
      <c r="I15" s="114"/>
      <c r="J15" s="115"/>
      <c r="K15" s="181"/>
      <c r="L15" s="181"/>
      <c r="M15" s="181"/>
      <c r="N15" s="181"/>
      <c r="O15" s="181"/>
      <c r="P15" s="181"/>
      <c r="Q15" s="181"/>
      <c r="R15" s="181"/>
      <c r="S15" s="181"/>
      <c r="T15" s="181"/>
      <c r="U15" s="181"/>
      <c r="V15" s="181"/>
      <c r="W15" s="181"/>
      <c r="X15" s="181"/>
      <c r="Y15" s="116"/>
      <c r="Z15" s="117"/>
      <c r="AA15" s="261"/>
      <c r="AB15" s="261"/>
      <c r="AC15" s="116"/>
      <c r="AD15" s="117"/>
      <c r="AE15" s="261"/>
      <c r="AF15" s="261"/>
      <c r="AG15" s="116"/>
      <c r="AH15" s="117"/>
      <c r="AI15" s="261"/>
      <c r="AJ15" s="261"/>
      <c r="AK15" s="116"/>
      <c r="AL15" s="117"/>
      <c r="AM15" s="261"/>
      <c r="AN15" s="261"/>
      <c r="AO15" s="116"/>
      <c r="AP15" s="117"/>
      <c r="AQ15" s="261"/>
      <c r="AR15" s="261"/>
      <c r="AS15" s="116"/>
      <c r="AT15" s="117"/>
      <c r="AU15" s="261"/>
      <c r="AV15" s="261"/>
      <c r="AW15" s="116"/>
      <c r="AX15" s="117"/>
      <c r="AY15" s="261"/>
      <c r="AZ15" s="261"/>
      <c r="BA15" s="116"/>
      <c r="BB15" s="117"/>
      <c r="BC15" s="181"/>
      <c r="BD15" s="181"/>
      <c r="BE15" s="181"/>
      <c r="BF15" s="181"/>
      <c r="BG15" s="181"/>
      <c r="BH15" s="181"/>
      <c r="BI15" s="181"/>
      <c r="BJ15" s="181"/>
      <c r="BK15" s="181"/>
      <c r="BL15" s="181"/>
      <c r="BM15" s="181"/>
      <c r="BN15" s="181"/>
      <c r="BO15" s="181"/>
      <c r="BP15" s="181"/>
      <c r="BQ15" s="115"/>
      <c r="BR15" s="114"/>
      <c r="BS15" s="114"/>
    </row>
    <row r="16" spans="2:71" ht="10" customHeight="1" x14ac:dyDescent="0.25">
      <c r="B16" s="268" t="s">
        <v>779</v>
      </c>
      <c r="C16" s="269"/>
      <c r="D16" s="274" t="s">
        <v>780</v>
      </c>
      <c r="H16" s="114"/>
      <c r="I16" s="114"/>
      <c r="J16" s="115"/>
      <c r="K16" s="181"/>
      <c r="L16" s="181"/>
      <c r="M16" s="181"/>
      <c r="N16" s="181"/>
      <c r="O16" s="181"/>
      <c r="P16" s="181"/>
      <c r="Q16" s="181"/>
      <c r="R16" s="181"/>
      <c r="S16" s="181"/>
      <c r="T16" s="181"/>
      <c r="U16" s="181"/>
      <c r="V16" s="181"/>
      <c r="W16" s="181"/>
      <c r="X16" s="116"/>
      <c r="Y16" s="261"/>
      <c r="Z16" s="261"/>
      <c r="AA16" s="117"/>
      <c r="AB16" s="116"/>
      <c r="AC16" s="261"/>
      <c r="AD16" s="261"/>
      <c r="AE16" s="117"/>
      <c r="AF16" s="116"/>
      <c r="AG16" s="261"/>
      <c r="AH16" s="261"/>
      <c r="AI16" s="117"/>
      <c r="AJ16" s="116"/>
      <c r="AK16" s="261"/>
      <c r="AL16" s="261"/>
      <c r="AM16" s="117"/>
      <c r="AN16" s="116"/>
      <c r="AO16" s="261"/>
      <c r="AP16" s="261"/>
      <c r="AQ16" s="117"/>
      <c r="AR16" s="116"/>
      <c r="AS16" s="261"/>
      <c r="AT16" s="261"/>
      <c r="AU16" s="117"/>
      <c r="AV16" s="116"/>
      <c r="AW16" s="261"/>
      <c r="AX16" s="261"/>
      <c r="AY16" s="117"/>
      <c r="AZ16" s="116"/>
      <c r="BA16" s="261"/>
      <c r="BB16" s="261"/>
      <c r="BC16" s="117"/>
      <c r="BD16" s="181"/>
      <c r="BE16" s="181"/>
      <c r="BF16" s="181"/>
      <c r="BG16" s="181"/>
      <c r="BH16" s="181"/>
      <c r="BI16" s="181"/>
      <c r="BJ16" s="181"/>
      <c r="BK16" s="181"/>
      <c r="BL16" s="181"/>
      <c r="BM16" s="181"/>
      <c r="BN16" s="181"/>
      <c r="BO16" s="181"/>
      <c r="BP16" s="181"/>
      <c r="BQ16" s="115"/>
      <c r="BR16" s="114"/>
      <c r="BS16" s="114"/>
    </row>
    <row r="17" spans="2:80" ht="10" customHeight="1" x14ac:dyDescent="0.25">
      <c r="B17" s="268"/>
      <c r="C17" s="269"/>
      <c r="D17" s="274"/>
      <c r="H17" s="114"/>
      <c r="I17" s="114"/>
      <c r="J17" s="115"/>
      <c r="K17" s="181"/>
      <c r="L17" s="181"/>
      <c r="M17" s="181"/>
      <c r="N17" s="181"/>
      <c r="O17" s="181"/>
      <c r="P17" s="181"/>
      <c r="Q17" s="181"/>
      <c r="R17" s="181"/>
      <c r="S17" s="181"/>
      <c r="T17" s="181"/>
      <c r="U17" s="181"/>
      <c r="V17" s="181"/>
      <c r="W17" s="116"/>
      <c r="X17" s="117"/>
      <c r="Y17" s="261"/>
      <c r="Z17" s="261"/>
      <c r="AA17" s="116"/>
      <c r="AB17" s="117"/>
      <c r="AC17" s="261"/>
      <c r="AD17" s="261"/>
      <c r="AE17" s="116"/>
      <c r="AF17" s="117"/>
      <c r="AG17" s="261"/>
      <c r="AH17" s="261"/>
      <c r="AI17" s="116"/>
      <c r="AJ17" s="117"/>
      <c r="AK17" s="261"/>
      <c r="AL17" s="261"/>
      <c r="AM17" s="116"/>
      <c r="AN17" s="117"/>
      <c r="AO17" s="261"/>
      <c r="AP17" s="261"/>
      <c r="AQ17" s="116"/>
      <c r="AR17" s="117"/>
      <c r="AS17" s="261"/>
      <c r="AT17" s="261"/>
      <c r="AU17" s="116"/>
      <c r="AV17" s="117"/>
      <c r="AW17" s="261"/>
      <c r="AX17" s="261"/>
      <c r="AY17" s="116"/>
      <c r="AZ17" s="117"/>
      <c r="BA17" s="261"/>
      <c r="BB17" s="261"/>
      <c r="BC17" s="116"/>
      <c r="BD17" s="117"/>
      <c r="BE17" s="181"/>
      <c r="BF17" s="181"/>
      <c r="BG17" s="181"/>
      <c r="BH17" s="181"/>
      <c r="BI17" s="181"/>
      <c r="BJ17" s="181"/>
      <c r="BK17" s="181"/>
      <c r="BL17" s="181"/>
      <c r="BM17" s="181"/>
      <c r="BN17" s="181"/>
      <c r="BO17" s="181"/>
      <c r="BP17" s="181"/>
      <c r="BQ17" s="115"/>
      <c r="BR17" s="114"/>
      <c r="BS17" s="114"/>
    </row>
    <row r="18" spans="2:80" ht="10" customHeight="1" x14ac:dyDescent="0.25">
      <c r="B18" s="268" t="s">
        <v>781</v>
      </c>
      <c r="C18" s="269"/>
      <c r="D18" s="274" t="s">
        <v>782</v>
      </c>
      <c r="H18" s="114"/>
      <c r="I18" s="114"/>
      <c r="J18" s="115"/>
      <c r="K18" s="181"/>
      <c r="L18" s="181"/>
      <c r="M18" s="181"/>
      <c r="N18" s="181"/>
      <c r="O18" s="181"/>
      <c r="P18" s="181"/>
      <c r="Q18" s="181"/>
      <c r="R18" s="181"/>
      <c r="S18" s="181"/>
      <c r="T18" s="181"/>
      <c r="U18" s="181"/>
      <c r="V18" s="116"/>
      <c r="W18" s="261"/>
      <c r="X18" s="261"/>
      <c r="Y18" s="117"/>
      <c r="Z18" s="116"/>
      <c r="AA18" s="261"/>
      <c r="AB18" s="261"/>
      <c r="AC18" s="117"/>
      <c r="AD18" s="116"/>
      <c r="AE18" s="261"/>
      <c r="AF18" s="261"/>
      <c r="AG18" s="117"/>
      <c r="AH18" s="116"/>
      <c r="AI18" s="261"/>
      <c r="AJ18" s="261"/>
      <c r="AK18" s="117"/>
      <c r="AL18" s="116"/>
      <c r="AM18" s="261"/>
      <c r="AN18" s="261"/>
      <c r="AO18" s="117"/>
      <c r="AP18" s="116"/>
      <c r="AQ18" s="261"/>
      <c r="AR18" s="261"/>
      <c r="AS18" s="117"/>
      <c r="AT18" s="116"/>
      <c r="AU18" s="261"/>
      <c r="AV18" s="261"/>
      <c r="AW18" s="117"/>
      <c r="AX18" s="116"/>
      <c r="AY18" s="261"/>
      <c r="AZ18" s="261"/>
      <c r="BA18" s="117"/>
      <c r="BB18" s="116"/>
      <c r="BC18" s="261"/>
      <c r="BD18" s="261"/>
      <c r="BE18" s="117"/>
      <c r="BF18" s="181"/>
      <c r="BG18" s="181"/>
      <c r="BH18" s="181"/>
      <c r="BI18" s="181"/>
      <c r="BJ18" s="181"/>
      <c r="BK18" s="181"/>
      <c r="BL18" s="181"/>
      <c r="BM18" s="181"/>
      <c r="BN18" s="181"/>
      <c r="BO18" s="181"/>
      <c r="BP18" s="181"/>
      <c r="BQ18" s="115"/>
      <c r="BR18" s="114"/>
      <c r="BS18" s="114"/>
    </row>
    <row r="19" spans="2:80" ht="10" customHeight="1" x14ac:dyDescent="0.25">
      <c r="B19" s="268"/>
      <c r="C19" s="269"/>
      <c r="D19" s="274"/>
      <c r="H19" s="114"/>
      <c r="I19" s="114"/>
      <c r="J19" s="115"/>
      <c r="K19" s="181"/>
      <c r="L19" s="181"/>
      <c r="M19" s="181"/>
      <c r="N19" s="181"/>
      <c r="O19" s="181"/>
      <c r="P19" s="181"/>
      <c r="Q19" s="181"/>
      <c r="R19" s="181"/>
      <c r="S19" s="181"/>
      <c r="T19" s="181"/>
      <c r="U19" s="116"/>
      <c r="V19" s="117"/>
      <c r="W19" s="261"/>
      <c r="X19" s="261"/>
      <c r="Y19" s="116"/>
      <c r="Z19" s="117"/>
      <c r="AA19" s="261"/>
      <c r="AB19" s="261"/>
      <c r="AC19" s="116"/>
      <c r="AD19" s="117"/>
      <c r="AE19" s="261"/>
      <c r="AF19" s="261"/>
      <c r="AG19" s="116"/>
      <c r="AH19" s="117"/>
      <c r="AI19" s="261"/>
      <c r="AJ19" s="261"/>
      <c r="AK19" s="116"/>
      <c r="AL19" s="117"/>
      <c r="AM19" s="261"/>
      <c r="AN19" s="261"/>
      <c r="AO19" s="116"/>
      <c r="AP19" s="117"/>
      <c r="AQ19" s="261"/>
      <c r="AR19" s="261"/>
      <c r="AS19" s="116"/>
      <c r="AT19" s="117"/>
      <c r="AU19" s="261"/>
      <c r="AV19" s="261"/>
      <c r="AW19" s="116"/>
      <c r="AX19" s="117"/>
      <c r="AY19" s="261"/>
      <c r="AZ19" s="261"/>
      <c r="BA19" s="116"/>
      <c r="BB19" s="117"/>
      <c r="BC19" s="261"/>
      <c r="BD19" s="261"/>
      <c r="BE19" s="116"/>
      <c r="BF19" s="117"/>
      <c r="BG19" s="181"/>
      <c r="BH19" s="181"/>
      <c r="BI19" s="181"/>
      <c r="BJ19" s="181"/>
      <c r="BK19" s="181"/>
      <c r="BL19" s="181"/>
      <c r="BM19" s="181"/>
      <c r="BN19" s="181"/>
      <c r="BO19" s="181"/>
      <c r="BP19" s="181"/>
      <c r="BQ19" s="115"/>
      <c r="BR19" s="114"/>
      <c r="BS19" s="114"/>
    </row>
    <row r="20" spans="2:80" ht="10" customHeight="1" x14ac:dyDescent="0.25">
      <c r="B20" s="268" t="s">
        <v>783</v>
      </c>
      <c r="C20" s="269"/>
      <c r="D20" s="274" t="s">
        <v>784</v>
      </c>
      <c r="H20" s="114"/>
      <c r="I20" s="114"/>
      <c r="J20" s="115"/>
      <c r="K20" s="181"/>
      <c r="L20" s="181"/>
      <c r="M20" s="181"/>
      <c r="N20" s="181"/>
      <c r="O20" s="181"/>
      <c r="P20" s="181"/>
      <c r="Q20" s="181"/>
      <c r="R20" s="181"/>
      <c r="S20" s="181"/>
      <c r="T20" s="116"/>
      <c r="U20" s="261"/>
      <c r="V20" s="261"/>
      <c r="W20" s="117"/>
      <c r="X20" s="116"/>
      <c r="Y20" s="261"/>
      <c r="Z20" s="261"/>
      <c r="AA20" s="117"/>
      <c r="AB20" s="116"/>
      <c r="AC20" s="261"/>
      <c r="AD20" s="261"/>
      <c r="AE20" s="117"/>
      <c r="AF20" s="116"/>
      <c r="AG20" s="261"/>
      <c r="AH20" s="261"/>
      <c r="AI20" s="117"/>
      <c r="AJ20" s="116"/>
      <c r="AK20" s="261"/>
      <c r="AL20" s="261"/>
      <c r="AM20" s="117"/>
      <c r="AN20" s="116"/>
      <c r="AO20" s="261"/>
      <c r="AP20" s="261"/>
      <c r="AQ20" s="117"/>
      <c r="AR20" s="116"/>
      <c r="AS20" s="261"/>
      <c r="AT20" s="261"/>
      <c r="AU20" s="117"/>
      <c r="AV20" s="116"/>
      <c r="AW20" s="261"/>
      <c r="AX20" s="261"/>
      <c r="AY20" s="117"/>
      <c r="AZ20" s="116"/>
      <c r="BA20" s="261"/>
      <c r="BB20" s="261"/>
      <c r="BC20" s="117"/>
      <c r="BD20" s="116"/>
      <c r="BE20" s="261"/>
      <c r="BF20" s="261"/>
      <c r="BG20" s="117"/>
      <c r="BH20" s="181"/>
      <c r="BI20" s="181"/>
      <c r="BJ20" s="181"/>
      <c r="BK20" s="181"/>
      <c r="BL20" s="181"/>
      <c r="BM20" s="181"/>
      <c r="BN20" s="181"/>
      <c r="BO20" s="181"/>
      <c r="BP20" s="181"/>
      <c r="BQ20" s="115"/>
      <c r="BR20" s="114"/>
      <c r="BS20" s="114"/>
    </row>
    <row r="21" spans="2:80" ht="10" customHeight="1" x14ac:dyDescent="0.25">
      <c r="B21" s="271"/>
      <c r="C21" s="272"/>
      <c r="D21" s="275"/>
      <c r="H21" s="114"/>
      <c r="I21" s="114"/>
      <c r="J21" s="115"/>
      <c r="K21" s="181"/>
      <c r="L21" s="181"/>
      <c r="M21" s="181"/>
      <c r="N21" s="181"/>
      <c r="O21" s="181"/>
      <c r="P21" s="181"/>
      <c r="Q21" s="181"/>
      <c r="R21" s="181"/>
      <c r="S21" s="116"/>
      <c r="T21" s="117"/>
      <c r="U21" s="261"/>
      <c r="V21" s="261"/>
      <c r="W21" s="116"/>
      <c r="X21" s="117"/>
      <c r="Y21" s="261"/>
      <c r="Z21" s="261"/>
      <c r="AA21" s="116"/>
      <c r="AB21" s="117"/>
      <c r="AC21" s="261"/>
      <c r="AD21" s="261"/>
      <c r="AE21" s="116"/>
      <c r="AF21" s="117"/>
      <c r="AG21" s="261"/>
      <c r="AH21" s="261"/>
      <c r="AI21" s="116"/>
      <c r="AJ21" s="117"/>
      <c r="AK21" s="261"/>
      <c r="AL21" s="261"/>
      <c r="AM21" s="116"/>
      <c r="AN21" s="117"/>
      <c r="AO21" s="261"/>
      <c r="AP21" s="261"/>
      <c r="AQ21" s="116"/>
      <c r="AR21" s="117"/>
      <c r="AS21" s="261"/>
      <c r="AT21" s="261"/>
      <c r="AU21" s="116"/>
      <c r="AV21" s="117"/>
      <c r="AW21" s="261"/>
      <c r="AX21" s="261"/>
      <c r="AY21" s="116"/>
      <c r="AZ21" s="117"/>
      <c r="BA21" s="261"/>
      <c r="BB21" s="261"/>
      <c r="BC21" s="116"/>
      <c r="BD21" s="117"/>
      <c r="BE21" s="261"/>
      <c r="BF21" s="261"/>
      <c r="BG21" s="116"/>
      <c r="BH21" s="117"/>
      <c r="BI21" s="181"/>
      <c r="BJ21" s="181"/>
      <c r="BK21" s="181"/>
      <c r="BL21" s="181"/>
      <c r="BM21" s="181"/>
      <c r="BN21" s="181"/>
      <c r="BO21" s="181"/>
      <c r="BP21" s="181"/>
      <c r="BQ21" s="115"/>
      <c r="BR21" s="114"/>
      <c r="BS21" s="114"/>
    </row>
    <row r="22" spans="2:80" ht="10" customHeight="1" x14ac:dyDescent="0.25">
      <c r="H22" s="114"/>
      <c r="I22" s="114"/>
      <c r="J22" s="115"/>
      <c r="K22" s="181"/>
      <c r="L22" s="181"/>
      <c r="M22" s="181"/>
      <c r="N22" s="181"/>
      <c r="O22" s="181"/>
      <c r="P22" s="181"/>
      <c r="Q22" s="181"/>
      <c r="R22" s="116"/>
      <c r="S22" s="261" t="s">
        <v>776</v>
      </c>
      <c r="T22" s="261"/>
      <c r="U22" s="117"/>
      <c r="V22" s="116"/>
      <c r="W22" s="261"/>
      <c r="X22" s="261"/>
      <c r="Y22" s="117"/>
      <c r="Z22" s="116"/>
      <c r="AA22" s="261"/>
      <c r="AB22" s="261"/>
      <c r="AC22" s="117"/>
      <c r="AD22" s="116"/>
      <c r="AE22" s="261"/>
      <c r="AF22" s="261"/>
      <c r="AG22" s="117"/>
      <c r="AH22" s="116"/>
      <c r="AI22" s="261"/>
      <c r="AJ22" s="261"/>
      <c r="AK22" s="117"/>
      <c r="AL22" s="116"/>
      <c r="AM22" s="261"/>
      <c r="AN22" s="261"/>
      <c r="AO22" s="117"/>
      <c r="AP22" s="116"/>
      <c r="AQ22" s="261"/>
      <c r="AR22" s="261"/>
      <c r="AS22" s="117"/>
      <c r="AT22" s="116"/>
      <c r="AU22" s="261"/>
      <c r="AV22" s="261"/>
      <c r="AW22" s="117"/>
      <c r="AX22" s="116"/>
      <c r="AY22" s="261"/>
      <c r="AZ22" s="261"/>
      <c r="BA22" s="117"/>
      <c r="BB22" s="116"/>
      <c r="BC22" s="261"/>
      <c r="BD22" s="261"/>
      <c r="BE22" s="117"/>
      <c r="BF22" s="116"/>
      <c r="BG22" s="261"/>
      <c r="BH22" s="261"/>
      <c r="BI22" s="117"/>
      <c r="BJ22" s="181"/>
      <c r="BK22" s="181"/>
      <c r="BL22" s="181"/>
      <c r="BM22" s="181"/>
      <c r="BN22" s="181"/>
      <c r="BO22" s="181"/>
      <c r="BP22" s="181"/>
      <c r="BQ22" s="115"/>
      <c r="BR22" s="114"/>
      <c r="BS22" s="114"/>
    </row>
    <row r="23" spans="2:80" ht="10" customHeight="1" x14ac:dyDescent="0.25">
      <c r="B23" s="262" t="s">
        <v>785</v>
      </c>
      <c r="C23" s="263"/>
      <c r="D23" s="264"/>
      <c r="H23" s="114"/>
      <c r="I23" s="114"/>
      <c r="J23" s="115"/>
      <c r="K23" s="181"/>
      <c r="L23" s="181"/>
      <c r="M23" s="181"/>
      <c r="N23" s="181"/>
      <c r="O23" s="181"/>
      <c r="P23" s="181"/>
      <c r="Q23" s="116"/>
      <c r="R23" s="117"/>
      <c r="S23" s="261"/>
      <c r="T23" s="261"/>
      <c r="U23" s="116"/>
      <c r="V23" s="117"/>
      <c r="W23" s="261"/>
      <c r="X23" s="261"/>
      <c r="Y23" s="116"/>
      <c r="Z23" s="117"/>
      <c r="AA23" s="261"/>
      <c r="AB23" s="261"/>
      <c r="AC23" s="116"/>
      <c r="AD23" s="117"/>
      <c r="AE23" s="261"/>
      <c r="AF23" s="261"/>
      <c r="AG23" s="116"/>
      <c r="AH23" s="117"/>
      <c r="AI23" s="261"/>
      <c r="AJ23" s="261"/>
      <c r="AK23" s="116"/>
      <c r="AL23" s="117"/>
      <c r="AM23" s="261"/>
      <c r="AN23" s="261"/>
      <c r="AO23" s="116"/>
      <c r="AP23" s="117"/>
      <c r="AQ23" s="261"/>
      <c r="AR23" s="261"/>
      <c r="AS23" s="116"/>
      <c r="AT23" s="117"/>
      <c r="AU23" s="261"/>
      <c r="AV23" s="261"/>
      <c r="AW23" s="116"/>
      <c r="AX23" s="117"/>
      <c r="AY23" s="261"/>
      <c r="AZ23" s="261"/>
      <c r="BA23" s="116"/>
      <c r="BB23" s="117"/>
      <c r="BC23" s="261"/>
      <c r="BD23" s="261"/>
      <c r="BE23" s="116"/>
      <c r="BF23" s="117"/>
      <c r="BG23" s="261"/>
      <c r="BH23" s="261"/>
      <c r="BI23" s="116"/>
      <c r="BJ23" s="117"/>
      <c r="BK23" s="181"/>
      <c r="BL23" s="181"/>
      <c r="BM23" s="181"/>
      <c r="BN23" s="181"/>
      <c r="BO23" s="181"/>
      <c r="BP23" s="181"/>
      <c r="BQ23" s="115"/>
      <c r="BR23" s="114"/>
      <c r="BS23" s="114"/>
    </row>
    <row r="24" spans="2:80" ht="10" customHeight="1" x14ac:dyDescent="0.25">
      <c r="B24" s="265"/>
      <c r="C24" s="266"/>
      <c r="D24" s="267"/>
      <c r="H24" s="114"/>
      <c r="I24" s="114"/>
      <c r="J24" s="115"/>
      <c r="K24" s="181"/>
      <c r="L24" s="181"/>
      <c r="M24" s="181"/>
      <c r="N24" s="181"/>
      <c r="O24" s="181"/>
      <c r="P24" s="116"/>
      <c r="Q24" s="261"/>
      <c r="R24" s="261"/>
      <c r="S24" s="117"/>
      <c r="T24" s="116"/>
      <c r="U24" s="261"/>
      <c r="V24" s="261"/>
      <c r="W24" s="117"/>
      <c r="X24" s="116"/>
      <c r="Y24" s="261"/>
      <c r="Z24" s="261"/>
      <c r="AA24" s="117"/>
      <c r="AB24" s="116"/>
      <c r="AC24" s="261"/>
      <c r="AD24" s="261"/>
      <c r="AE24" s="117"/>
      <c r="AF24" s="116"/>
      <c r="AG24" s="261"/>
      <c r="AH24" s="261"/>
      <c r="AI24" s="117"/>
      <c r="AJ24" s="116"/>
      <c r="AK24" s="261"/>
      <c r="AL24" s="261"/>
      <c r="AM24" s="117"/>
      <c r="AN24" s="116"/>
      <c r="AO24" s="261"/>
      <c r="AP24" s="261"/>
      <c r="AQ24" s="117"/>
      <c r="AR24" s="116"/>
      <c r="AS24" s="261"/>
      <c r="AT24" s="261"/>
      <c r="AU24" s="117"/>
      <c r="AV24" s="116"/>
      <c r="AW24" s="261"/>
      <c r="AX24" s="261"/>
      <c r="AY24" s="117"/>
      <c r="AZ24" s="116"/>
      <c r="BA24" s="261"/>
      <c r="BB24" s="261"/>
      <c r="BC24" s="117"/>
      <c r="BD24" s="116"/>
      <c r="BE24" s="261"/>
      <c r="BF24" s="261"/>
      <c r="BG24" s="117"/>
      <c r="BH24" s="116"/>
      <c r="BI24" s="261"/>
      <c r="BJ24" s="261"/>
      <c r="BK24" s="117"/>
      <c r="BL24" s="181"/>
      <c r="BM24" s="181"/>
      <c r="BN24" s="181"/>
      <c r="BO24" s="181"/>
      <c r="BP24" s="181"/>
      <c r="BQ24" s="115"/>
      <c r="BR24" s="114"/>
      <c r="BS24" s="114"/>
    </row>
    <row r="25" spans="2:80" ht="10" customHeight="1" x14ac:dyDescent="0.25">
      <c r="B25" s="268" t="s">
        <v>786</v>
      </c>
      <c r="C25" s="269"/>
      <c r="D25" s="274" t="s">
        <v>787</v>
      </c>
      <c r="H25" s="114"/>
      <c r="I25" s="114"/>
      <c r="J25" s="115"/>
      <c r="K25" s="181"/>
      <c r="L25" s="181"/>
      <c r="M25" s="181"/>
      <c r="N25" s="181"/>
      <c r="O25" s="116"/>
      <c r="P25" s="117"/>
      <c r="Q25" s="261"/>
      <c r="R25" s="261"/>
      <c r="S25" s="116"/>
      <c r="T25" s="117"/>
      <c r="U25" s="261"/>
      <c r="V25" s="261"/>
      <c r="W25" s="116"/>
      <c r="X25" s="117"/>
      <c r="Y25" s="261"/>
      <c r="Z25" s="261"/>
      <c r="AA25" s="116"/>
      <c r="AB25" s="117"/>
      <c r="AC25" s="261"/>
      <c r="AD25" s="261"/>
      <c r="AE25" s="116"/>
      <c r="AF25" s="117"/>
      <c r="AG25" s="261"/>
      <c r="AH25" s="261"/>
      <c r="AI25" s="116"/>
      <c r="AJ25" s="117"/>
      <c r="AK25" s="261"/>
      <c r="AL25" s="261"/>
      <c r="AM25" s="116"/>
      <c r="AN25" s="117"/>
      <c r="AO25" s="261"/>
      <c r="AP25" s="261"/>
      <c r="AQ25" s="116"/>
      <c r="AR25" s="117"/>
      <c r="AS25" s="261"/>
      <c r="AT25" s="261"/>
      <c r="AU25" s="116"/>
      <c r="AV25" s="117"/>
      <c r="AW25" s="261"/>
      <c r="AX25" s="261"/>
      <c r="AY25" s="116"/>
      <c r="AZ25" s="117"/>
      <c r="BA25" s="261"/>
      <c r="BB25" s="261"/>
      <c r="BC25" s="116"/>
      <c r="BD25" s="117"/>
      <c r="BE25" s="261"/>
      <c r="BF25" s="261"/>
      <c r="BG25" s="116"/>
      <c r="BH25" s="117"/>
      <c r="BI25" s="261"/>
      <c r="BJ25" s="261"/>
      <c r="BK25" s="116"/>
      <c r="BL25" s="117"/>
      <c r="BM25" s="181"/>
      <c r="BN25" s="181"/>
      <c r="BO25" s="181"/>
      <c r="BP25" s="181"/>
      <c r="BQ25" s="115"/>
      <c r="BR25" s="114"/>
      <c r="BS25" s="114"/>
    </row>
    <row r="26" spans="2:80" ht="10" customHeight="1" x14ac:dyDescent="0.25">
      <c r="B26" s="268"/>
      <c r="C26" s="269"/>
      <c r="D26" s="274"/>
      <c r="H26" s="114"/>
      <c r="I26" s="114"/>
      <c r="J26" s="115"/>
      <c r="K26" s="181"/>
      <c r="L26" s="181"/>
      <c r="M26" s="181"/>
      <c r="N26" s="116"/>
      <c r="O26" s="261"/>
      <c r="P26" s="261"/>
      <c r="Q26" s="117"/>
      <c r="R26" s="116"/>
      <c r="S26" s="261"/>
      <c r="T26" s="261"/>
      <c r="U26" s="117"/>
      <c r="V26" s="116"/>
      <c r="W26" s="261"/>
      <c r="X26" s="261"/>
      <c r="Y26" s="117"/>
      <c r="Z26" s="116"/>
      <c r="AA26" s="261"/>
      <c r="AB26" s="261"/>
      <c r="AC26" s="117"/>
      <c r="AD26" s="116"/>
      <c r="AE26" s="261"/>
      <c r="AF26" s="261"/>
      <c r="AG26" s="117"/>
      <c r="AH26" s="116"/>
      <c r="AI26" s="261"/>
      <c r="AJ26" s="261"/>
      <c r="AK26" s="117"/>
      <c r="AL26" s="116"/>
      <c r="AM26" s="261"/>
      <c r="AN26" s="261"/>
      <c r="AO26" s="117"/>
      <c r="AP26" s="116"/>
      <c r="AQ26" s="261"/>
      <c r="AR26" s="261"/>
      <c r="AS26" s="117"/>
      <c r="AT26" s="116"/>
      <c r="AU26" s="261"/>
      <c r="AV26" s="261"/>
      <c r="AW26" s="117"/>
      <c r="AX26" s="116"/>
      <c r="AY26" s="261"/>
      <c r="AZ26" s="261"/>
      <c r="BA26" s="117"/>
      <c r="BB26" s="116"/>
      <c r="BC26" s="261"/>
      <c r="BD26" s="261"/>
      <c r="BE26" s="117"/>
      <c r="BF26" s="116"/>
      <c r="BG26" s="261"/>
      <c r="BH26" s="261"/>
      <c r="BI26" s="117"/>
      <c r="BJ26" s="116"/>
      <c r="BK26" s="261"/>
      <c r="BL26" s="261"/>
      <c r="BM26" s="117"/>
      <c r="BN26" s="181"/>
      <c r="BO26" s="181"/>
      <c r="BP26" s="181"/>
      <c r="BQ26" s="115"/>
      <c r="BR26" s="114"/>
      <c r="BS26" s="114"/>
    </row>
    <row r="27" spans="2:80" ht="10" customHeight="1" x14ac:dyDescent="0.25">
      <c r="B27" s="268" t="s">
        <v>788</v>
      </c>
      <c r="C27" s="269"/>
      <c r="D27" s="274" t="s">
        <v>789</v>
      </c>
      <c r="H27" s="114"/>
      <c r="I27" s="114"/>
      <c r="J27" s="115"/>
      <c r="K27" s="181"/>
      <c r="L27" s="181"/>
      <c r="M27" s="116"/>
      <c r="N27" s="117"/>
      <c r="O27" s="261"/>
      <c r="P27" s="261"/>
      <c r="Q27" s="116"/>
      <c r="R27" s="117"/>
      <c r="S27" s="261"/>
      <c r="T27" s="261"/>
      <c r="U27" s="116"/>
      <c r="V27" s="117"/>
      <c r="W27" s="261"/>
      <c r="X27" s="261"/>
      <c r="Y27" s="116"/>
      <c r="Z27" s="117"/>
      <c r="AA27" s="261"/>
      <c r="AB27" s="261"/>
      <c r="AC27" s="116"/>
      <c r="AD27" s="117"/>
      <c r="AE27" s="261"/>
      <c r="AF27" s="261"/>
      <c r="AG27" s="116"/>
      <c r="AH27" s="117"/>
      <c r="AI27" s="261"/>
      <c r="AJ27" s="261"/>
      <c r="AK27" s="116"/>
      <c r="AL27" s="117"/>
      <c r="AM27" s="261"/>
      <c r="AN27" s="261"/>
      <c r="AO27" s="116"/>
      <c r="AP27" s="117"/>
      <c r="AQ27" s="261"/>
      <c r="AR27" s="261"/>
      <c r="AS27" s="116"/>
      <c r="AT27" s="117"/>
      <c r="AU27" s="261"/>
      <c r="AV27" s="261"/>
      <c r="AW27" s="116"/>
      <c r="AX27" s="117"/>
      <c r="AY27" s="261"/>
      <c r="AZ27" s="261"/>
      <c r="BA27" s="116"/>
      <c r="BB27" s="117"/>
      <c r="BC27" s="261"/>
      <c r="BD27" s="261"/>
      <c r="BE27" s="116"/>
      <c r="BF27" s="117"/>
      <c r="BG27" s="261"/>
      <c r="BH27" s="261"/>
      <c r="BI27" s="116"/>
      <c r="BJ27" s="117"/>
      <c r="BK27" s="261"/>
      <c r="BL27" s="261"/>
      <c r="BM27" s="116"/>
      <c r="BN27" s="117"/>
      <c r="BO27" s="181"/>
      <c r="BP27" s="181"/>
      <c r="BQ27" s="115"/>
      <c r="BR27" s="114"/>
      <c r="BS27" s="114"/>
    </row>
    <row r="28" spans="2:80" ht="10" customHeight="1" x14ac:dyDescent="0.25">
      <c r="B28" s="268"/>
      <c r="C28" s="269"/>
      <c r="D28" s="274"/>
      <c r="H28" s="114"/>
      <c r="I28" s="114"/>
      <c r="J28" s="115"/>
      <c r="K28" s="181"/>
      <c r="L28" s="116"/>
      <c r="M28" s="261" t="s">
        <v>774</v>
      </c>
      <c r="N28" s="261"/>
      <c r="O28" s="117"/>
      <c r="P28" s="116"/>
      <c r="Q28" s="261"/>
      <c r="R28" s="261"/>
      <c r="S28" s="117"/>
      <c r="T28" s="116"/>
      <c r="U28" s="261"/>
      <c r="V28" s="261"/>
      <c r="W28" s="117"/>
      <c r="X28" s="116"/>
      <c r="Y28" s="261"/>
      <c r="Z28" s="261"/>
      <c r="AA28" s="117"/>
      <c r="AB28" s="116"/>
      <c r="AC28" s="261"/>
      <c r="AD28" s="261"/>
      <c r="AE28" s="117"/>
      <c r="AF28" s="116"/>
      <c r="AG28" s="261"/>
      <c r="AH28" s="261"/>
      <c r="AI28" s="117"/>
      <c r="AJ28" s="116"/>
      <c r="AK28" s="261"/>
      <c r="AL28" s="261"/>
      <c r="AM28" s="117"/>
      <c r="AN28" s="116"/>
      <c r="AO28" s="261"/>
      <c r="AP28" s="261"/>
      <c r="AQ28" s="117"/>
      <c r="AR28" s="116"/>
      <c r="AS28" s="261"/>
      <c r="AT28" s="261"/>
      <c r="AU28" s="117"/>
      <c r="AV28" s="116"/>
      <c r="AW28" s="261"/>
      <c r="AX28" s="261"/>
      <c r="AY28" s="117"/>
      <c r="AZ28" s="116"/>
      <c r="BA28" s="261"/>
      <c r="BB28" s="261"/>
      <c r="BC28" s="117"/>
      <c r="BD28" s="116"/>
      <c r="BE28" s="261"/>
      <c r="BF28" s="261"/>
      <c r="BG28" s="117"/>
      <c r="BH28" s="116"/>
      <c r="BI28" s="261"/>
      <c r="BJ28" s="261"/>
      <c r="BK28" s="117"/>
      <c r="BL28" s="116"/>
      <c r="BM28" s="261"/>
      <c r="BN28" s="261"/>
      <c r="BO28" s="117"/>
      <c r="BP28" s="181"/>
      <c r="BQ28" s="118"/>
      <c r="BR28" s="119"/>
      <c r="BS28" s="114"/>
      <c r="BU28" s="120"/>
      <c r="BV28" s="120"/>
      <c r="BY28" s="120"/>
      <c r="BZ28" s="120"/>
    </row>
    <row r="29" spans="2:80" ht="10" customHeight="1" x14ac:dyDescent="0.25">
      <c r="B29" s="268" t="s">
        <v>790</v>
      </c>
      <c r="C29" s="269"/>
      <c r="D29" s="274" t="s">
        <v>791</v>
      </c>
      <c r="H29" s="114"/>
      <c r="I29" s="114"/>
      <c r="J29" s="115"/>
      <c r="K29" s="116"/>
      <c r="L29" s="117"/>
      <c r="M29" s="261"/>
      <c r="N29" s="261"/>
      <c r="O29" s="116"/>
      <c r="P29" s="117"/>
      <c r="Q29" s="261"/>
      <c r="R29" s="261"/>
      <c r="S29" s="116"/>
      <c r="T29" s="117"/>
      <c r="U29" s="261"/>
      <c r="V29" s="261"/>
      <c r="W29" s="116"/>
      <c r="X29" s="117"/>
      <c r="Y29" s="261"/>
      <c r="Z29" s="261"/>
      <c r="AA29" s="116"/>
      <c r="AB29" s="117"/>
      <c r="AC29" s="261"/>
      <c r="AD29" s="261"/>
      <c r="AE29" s="116"/>
      <c r="AF29" s="117"/>
      <c r="AG29" s="261"/>
      <c r="AH29" s="261"/>
      <c r="AI29" s="116"/>
      <c r="AJ29" s="117"/>
      <c r="AK29" s="261"/>
      <c r="AL29" s="261"/>
      <c r="AM29" s="116"/>
      <c r="AN29" s="117"/>
      <c r="AO29" s="261"/>
      <c r="AP29" s="261"/>
      <c r="AQ29" s="116"/>
      <c r="AR29" s="117"/>
      <c r="AS29" s="261"/>
      <c r="AT29" s="261"/>
      <c r="AU29" s="116"/>
      <c r="AV29" s="117"/>
      <c r="AW29" s="261"/>
      <c r="AX29" s="261"/>
      <c r="AY29" s="116"/>
      <c r="AZ29" s="117"/>
      <c r="BA29" s="261"/>
      <c r="BB29" s="261"/>
      <c r="BC29" s="116"/>
      <c r="BD29" s="117"/>
      <c r="BE29" s="261"/>
      <c r="BF29" s="261"/>
      <c r="BG29" s="116"/>
      <c r="BH29" s="117"/>
      <c r="BI29" s="261"/>
      <c r="BJ29" s="261"/>
      <c r="BK29" s="116"/>
      <c r="BL29" s="117"/>
      <c r="BM29" s="261"/>
      <c r="BN29" s="261"/>
      <c r="BO29" s="116"/>
      <c r="BP29" s="117"/>
      <c r="BQ29" s="118"/>
      <c r="BR29" s="119"/>
      <c r="BS29" s="114"/>
      <c r="BU29" s="120"/>
      <c r="BV29" s="120"/>
      <c r="BY29" s="120"/>
      <c r="BZ29" s="120"/>
    </row>
    <row r="30" spans="2:80" ht="10" customHeight="1" x14ac:dyDescent="0.2">
      <c r="B30" s="271"/>
      <c r="C30" s="272"/>
      <c r="D30" s="275"/>
      <c r="H30" s="114"/>
      <c r="I30" s="114"/>
      <c r="J30" s="121"/>
      <c r="K30" s="261" t="s">
        <v>774</v>
      </c>
      <c r="L30" s="261"/>
      <c r="M30" s="117"/>
      <c r="N30" s="116"/>
      <c r="O30" s="261" t="s">
        <v>776</v>
      </c>
      <c r="P30" s="261"/>
      <c r="Q30" s="117"/>
      <c r="R30" s="116"/>
      <c r="S30" s="261"/>
      <c r="T30" s="261"/>
      <c r="U30" s="117"/>
      <c r="V30" s="116"/>
      <c r="W30" s="261"/>
      <c r="X30" s="261"/>
      <c r="Y30" s="117"/>
      <c r="Z30" s="116"/>
      <c r="AA30" s="261"/>
      <c r="AB30" s="261"/>
      <c r="AC30" s="117"/>
      <c r="AD30" s="116"/>
      <c r="AE30" s="261"/>
      <c r="AF30" s="261"/>
      <c r="AG30" s="117"/>
      <c r="AH30" s="116"/>
      <c r="AI30" s="261"/>
      <c r="AJ30" s="261"/>
      <c r="AK30" s="117"/>
      <c r="AL30" s="116"/>
      <c r="AM30" s="261"/>
      <c r="AN30" s="261"/>
      <c r="AO30" s="117"/>
      <c r="AP30" s="116"/>
      <c r="AQ30" s="261"/>
      <c r="AR30" s="261"/>
      <c r="AS30" s="117"/>
      <c r="AT30" s="116"/>
      <c r="AU30" s="261"/>
      <c r="AV30" s="261"/>
      <c r="AW30" s="117"/>
      <c r="AX30" s="116"/>
      <c r="AY30" s="261"/>
      <c r="AZ30" s="261"/>
      <c r="BA30" s="117"/>
      <c r="BB30" s="116"/>
      <c r="BC30" s="261"/>
      <c r="BD30" s="261"/>
      <c r="BE30" s="117"/>
      <c r="BF30" s="116"/>
      <c r="BG30" s="261"/>
      <c r="BH30" s="261"/>
      <c r="BI30" s="117"/>
      <c r="BJ30" s="116"/>
      <c r="BK30" s="261"/>
      <c r="BL30" s="261"/>
      <c r="BM30" s="117"/>
      <c r="BN30" s="116"/>
      <c r="BO30" s="261"/>
      <c r="BP30" s="261"/>
      <c r="BQ30" s="122"/>
      <c r="BR30" s="114"/>
      <c r="BS30" s="123"/>
      <c r="BT30" s="120"/>
      <c r="BW30" s="124"/>
      <c r="BX30" s="120"/>
      <c r="CA30" s="120"/>
      <c r="CB30" s="120"/>
    </row>
    <row r="31" spans="2:80" ht="10" customHeight="1" x14ac:dyDescent="0.2">
      <c r="H31" s="114"/>
      <c r="I31" s="125"/>
      <c r="J31" s="122"/>
      <c r="K31" s="261"/>
      <c r="L31" s="261"/>
      <c r="M31" s="116"/>
      <c r="N31" s="117"/>
      <c r="O31" s="261"/>
      <c r="P31" s="261"/>
      <c r="Q31" s="116"/>
      <c r="R31" s="117"/>
      <c r="S31" s="261"/>
      <c r="T31" s="261"/>
      <c r="U31" s="116"/>
      <c r="V31" s="117"/>
      <c r="W31" s="261"/>
      <c r="X31" s="261"/>
      <c r="Y31" s="116"/>
      <c r="Z31" s="117"/>
      <c r="AA31" s="261"/>
      <c r="AB31" s="261"/>
      <c r="AC31" s="116"/>
      <c r="AD31" s="117"/>
      <c r="AE31" s="261"/>
      <c r="AF31" s="261"/>
      <c r="AG31" s="116"/>
      <c r="AH31" s="117"/>
      <c r="AI31" s="261"/>
      <c r="AJ31" s="261"/>
      <c r="AK31" s="116"/>
      <c r="AL31" s="117"/>
      <c r="AM31" s="261"/>
      <c r="AN31" s="261"/>
      <c r="AO31" s="116"/>
      <c r="AP31" s="117"/>
      <c r="AQ31" s="261"/>
      <c r="AR31" s="261"/>
      <c r="AS31" s="116"/>
      <c r="AT31" s="117"/>
      <c r="AU31" s="261"/>
      <c r="AV31" s="261"/>
      <c r="AW31" s="116"/>
      <c r="AX31" s="117"/>
      <c r="AY31" s="261"/>
      <c r="AZ31" s="261"/>
      <c r="BA31" s="116"/>
      <c r="BB31" s="117"/>
      <c r="BC31" s="261"/>
      <c r="BD31" s="261"/>
      <c r="BE31" s="116"/>
      <c r="BF31" s="117"/>
      <c r="BG31" s="261"/>
      <c r="BH31" s="261"/>
      <c r="BI31" s="116"/>
      <c r="BJ31" s="117"/>
      <c r="BK31" s="261"/>
      <c r="BL31" s="261"/>
      <c r="BM31" s="116"/>
      <c r="BN31" s="117"/>
      <c r="BO31" s="261"/>
      <c r="BP31" s="261"/>
      <c r="BQ31" s="121"/>
      <c r="BR31" s="126"/>
      <c r="BS31" s="123"/>
      <c r="BT31" s="120"/>
      <c r="BW31" s="124"/>
      <c r="BX31" s="120"/>
      <c r="CA31" s="120"/>
      <c r="CB31" s="120"/>
    </row>
    <row r="32" spans="2:80" ht="10" customHeight="1" x14ac:dyDescent="0.25">
      <c r="H32" s="125"/>
      <c r="I32" s="114"/>
      <c r="J32" s="115"/>
      <c r="K32" s="122"/>
      <c r="L32" s="121"/>
      <c r="M32" s="115"/>
      <c r="N32" s="115"/>
      <c r="O32" s="122"/>
      <c r="P32" s="121"/>
      <c r="Q32" s="115"/>
      <c r="R32" s="115"/>
      <c r="S32" s="122"/>
      <c r="T32" s="121"/>
      <c r="U32" s="115"/>
      <c r="V32" s="115"/>
      <c r="W32" s="122"/>
      <c r="X32" s="121"/>
      <c r="Y32" s="115"/>
      <c r="Z32" s="115"/>
      <c r="AA32" s="122"/>
      <c r="AB32" s="121"/>
      <c r="AC32" s="115"/>
      <c r="AD32" s="115"/>
      <c r="AE32" s="122"/>
      <c r="AF32" s="121"/>
      <c r="AG32" s="115"/>
      <c r="AH32" s="115"/>
      <c r="AI32" s="122"/>
      <c r="AJ32" s="121"/>
      <c r="AK32" s="115"/>
      <c r="AL32" s="115"/>
      <c r="AM32" s="122"/>
      <c r="AN32" s="121"/>
      <c r="AO32" s="115"/>
      <c r="AP32" s="115"/>
      <c r="AQ32" s="122"/>
      <c r="AR32" s="121"/>
      <c r="AS32" s="115"/>
      <c r="AT32" s="115"/>
      <c r="AU32" s="122"/>
      <c r="AV32" s="121"/>
      <c r="AW32" s="115"/>
      <c r="AX32" s="115"/>
      <c r="AY32" s="122"/>
      <c r="AZ32" s="121"/>
      <c r="BA32" s="115"/>
      <c r="BB32" s="115"/>
      <c r="BC32" s="122"/>
      <c r="BD32" s="121"/>
      <c r="BE32" s="115"/>
      <c r="BF32" s="115"/>
      <c r="BG32" s="122"/>
      <c r="BH32" s="121"/>
      <c r="BI32" s="115"/>
      <c r="BJ32" s="115"/>
      <c r="BK32" s="122"/>
      <c r="BL32" s="121"/>
      <c r="BM32" s="115"/>
      <c r="BN32" s="115"/>
      <c r="BO32" s="122"/>
      <c r="BP32" s="121"/>
      <c r="BQ32" s="115"/>
      <c r="BR32" s="114"/>
      <c r="BS32" s="126"/>
    </row>
    <row r="33" spans="2:83" ht="19.5" customHeight="1" x14ac:dyDescent="0.25">
      <c r="F33" s="276" t="s">
        <v>792</v>
      </c>
      <c r="G33" s="276"/>
      <c r="H33" s="277">
        <v>1</v>
      </c>
      <c r="I33" s="278"/>
      <c r="J33" s="278"/>
      <c r="K33" s="279"/>
      <c r="L33" s="277">
        <v>2</v>
      </c>
      <c r="M33" s="278"/>
      <c r="N33" s="278"/>
      <c r="O33" s="279"/>
      <c r="P33" s="277">
        <v>3</v>
      </c>
      <c r="Q33" s="278"/>
      <c r="R33" s="278"/>
      <c r="S33" s="279"/>
      <c r="T33" s="277">
        <v>4</v>
      </c>
      <c r="U33" s="278"/>
      <c r="V33" s="278"/>
      <c r="W33" s="279"/>
      <c r="X33" s="277">
        <v>5</v>
      </c>
      <c r="Y33" s="278"/>
      <c r="Z33" s="278"/>
      <c r="AA33" s="279"/>
      <c r="AB33" s="277">
        <v>6</v>
      </c>
      <c r="AC33" s="278"/>
      <c r="AD33" s="278"/>
      <c r="AE33" s="279"/>
      <c r="AF33" s="277">
        <v>7</v>
      </c>
      <c r="AG33" s="278"/>
      <c r="AH33" s="278"/>
      <c r="AI33" s="279"/>
      <c r="AJ33" s="277">
        <v>8</v>
      </c>
      <c r="AK33" s="278"/>
      <c r="AL33" s="278"/>
      <c r="AM33" s="279"/>
      <c r="AN33" s="277">
        <v>9</v>
      </c>
      <c r="AO33" s="278"/>
      <c r="AP33" s="278"/>
      <c r="AQ33" s="279"/>
      <c r="AR33" s="277">
        <v>10</v>
      </c>
      <c r="AS33" s="278"/>
      <c r="AT33" s="278"/>
      <c r="AU33" s="279"/>
      <c r="AV33" s="277">
        <v>11</v>
      </c>
      <c r="AW33" s="278"/>
      <c r="AX33" s="278"/>
      <c r="AY33" s="279"/>
      <c r="AZ33" s="277">
        <v>12</v>
      </c>
      <c r="BA33" s="278"/>
      <c r="BB33" s="278"/>
      <c r="BC33" s="279"/>
      <c r="BD33" s="277">
        <v>13</v>
      </c>
      <c r="BE33" s="278"/>
      <c r="BF33" s="278"/>
      <c r="BG33" s="279"/>
      <c r="BH33" s="277">
        <v>14</v>
      </c>
      <c r="BI33" s="278"/>
      <c r="BJ33" s="278"/>
      <c r="BK33" s="279"/>
      <c r="BL33" s="277">
        <v>15</v>
      </c>
      <c r="BM33" s="278"/>
      <c r="BN33" s="278"/>
      <c r="BO33" s="279"/>
      <c r="BP33" s="277">
        <v>16</v>
      </c>
      <c r="BQ33" s="278"/>
      <c r="BR33" s="278"/>
      <c r="BS33" s="279"/>
    </row>
    <row r="34" spans="2:83" ht="19.5" customHeight="1" x14ac:dyDescent="0.15">
      <c r="F34" s="276" t="s">
        <v>793</v>
      </c>
      <c r="G34" s="276"/>
      <c r="H34" s="280"/>
      <c r="I34" s="281"/>
      <c r="J34" s="281"/>
      <c r="K34" s="282"/>
      <c r="L34" s="280"/>
      <c r="M34" s="281"/>
      <c r="N34" s="281"/>
      <c r="O34" s="282"/>
      <c r="P34" s="280"/>
      <c r="Q34" s="281"/>
      <c r="R34" s="281"/>
      <c r="S34" s="282"/>
      <c r="T34" s="280"/>
      <c r="U34" s="281"/>
      <c r="V34" s="281"/>
      <c r="W34" s="282"/>
      <c r="X34" s="280"/>
      <c r="Y34" s="281"/>
      <c r="Z34" s="281"/>
      <c r="AA34" s="282"/>
      <c r="AB34" s="280"/>
      <c r="AC34" s="281"/>
      <c r="AD34" s="281"/>
      <c r="AE34" s="282"/>
      <c r="AF34" s="280"/>
      <c r="AG34" s="281"/>
      <c r="AH34" s="281"/>
      <c r="AI34" s="282"/>
      <c r="AJ34" s="280"/>
      <c r="AK34" s="281"/>
      <c r="AL34" s="281"/>
      <c r="AM34" s="282"/>
      <c r="AN34" s="280"/>
      <c r="AO34" s="281"/>
      <c r="AP34" s="281"/>
      <c r="AQ34" s="282"/>
      <c r="AR34" s="280"/>
      <c r="AS34" s="281"/>
      <c r="AT34" s="281"/>
      <c r="AU34" s="282"/>
      <c r="AV34" s="280"/>
      <c r="AW34" s="281"/>
      <c r="AX34" s="281"/>
      <c r="AY34" s="282"/>
      <c r="AZ34" s="280"/>
      <c r="BA34" s="281"/>
      <c r="BB34" s="281"/>
      <c r="BC34" s="282"/>
      <c r="BD34" s="280"/>
      <c r="BE34" s="281"/>
      <c r="BF34" s="281"/>
      <c r="BG34" s="282"/>
      <c r="BH34" s="280"/>
      <c r="BI34" s="281"/>
      <c r="BJ34" s="281"/>
      <c r="BK34" s="282"/>
      <c r="BL34" s="280"/>
      <c r="BM34" s="281"/>
      <c r="BN34" s="281"/>
      <c r="BO34" s="282"/>
      <c r="BP34" s="280"/>
      <c r="BQ34" s="281"/>
      <c r="BR34" s="281"/>
      <c r="BS34" s="282"/>
      <c r="BT34" s="283" t="s">
        <v>794</v>
      </c>
      <c r="BU34" s="284"/>
      <c r="BV34" s="284"/>
      <c r="BW34" s="284"/>
      <c r="BX34" s="284"/>
      <c r="BY34" s="284"/>
      <c r="BZ34" s="284"/>
      <c r="CA34" s="284"/>
      <c r="CB34" s="284"/>
      <c r="CC34" s="284"/>
      <c r="CD34" s="285"/>
    </row>
    <row r="35" spans="2:83" ht="90" customHeight="1" x14ac:dyDescent="0.15">
      <c r="B35" s="286" t="s">
        <v>795</v>
      </c>
      <c r="C35" s="287" t="s">
        <v>796</v>
      </c>
      <c r="D35" s="286" t="s">
        <v>797</v>
      </c>
      <c r="E35" s="286" t="s">
        <v>798</v>
      </c>
      <c r="F35" s="127"/>
      <c r="G35" s="128" t="s">
        <v>826</v>
      </c>
      <c r="H35" s="288" t="s">
        <v>924</v>
      </c>
      <c r="I35" s="289"/>
      <c r="J35" s="289"/>
      <c r="K35" s="290"/>
      <c r="L35" s="288" t="s">
        <v>925</v>
      </c>
      <c r="M35" s="289"/>
      <c r="N35" s="289"/>
      <c r="O35" s="290"/>
      <c r="P35" s="288" t="s">
        <v>828</v>
      </c>
      <c r="Q35" s="289"/>
      <c r="R35" s="289"/>
      <c r="S35" s="290"/>
      <c r="T35" s="288" t="s">
        <v>829</v>
      </c>
      <c r="U35" s="289"/>
      <c r="V35" s="289"/>
      <c r="W35" s="290"/>
      <c r="X35" s="288" t="s">
        <v>830</v>
      </c>
      <c r="Y35" s="289"/>
      <c r="Z35" s="289"/>
      <c r="AA35" s="290"/>
      <c r="AB35" s="288" t="s">
        <v>831</v>
      </c>
      <c r="AC35" s="289"/>
      <c r="AD35" s="289"/>
      <c r="AE35" s="290"/>
      <c r="AF35" s="288" t="s">
        <v>939</v>
      </c>
      <c r="AG35" s="289"/>
      <c r="AH35" s="289"/>
      <c r="AI35" s="290"/>
      <c r="AJ35" s="288"/>
      <c r="AK35" s="289"/>
      <c r="AL35" s="289"/>
      <c r="AM35" s="290"/>
      <c r="AN35" s="288"/>
      <c r="AO35" s="289"/>
      <c r="AP35" s="289"/>
      <c r="AQ35" s="290"/>
      <c r="AR35" s="288"/>
      <c r="AS35" s="289"/>
      <c r="AT35" s="289"/>
      <c r="AU35" s="290"/>
      <c r="AV35" s="288"/>
      <c r="AW35" s="289"/>
      <c r="AX35" s="289"/>
      <c r="AY35" s="290"/>
      <c r="AZ35" s="288"/>
      <c r="BA35" s="289"/>
      <c r="BB35" s="289"/>
      <c r="BC35" s="290"/>
      <c r="BD35" s="288"/>
      <c r="BE35" s="289"/>
      <c r="BF35" s="289"/>
      <c r="BG35" s="290"/>
      <c r="BH35" s="288"/>
      <c r="BI35" s="289"/>
      <c r="BJ35" s="289"/>
      <c r="BK35" s="290"/>
      <c r="BL35" s="288"/>
      <c r="BM35" s="289"/>
      <c r="BN35" s="289"/>
      <c r="BO35" s="290"/>
      <c r="BP35" s="288"/>
      <c r="BQ35" s="289"/>
      <c r="BR35" s="289"/>
      <c r="BS35" s="290"/>
      <c r="BT35" s="304" t="s">
        <v>799</v>
      </c>
      <c r="BU35" s="304" t="s">
        <v>800</v>
      </c>
      <c r="BV35" s="304" t="s">
        <v>801</v>
      </c>
      <c r="BW35" s="304" t="s">
        <v>802</v>
      </c>
      <c r="BX35" s="304" t="s">
        <v>803</v>
      </c>
      <c r="BY35" s="305" t="s">
        <v>804</v>
      </c>
      <c r="BZ35" s="294" t="s">
        <v>805</v>
      </c>
      <c r="CA35" s="294" t="s">
        <v>806</v>
      </c>
      <c r="CB35" s="294" t="s">
        <v>807</v>
      </c>
      <c r="CC35" s="294" t="s">
        <v>808</v>
      </c>
      <c r="CD35" s="296" t="s">
        <v>809</v>
      </c>
      <c r="CE35" s="298" t="s">
        <v>795</v>
      </c>
    </row>
    <row r="36" spans="2:83" ht="90" customHeight="1" x14ac:dyDescent="0.15">
      <c r="B36" s="286"/>
      <c r="C36" s="286"/>
      <c r="D36" s="286"/>
      <c r="E36" s="286"/>
      <c r="F36" s="129" t="s">
        <v>825</v>
      </c>
      <c r="G36" s="130"/>
      <c r="H36" s="291"/>
      <c r="I36" s="292"/>
      <c r="J36" s="292"/>
      <c r="K36" s="293"/>
      <c r="L36" s="291"/>
      <c r="M36" s="292"/>
      <c r="N36" s="292"/>
      <c r="O36" s="293"/>
      <c r="P36" s="291"/>
      <c r="Q36" s="292"/>
      <c r="R36" s="292"/>
      <c r="S36" s="293"/>
      <c r="T36" s="291"/>
      <c r="U36" s="292"/>
      <c r="V36" s="292"/>
      <c r="W36" s="293"/>
      <c r="X36" s="291"/>
      <c r="Y36" s="292"/>
      <c r="Z36" s="292"/>
      <c r="AA36" s="293"/>
      <c r="AB36" s="291"/>
      <c r="AC36" s="292"/>
      <c r="AD36" s="292"/>
      <c r="AE36" s="293"/>
      <c r="AF36" s="291"/>
      <c r="AG36" s="292"/>
      <c r="AH36" s="292"/>
      <c r="AI36" s="293"/>
      <c r="AJ36" s="291"/>
      <c r="AK36" s="292"/>
      <c r="AL36" s="292"/>
      <c r="AM36" s="293"/>
      <c r="AN36" s="291"/>
      <c r="AO36" s="292"/>
      <c r="AP36" s="292"/>
      <c r="AQ36" s="293"/>
      <c r="AR36" s="291"/>
      <c r="AS36" s="292"/>
      <c r="AT36" s="292"/>
      <c r="AU36" s="293"/>
      <c r="AV36" s="291"/>
      <c r="AW36" s="292"/>
      <c r="AX36" s="292"/>
      <c r="AY36" s="293"/>
      <c r="AZ36" s="291"/>
      <c r="BA36" s="292"/>
      <c r="BB36" s="292"/>
      <c r="BC36" s="293"/>
      <c r="BD36" s="291"/>
      <c r="BE36" s="292"/>
      <c r="BF36" s="292"/>
      <c r="BG36" s="293"/>
      <c r="BH36" s="291"/>
      <c r="BI36" s="292"/>
      <c r="BJ36" s="292"/>
      <c r="BK36" s="293"/>
      <c r="BL36" s="291"/>
      <c r="BM36" s="292"/>
      <c r="BN36" s="292"/>
      <c r="BO36" s="293"/>
      <c r="BP36" s="291"/>
      <c r="BQ36" s="292"/>
      <c r="BR36" s="292"/>
      <c r="BS36" s="293"/>
      <c r="BT36" s="304"/>
      <c r="BU36" s="304"/>
      <c r="BV36" s="304"/>
      <c r="BW36" s="304"/>
      <c r="BX36" s="304"/>
      <c r="BY36" s="306"/>
      <c r="BZ36" s="295"/>
      <c r="CA36" s="295"/>
      <c r="CB36" s="295"/>
      <c r="CC36" s="295"/>
      <c r="CD36" s="297"/>
      <c r="CE36" s="299"/>
    </row>
    <row r="37" spans="2:83" ht="30" customHeight="1" x14ac:dyDescent="0.15">
      <c r="B37" s="131">
        <v>1</v>
      </c>
      <c r="C37" s="132" t="str">
        <f>REPT("|", (D37*100))</f>
        <v>||||||||||||||||||</v>
      </c>
      <c r="D37" s="147">
        <f>'S05 Req Weights'!K3</f>
        <v>0.18333333333333332</v>
      </c>
      <c r="E37" s="182">
        <f>IF(COUNTIF(H37:BP37,"●"),9,IF(COUNTIF(H37:BP37,"○"),3,IF(COUNTIF(H37:BP37,"▽"),1,"")))</f>
        <v>9</v>
      </c>
      <c r="F37" s="300" t="str">
        <f>'S05 Req Weights'!A3</f>
        <v>Style</v>
      </c>
      <c r="G37" s="300"/>
      <c r="H37" s="301" t="s">
        <v>780</v>
      </c>
      <c r="I37" s="302"/>
      <c r="J37" s="302"/>
      <c r="K37" s="303"/>
      <c r="L37" s="301" t="s">
        <v>784</v>
      </c>
      <c r="M37" s="302"/>
      <c r="N37" s="302"/>
      <c r="O37" s="303"/>
      <c r="P37" s="301"/>
      <c r="Q37" s="302"/>
      <c r="R37" s="302"/>
      <c r="S37" s="303"/>
      <c r="T37" s="301" t="s">
        <v>780</v>
      </c>
      <c r="U37" s="302"/>
      <c r="V37" s="302"/>
      <c r="W37" s="303"/>
      <c r="X37" s="301"/>
      <c r="Y37" s="302"/>
      <c r="Z37" s="302"/>
      <c r="AA37" s="303"/>
      <c r="AB37" s="301" t="s">
        <v>784</v>
      </c>
      <c r="AC37" s="302"/>
      <c r="AD37" s="302"/>
      <c r="AE37" s="303"/>
      <c r="AF37" s="301"/>
      <c r="AG37" s="302"/>
      <c r="AH37" s="302"/>
      <c r="AI37" s="303"/>
      <c r="AJ37" s="301"/>
      <c r="AK37" s="302"/>
      <c r="AL37" s="302"/>
      <c r="AM37" s="303"/>
      <c r="AN37" s="301"/>
      <c r="AO37" s="302"/>
      <c r="AP37" s="302"/>
      <c r="AQ37" s="303"/>
      <c r="AR37" s="301"/>
      <c r="AS37" s="302"/>
      <c r="AT37" s="302"/>
      <c r="AU37" s="303"/>
      <c r="AV37" s="301"/>
      <c r="AW37" s="302"/>
      <c r="AX37" s="302"/>
      <c r="AY37" s="303"/>
      <c r="AZ37" s="301"/>
      <c r="BA37" s="302"/>
      <c r="BB37" s="302"/>
      <c r="BC37" s="303"/>
      <c r="BD37" s="301"/>
      <c r="BE37" s="302"/>
      <c r="BF37" s="302"/>
      <c r="BG37" s="303"/>
      <c r="BH37" s="301"/>
      <c r="BI37" s="302"/>
      <c r="BJ37" s="302"/>
      <c r="BK37" s="303"/>
      <c r="BL37" s="301"/>
      <c r="BM37" s="302"/>
      <c r="BN37" s="302"/>
      <c r="BO37" s="303"/>
      <c r="BP37" s="301"/>
      <c r="BQ37" s="302"/>
      <c r="BR37" s="302"/>
      <c r="BS37" s="303"/>
      <c r="BT37" s="133">
        <v>5</v>
      </c>
      <c r="BU37" s="133">
        <v>4</v>
      </c>
      <c r="BV37" s="133">
        <v>3</v>
      </c>
      <c r="BW37" s="133">
        <v>3</v>
      </c>
      <c r="BX37" s="133">
        <v>3</v>
      </c>
      <c r="BY37" s="307"/>
      <c r="CE37" s="131">
        <v>1</v>
      </c>
    </row>
    <row r="38" spans="2:83" ht="30" customHeight="1" x14ac:dyDescent="0.15">
      <c r="B38" s="131">
        <v>2</v>
      </c>
      <c r="C38" s="132" t="str">
        <f t="shared" ref="C38:C42" si="0">REPT("|", (D38*100))</f>
        <v>|||||||||||</v>
      </c>
      <c r="D38" s="147">
        <f>'S05 Req Weights'!K4</f>
        <v>0.11666666666666667</v>
      </c>
      <c r="E38" s="182">
        <f t="shared" ref="E38:E52" si="1">IF(COUNTIF(H38:BP38,"●"),9,IF(COUNTIF(H38:BP38,"○"),3,IF(COUNTIF(H38:BP38,"▽"),1,"")))</f>
        <v>9</v>
      </c>
      <c r="F38" s="300" t="str">
        <f>'S05 Req Weights'!A4</f>
        <v>Lightweight</v>
      </c>
      <c r="G38" s="300"/>
      <c r="H38" s="301" t="s">
        <v>782</v>
      </c>
      <c r="I38" s="302"/>
      <c r="J38" s="302"/>
      <c r="K38" s="303"/>
      <c r="L38" s="301" t="s">
        <v>780</v>
      </c>
      <c r="M38" s="302"/>
      <c r="N38" s="302"/>
      <c r="O38" s="303"/>
      <c r="P38" s="301" t="s">
        <v>780</v>
      </c>
      <c r="Q38" s="302"/>
      <c r="R38" s="302"/>
      <c r="S38" s="303"/>
      <c r="T38" s="301"/>
      <c r="U38" s="302"/>
      <c r="V38" s="302"/>
      <c r="W38" s="303"/>
      <c r="X38" s="301"/>
      <c r="Y38" s="302"/>
      <c r="Z38" s="302"/>
      <c r="AA38" s="303"/>
      <c r="AB38" s="301"/>
      <c r="AC38" s="302"/>
      <c r="AD38" s="302"/>
      <c r="AE38" s="303"/>
      <c r="AF38" s="301"/>
      <c r="AG38" s="302"/>
      <c r="AH38" s="302"/>
      <c r="AI38" s="303"/>
      <c r="AJ38" s="301"/>
      <c r="AK38" s="302"/>
      <c r="AL38" s="302"/>
      <c r="AM38" s="303"/>
      <c r="AN38" s="301"/>
      <c r="AO38" s="302"/>
      <c r="AP38" s="302"/>
      <c r="AQ38" s="303"/>
      <c r="AR38" s="301"/>
      <c r="AS38" s="302"/>
      <c r="AT38" s="302"/>
      <c r="AU38" s="303"/>
      <c r="AV38" s="301"/>
      <c r="AW38" s="302"/>
      <c r="AX38" s="302"/>
      <c r="AY38" s="303"/>
      <c r="AZ38" s="301"/>
      <c r="BA38" s="302"/>
      <c r="BB38" s="302"/>
      <c r="BC38" s="303"/>
      <c r="BD38" s="301"/>
      <c r="BE38" s="302"/>
      <c r="BF38" s="302"/>
      <c r="BG38" s="303"/>
      <c r="BH38" s="301"/>
      <c r="BI38" s="302"/>
      <c r="BJ38" s="302"/>
      <c r="BK38" s="303"/>
      <c r="BL38" s="301"/>
      <c r="BM38" s="302"/>
      <c r="BN38" s="302"/>
      <c r="BO38" s="303"/>
      <c r="BP38" s="301"/>
      <c r="BQ38" s="302"/>
      <c r="BR38" s="302"/>
      <c r="BS38" s="303"/>
      <c r="BT38" s="133">
        <v>5</v>
      </c>
      <c r="BU38" s="133">
        <v>3</v>
      </c>
      <c r="BV38" s="133">
        <v>3</v>
      </c>
      <c r="BW38" s="133">
        <v>3</v>
      </c>
      <c r="BX38" s="133">
        <v>3</v>
      </c>
      <c r="BY38" s="307"/>
      <c r="CE38" s="131">
        <v>2</v>
      </c>
    </row>
    <row r="39" spans="2:83" ht="30" customHeight="1" x14ac:dyDescent="0.15">
      <c r="B39" s="131">
        <v>3</v>
      </c>
      <c r="C39" s="132" t="str">
        <f t="shared" si="0"/>
        <v>||||||||||||||||||</v>
      </c>
      <c r="D39" s="147">
        <f>'S05 Req Weights'!K5</f>
        <v>0.18333333333333332</v>
      </c>
      <c r="E39" s="182">
        <f t="shared" si="1"/>
        <v>9</v>
      </c>
      <c r="F39" s="300" t="str">
        <f>'S05 Req Weights'!A5</f>
        <v>Durable</v>
      </c>
      <c r="G39" s="300"/>
      <c r="H39" s="301"/>
      <c r="I39" s="302"/>
      <c r="J39" s="302"/>
      <c r="K39" s="303"/>
      <c r="L39" s="301" t="s">
        <v>782</v>
      </c>
      <c r="M39" s="302"/>
      <c r="N39" s="302"/>
      <c r="O39" s="303"/>
      <c r="P39" s="301"/>
      <c r="Q39" s="302"/>
      <c r="R39" s="302"/>
      <c r="S39" s="303"/>
      <c r="T39" s="301" t="s">
        <v>784</v>
      </c>
      <c r="U39" s="302"/>
      <c r="V39" s="302"/>
      <c r="W39" s="303"/>
      <c r="X39" s="301"/>
      <c r="Y39" s="302"/>
      <c r="Z39" s="302"/>
      <c r="AA39" s="303"/>
      <c r="AB39" s="301" t="s">
        <v>780</v>
      </c>
      <c r="AC39" s="302"/>
      <c r="AD39" s="302"/>
      <c r="AE39" s="303"/>
      <c r="AF39" s="301"/>
      <c r="AG39" s="302"/>
      <c r="AH39" s="302"/>
      <c r="AI39" s="303"/>
      <c r="AJ39" s="301"/>
      <c r="AK39" s="302"/>
      <c r="AL39" s="302"/>
      <c r="AM39" s="303"/>
      <c r="AN39" s="301"/>
      <c r="AO39" s="302"/>
      <c r="AP39" s="302"/>
      <c r="AQ39" s="303"/>
      <c r="AR39" s="301"/>
      <c r="AS39" s="302"/>
      <c r="AT39" s="302"/>
      <c r="AU39" s="303"/>
      <c r="AV39" s="301"/>
      <c r="AW39" s="302"/>
      <c r="AX39" s="302"/>
      <c r="AY39" s="303"/>
      <c r="AZ39" s="301"/>
      <c r="BA39" s="302"/>
      <c r="BB39" s="302"/>
      <c r="BC39" s="303"/>
      <c r="BD39" s="301"/>
      <c r="BE39" s="302"/>
      <c r="BF39" s="302"/>
      <c r="BG39" s="303"/>
      <c r="BH39" s="301"/>
      <c r="BI39" s="302"/>
      <c r="BJ39" s="302"/>
      <c r="BK39" s="303"/>
      <c r="BL39" s="301"/>
      <c r="BM39" s="302"/>
      <c r="BN39" s="302"/>
      <c r="BO39" s="303"/>
      <c r="BP39" s="301"/>
      <c r="BQ39" s="302"/>
      <c r="BR39" s="302"/>
      <c r="BS39" s="303"/>
      <c r="BT39" s="133">
        <v>4</v>
      </c>
      <c r="BU39" s="133">
        <v>4</v>
      </c>
      <c r="BV39" s="133">
        <v>2</v>
      </c>
      <c r="BW39" s="133">
        <v>3</v>
      </c>
      <c r="BX39" s="133">
        <v>4</v>
      </c>
      <c r="BY39" s="307"/>
      <c r="CE39" s="131">
        <v>3</v>
      </c>
    </row>
    <row r="40" spans="2:83" ht="30" customHeight="1" x14ac:dyDescent="0.15">
      <c r="B40" s="131">
        <v>4</v>
      </c>
      <c r="C40" s="132" t="str">
        <f t="shared" si="0"/>
        <v>||||||||||</v>
      </c>
      <c r="D40" s="147">
        <f>'S05 Req Weights'!K6</f>
        <v>0.1</v>
      </c>
      <c r="E40" s="182">
        <f t="shared" si="1"/>
        <v>9</v>
      </c>
      <c r="F40" s="300" t="str">
        <f>'S05 Req Weights'!A6</f>
        <v>Simple locking system</v>
      </c>
      <c r="G40" s="300"/>
      <c r="H40" s="301"/>
      <c r="I40" s="302"/>
      <c r="J40" s="302"/>
      <c r="K40" s="303"/>
      <c r="L40" s="301" t="s">
        <v>784</v>
      </c>
      <c r="M40" s="302"/>
      <c r="N40" s="302"/>
      <c r="O40" s="303"/>
      <c r="P40" s="301"/>
      <c r="Q40" s="302"/>
      <c r="R40" s="302"/>
      <c r="S40" s="303"/>
      <c r="T40" s="301" t="s">
        <v>780</v>
      </c>
      <c r="U40" s="302"/>
      <c r="V40" s="302"/>
      <c r="W40" s="303"/>
      <c r="X40" s="301"/>
      <c r="Y40" s="302"/>
      <c r="Z40" s="302"/>
      <c r="AA40" s="303"/>
      <c r="AB40" s="301"/>
      <c r="AC40" s="302"/>
      <c r="AD40" s="302"/>
      <c r="AE40" s="303"/>
      <c r="AF40" s="301" t="s">
        <v>784</v>
      </c>
      <c r="AG40" s="302"/>
      <c r="AH40" s="302"/>
      <c r="AI40" s="303"/>
      <c r="AJ40" s="301"/>
      <c r="AK40" s="302"/>
      <c r="AL40" s="302"/>
      <c r="AM40" s="303"/>
      <c r="AN40" s="301"/>
      <c r="AO40" s="302"/>
      <c r="AP40" s="302"/>
      <c r="AQ40" s="303"/>
      <c r="AR40" s="301"/>
      <c r="AS40" s="302"/>
      <c r="AT40" s="302"/>
      <c r="AU40" s="303"/>
      <c r="AV40" s="301"/>
      <c r="AW40" s="302"/>
      <c r="AX40" s="302"/>
      <c r="AY40" s="303"/>
      <c r="AZ40" s="301"/>
      <c r="BA40" s="302"/>
      <c r="BB40" s="302"/>
      <c r="BC40" s="303"/>
      <c r="BD40" s="301"/>
      <c r="BE40" s="302"/>
      <c r="BF40" s="302"/>
      <c r="BG40" s="303"/>
      <c r="BH40" s="301"/>
      <c r="BI40" s="302"/>
      <c r="BJ40" s="302"/>
      <c r="BK40" s="303"/>
      <c r="BL40" s="301"/>
      <c r="BM40" s="302"/>
      <c r="BN40" s="302"/>
      <c r="BO40" s="303"/>
      <c r="BP40" s="301"/>
      <c r="BQ40" s="302"/>
      <c r="BR40" s="302"/>
      <c r="BS40" s="303"/>
      <c r="BT40" s="133">
        <v>5</v>
      </c>
      <c r="BU40" s="133">
        <v>5</v>
      </c>
      <c r="BV40" s="133">
        <v>2</v>
      </c>
      <c r="BW40" s="133">
        <v>2</v>
      </c>
      <c r="BX40" s="133">
        <v>4</v>
      </c>
      <c r="BY40" s="307"/>
      <c r="CE40" s="131">
        <v>4</v>
      </c>
    </row>
    <row r="41" spans="2:83" ht="30" customHeight="1" x14ac:dyDescent="0.15">
      <c r="B41" s="131">
        <v>5</v>
      </c>
      <c r="C41" s="132" t="str">
        <f t="shared" si="0"/>
        <v>|||||||||||||||||||||||</v>
      </c>
      <c r="D41" s="147">
        <f>'S05 Req Weights'!K7</f>
        <v>0.23333333333333334</v>
      </c>
      <c r="E41" s="182">
        <f t="shared" si="1"/>
        <v>9</v>
      </c>
      <c r="F41" s="300" t="str">
        <f>'S05 Req Weights'!A7</f>
        <v>Short charging time</v>
      </c>
      <c r="G41" s="300"/>
      <c r="H41" s="301"/>
      <c r="I41" s="302"/>
      <c r="J41" s="302"/>
      <c r="K41" s="303"/>
      <c r="L41" s="301" t="s">
        <v>780</v>
      </c>
      <c r="M41" s="302"/>
      <c r="N41" s="302"/>
      <c r="O41" s="303"/>
      <c r="P41" s="301"/>
      <c r="Q41" s="302"/>
      <c r="R41" s="302"/>
      <c r="S41" s="303"/>
      <c r="T41" s="301"/>
      <c r="U41" s="302"/>
      <c r="V41" s="302"/>
      <c r="W41" s="303"/>
      <c r="X41" s="301" t="s">
        <v>780</v>
      </c>
      <c r="Y41" s="302"/>
      <c r="Z41" s="302"/>
      <c r="AA41" s="303"/>
      <c r="AB41" s="301" t="s">
        <v>782</v>
      </c>
      <c r="AC41" s="302"/>
      <c r="AD41" s="302"/>
      <c r="AE41" s="303"/>
      <c r="AF41" s="301"/>
      <c r="AG41" s="302"/>
      <c r="AH41" s="302"/>
      <c r="AI41" s="303"/>
      <c r="AJ41" s="301"/>
      <c r="AK41" s="302"/>
      <c r="AL41" s="302"/>
      <c r="AM41" s="303"/>
      <c r="AN41" s="301"/>
      <c r="AO41" s="302"/>
      <c r="AP41" s="302"/>
      <c r="AQ41" s="303"/>
      <c r="AR41" s="301"/>
      <c r="AS41" s="302"/>
      <c r="AT41" s="302"/>
      <c r="AU41" s="303"/>
      <c r="AV41" s="301"/>
      <c r="AW41" s="302"/>
      <c r="AX41" s="302"/>
      <c r="AY41" s="303"/>
      <c r="AZ41" s="301"/>
      <c r="BA41" s="302"/>
      <c r="BB41" s="302"/>
      <c r="BC41" s="303"/>
      <c r="BD41" s="301"/>
      <c r="BE41" s="302"/>
      <c r="BF41" s="302"/>
      <c r="BG41" s="303"/>
      <c r="BH41" s="301"/>
      <c r="BI41" s="302"/>
      <c r="BJ41" s="302"/>
      <c r="BK41" s="303"/>
      <c r="BL41" s="301"/>
      <c r="BM41" s="302"/>
      <c r="BN41" s="302"/>
      <c r="BO41" s="303"/>
      <c r="BP41" s="301"/>
      <c r="BQ41" s="302"/>
      <c r="BR41" s="302"/>
      <c r="BS41" s="303"/>
      <c r="BT41" s="133">
        <v>5</v>
      </c>
      <c r="BU41" s="133">
        <v>3</v>
      </c>
      <c r="BV41" s="133">
        <v>3</v>
      </c>
      <c r="BW41" s="133">
        <v>3</v>
      </c>
      <c r="BX41" s="133">
        <v>3</v>
      </c>
      <c r="BY41" s="307"/>
      <c r="CE41" s="131">
        <v>5</v>
      </c>
    </row>
    <row r="42" spans="2:83" ht="30" customHeight="1" x14ac:dyDescent="0.15">
      <c r="B42" s="131">
        <v>6</v>
      </c>
      <c r="C42" s="132" t="str">
        <f t="shared" si="0"/>
        <v>||||||||||||||||||</v>
      </c>
      <c r="D42" s="147">
        <f>'S05 Req Weights'!K8</f>
        <v>0.18333333333333332</v>
      </c>
      <c r="E42" s="182">
        <f t="shared" si="1"/>
        <v>1</v>
      </c>
      <c r="F42" s="300" t="str">
        <f>'S05 Req Weights'!A8</f>
        <v>Easy-to-replace parts</v>
      </c>
      <c r="G42" s="300"/>
      <c r="H42" s="301" t="s">
        <v>784</v>
      </c>
      <c r="I42" s="302"/>
      <c r="J42" s="302"/>
      <c r="K42" s="303"/>
      <c r="L42" s="301"/>
      <c r="M42" s="302"/>
      <c r="N42" s="302"/>
      <c r="O42" s="303"/>
      <c r="P42" s="301"/>
      <c r="Q42" s="302"/>
      <c r="R42" s="302"/>
      <c r="S42" s="303"/>
      <c r="T42" s="301"/>
      <c r="U42" s="302"/>
      <c r="V42" s="302"/>
      <c r="W42" s="303"/>
      <c r="X42" s="301"/>
      <c r="Y42" s="302"/>
      <c r="Z42" s="302"/>
      <c r="AA42" s="303"/>
      <c r="AB42" s="301"/>
      <c r="AC42" s="302"/>
      <c r="AD42" s="302"/>
      <c r="AE42" s="303"/>
      <c r="AF42" s="301"/>
      <c r="AG42" s="302"/>
      <c r="AH42" s="302"/>
      <c r="AI42" s="303"/>
      <c r="AJ42" s="301"/>
      <c r="AK42" s="302"/>
      <c r="AL42" s="302"/>
      <c r="AM42" s="303"/>
      <c r="AN42" s="301"/>
      <c r="AO42" s="302"/>
      <c r="AP42" s="302"/>
      <c r="AQ42" s="303"/>
      <c r="AR42" s="301"/>
      <c r="AS42" s="302"/>
      <c r="AT42" s="302"/>
      <c r="AU42" s="303"/>
      <c r="AV42" s="301"/>
      <c r="AW42" s="302"/>
      <c r="AX42" s="302"/>
      <c r="AY42" s="303"/>
      <c r="AZ42" s="301"/>
      <c r="BA42" s="302"/>
      <c r="BB42" s="302"/>
      <c r="BC42" s="303"/>
      <c r="BD42" s="301"/>
      <c r="BE42" s="302"/>
      <c r="BF42" s="302"/>
      <c r="BG42" s="303"/>
      <c r="BH42" s="301"/>
      <c r="BI42" s="302"/>
      <c r="BJ42" s="302"/>
      <c r="BK42" s="303"/>
      <c r="BL42" s="301"/>
      <c r="BM42" s="302"/>
      <c r="BN42" s="302"/>
      <c r="BO42" s="303"/>
      <c r="BP42" s="301"/>
      <c r="BQ42" s="302"/>
      <c r="BR42" s="302"/>
      <c r="BS42" s="303"/>
      <c r="BT42" s="133">
        <v>2</v>
      </c>
      <c r="BU42" s="133">
        <v>4</v>
      </c>
      <c r="BV42" s="133">
        <v>2</v>
      </c>
      <c r="BW42" s="133">
        <v>2</v>
      </c>
      <c r="BX42" s="133">
        <v>2</v>
      </c>
      <c r="BY42" s="307"/>
      <c r="CE42" s="131">
        <v>6</v>
      </c>
    </row>
    <row r="43" spans="2:83" ht="30" customHeight="1" x14ac:dyDescent="0.15">
      <c r="B43" s="131">
        <v>7</v>
      </c>
      <c r="C43" s="132"/>
      <c r="D43" s="182"/>
      <c r="E43" s="182" t="str">
        <f t="shared" si="1"/>
        <v/>
      </c>
      <c r="F43" s="300" t="str">
        <f>'S05 Req Weights'!A9</f>
        <v>Different sizes</v>
      </c>
      <c r="G43" s="300"/>
      <c r="H43" s="301"/>
      <c r="I43" s="302"/>
      <c r="J43" s="302"/>
      <c r="K43" s="303"/>
      <c r="L43" s="301"/>
      <c r="M43" s="302"/>
      <c r="N43" s="302"/>
      <c r="O43" s="303"/>
      <c r="P43" s="301"/>
      <c r="Q43" s="302"/>
      <c r="R43" s="302"/>
      <c r="S43" s="303"/>
      <c r="T43" s="301"/>
      <c r="U43" s="302"/>
      <c r="V43" s="302"/>
      <c r="W43" s="303"/>
      <c r="X43" s="301"/>
      <c r="Y43" s="302"/>
      <c r="Z43" s="302"/>
      <c r="AA43" s="303"/>
      <c r="AB43" s="301"/>
      <c r="AC43" s="302"/>
      <c r="AD43" s="302"/>
      <c r="AE43" s="303"/>
      <c r="AF43" s="301"/>
      <c r="AG43" s="302"/>
      <c r="AH43" s="302"/>
      <c r="AI43" s="303"/>
      <c r="AJ43" s="301"/>
      <c r="AK43" s="302"/>
      <c r="AL43" s="302"/>
      <c r="AM43" s="303"/>
      <c r="AN43" s="301"/>
      <c r="AO43" s="302"/>
      <c r="AP43" s="302"/>
      <c r="AQ43" s="303"/>
      <c r="AR43" s="301"/>
      <c r="AS43" s="302"/>
      <c r="AT43" s="302"/>
      <c r="AU43" s="303"/>
      <c r="AV43" s="301"/>
      <c r="AW43" s="302"/>
      <c r="AX43" s="302"/>
      <c r="AY43" s="303"/>
      <c r="AZ43" s="301"/>
      <c r="BA43" s="302"/>
      <c r="BB43" s="302"/>
      <c r="BC43" s="303"/>
      <c r="BD43" s="301"/>
      <c r="BE43" s="302"/>
      <c r="BF43" s="302"/>
      <c r="BG43" s="303"/>
      <c r="BH43" s="301"/>
      <c r="BI43" s="302"/>
      <c r="BJ43" s="302"/>
      <c r="BK43" s="303"/>
      <c r="BL43" s="301"/>
      <c r="BM43" s="302"/>
      <c r="BN43" s="302"/>
      <c r="BO43" s="303"/>
      <c r="BP43" s="301"/>
      <c r="BQ43" s="302"/>
      <c r="BR43" s="302"/>
      <c r="BS43" s="303"/>
      <c r="BT43" s="133">
        <v>2</v>
      </c>
      <c r="BU43" s="133">
        <v>5</v>
      </c>
      <c r="BV43" s="133">
        <v>2</v>
      </c>
      <c r="BW43" s="133">
        <v>3</v>
      </c>
      <c r="BX43" s="133">
        <v>3</v>
      </c>
      <c r="BY43" s="307"/>
      <c r="CE43" s="131">
        <v>7</v>
      </c>
    </row>
    <row r="44" spans="2:83" ht="30" customHeight="1" x14ac:dyDescent="0.15">
      <c r="B44" s="131">
        <v>8</v>
      </c>
      <c r="C44" s="132"/>
      <c r="D44" s="182"/>
      <c r="E44" s="182" t="str">
        <f t="shared" si="1"/>
        <v/>
      </c>
      <c r="F44" s="300" t="str">
        <f>'S05 Req Weights'!A10</f>
        <v>Long-lasting battery</v>
      </c>
      <c r="G44" s="300"/>
      <c r="H44" s="301"/>
      <c r="I44" s="302"/>
      <c r="J44" s="302"/>
      <c r="K44" s="303"/>
      <c r="L44" s="301"/>
      <c r="M44" s="302"/>
      <c r="N44" s="302"/>
      <c r="O44" s="303"/>
      <c r="P44" s="301"/>
      <c r="Q44" s="302"/>
      <c r="R44" s="302"/>
      <c r="S44" s="303"/>
      <c r="T44" s="301"/>
      <c r="U44" s="302"/>
      <c r="V44" s="302"/>
      <c r="W44" s="303"/>
      <c r="X44" s="301"/>
      <c r="Y44" s="302"/>
      <c r="Z44" s="302"/>
      <c r="AA44" s="303"/>
      <c r="AB44" s="301"/>
      <c r="AC44" s="302"/>
      <c r="AD44" s="302"/>
      <c r="AE44" s="303"/>
      <c r="AF44" s="301"/>
      <c r="AG44" s="302"/>
      <c r="AH44" s="302"/>
      <c r="AI44" s="303"/>
      <c r="AJ44" s="301"/>
      <c r="AK44" s="302"/>
      <c r="AL44" s="302"/>
      <c r="AM44" s="303"/>
      <c r="AN44" s="301"/>
      <c r="AO44" s="302"/>
      <c r="AP44" s="302"/>
      <c r="AQ44" s="303"/>
      <c r="AR44" s="301"/>
      <c r="AS44" s="302"/>
      <c r="AT44" s="302"/>
      <c r="AU44" s="303"/>
      <c r="AV44" s="301"/>
      <c r="AW44" s="302"/>
      <c r="AX44" s="302"/>
      <c r="AY44" s="303"/>
      <c r="AZ44" s="301"/>
      <c r="BA44" s="302"/>
      <c r="BB44" s="302"/>
      <c r="BC44" s="303"/>
      <c r="BD44" s="301"/>
      <c r="BE44" s="302"/>
      <c r="BF44" s="302"/>
      <c r="BG44" s="303"/>
      <c r="BH44" s="301"/>
      <c r="BI44" s="302"/>
      <c r="BJ44" s="302"/>
      <c r="BK44" s="303"/>
      <c r="BL44" s="301"/>
      <c r="BM44" s="302"/>
      <c r="BN44" s="302"/>
      <c r="BO44" s="303"/>
      <c r="BP44" s="301"/>
      <c r="BQ44" s="302"/>
      <c r="BR44" s="302"/>
      <c r="BS44" s="303"/>
      <c r="BT44" s="133">
        <v>4</v>
      </c>
      <c r="BU44" s="133">
        <v>3</v>
      </c>
      <c r="BV44" s="133">
        <v>2</v>
      </c>
      <c r="BW44" s="133">
        <v>2</v>
      </c>
      <c r="BX44" s="133">
        <v>4</v>
      </c>
      <c r="BY44" s="307"/>
      <c r="CE44" s="131">
        <v>8</v>
      </c>
    </row>
    <row r="45" spans="2:83" ht="30" customHeight="1" x14ac:dyDescent="0.15">
      <c r="B45" s="131">
        <v>9</v>
      </c>
      <c r="C45" s="132"/>
      <c r="D45" s="182"/>
      <c r="E45" s="182" t="str">
        <f t="shared" si="1"/>
        <v/>
      </c>
      <c r="F45" s="300" t="str">
        <f>'S05 Req Weights'!A11</f>
        <v>Display</v>
      </c>
      <c r="G45" s="300"/>
      <c r="H45" s="301"/>
      <c r="I45" s="302"/>
      <c r="J45" s="302"/>
      <c r="K45" s="303"/>
      <c r="L45" s="301"/>
      <c r="M45" s="302"/>
      <c r="N45" s="302"/>
      <c r="O45" s="303"/>
      <c r="P45" s="301"/>
      <c r="Q45" s="302"/>
      <c r="R45" s="302"/>
      <c r="S45" s="303"/>
      <c r="T45" s="301"/>
      <c r="U45" s="302"/>
      <c r="V45" s="302"/>
      <c r="W45" s="303"/>
      <c r="X45" s="301"/>
      <c r="Y45" s="302"/>
      <c r="Z45" s="302"/>
      <c r="AA45" s="303"/>
      <c r="AB45" s="301"/>
      <c r="AC45" s="302"/>
      <c r="AD45" s="302"/>
      <c r="AE45" s="303"/>
      <c r="AF45" s="301"/>
      <c r="AG45" s="302"/>
      <c r="AH45" s="302"/>
      <c r="AI45" s="303"/>
      <c r="AJ45" s="301"/>
      <c r="AK45" s="302"/>
      <c r="AL45" s="302"/>
      <c r="AM45" s="303"/>
      <c r="AN45" s="301"/>
      <c r="AO45" s="302"/>
      <c r="AP45" s="302"/>
      <c r="AQ45" s="303"/>
      <c r="AR45" s="301"/>
      <c r="AS45" s="302"/>
      <c r="AT45" s="302"/>
      <c r="AU45" s="303"/>
      <c r="AV45" s="301"/>
      <c r="AW45" s="302"/>
      <c r="AX45" s="302"/>
      <c r="AY45" s="303"/>
      <c r="AZ45" s="301"/>
      <c r="BA45" s="302"/>
      <c r="BB45" s="302"/>
      <c r="BC45" s="303"/>
      <c r="BD45" s="301"/>
      <c r="BE45" s="302"/>
      <c r="BF45" s="302"/>
      <c r="BG45" s="303"/>
      <c r="BH45" s="301"/>
      <c r="BI45" s="302"/>
      <c r="BJ45" s="302"/>
      <c r="BK45" s="303"/>
      <c r="BL45" s="301"/>
      <c r="BM45" s="302"/>
      <c r="BN45" s="302"/>
      <c r="BO45" s="303"/>
      <c r="BP45" s="301"/>
      <c r="BQ45" s="302"/>
      <c r="BR45" s="302"/>
      <c r="BS45" s="303"/>
      <c r="BT45" s="133">
        <v>3</v>
      </c>
      <c r="BU45" s="133">
        <v>4</v>
      </c>
      <c r="BV45" s="133">
        <v>1</v>
      </c>
      <c r="BW45" s="133">
        <v>3</v>
      </c>
      <c r="BX45" s="133">
        <v>2</v>
      </c>
      <c r="BY45" s="307"/>
      <c r="CE45" s="131">
        <v>9</v>
      </c>
    </row>
    <row r="46" spans="2:83" ht="30" customHeight="1" x14ac:dyDescent="0.15">
      <c r="B46" s="131">
        <v>10</v>
      </c>
      <c r="C46" s="132"/>
      <c r="D46" s="182"/>
      <c r="E46" s="182" t="str">
        <f t="shared" si="1"/>
        <v/>
      </c>
      <c r="F46" s="300" t="str">
        <f>'S05 Req Weights'!A12</f>
        <v>Smartphone connectivity</v>
      </c>
      <c r="G46" s="300"/>
      <c r="H46" s="301"/>
      <c r="I46" s="302"/>
      <c r="J46" s="302"/>
      <c r="K46" s="303"/>
      <c r="L46" s="301"/>
      <c r="M46" s="302"/>
      <c r="N46" s="302"/>
      <c r="O46" s="303"/>
      <c r="P46" s="301"/>
      <c r="Q46" s="302"/>
      <c r="R46" s="302"/>
      <c r="S46" s="303"/>
      <c r="T46" s="301"/>
      <c r="U46" s="302"/>
      <c r="V46" s="302"/>
      <c r="W46" s="303"/>
      <c r="X46" s="301"/>
      <c r="Y46" s="302"/>
      <c r="Z46" s="302"/>
      <c r="AA46" s="303"/>
      <c r="AB46" s="301"/>
      <c r="AC46" s="302"/>
      <c r="AD46" s="302"/>
      <c r="AE46" s="303"/>
      <c r="AF46" s="301"/>
      <c r="AG46" s="302"/>
      <c r="AH46" s="302"/>
      <c r="AI46" s="303"/>
      <c r="AJ46" s="301"/>
      <c r="AK46" s="302"/>
      <c r="AL46" s="302"/>
      <c r="AM46" s="303"/>
      <c r="AN46" s="301"/>
      <c r="AO46" s="302"/>
      <c r="AP46" s="302"/>
      <c r="AQ46" s="303"/>
      <c r="AR46" s="301"/>
      <c r="AS46" s="302"/>
      <c r="AT46" s="302"/>
      <c r="AU46" s="303"/>
      <c r="AV46" s="301"/>
      <c r="AW46" s="302"/>
      <c r="AX46" s="302"/>
      <c r="AY46" s="303"/>
      <c r="AZ46" s="301"/>
      <c r="BA46" s="302"/>
      <c r="BB46" s="302"/>
      <c r="BC46" s="303"/>
      <c r="BD46" s="301"/>
      <c r="BE46" s="302"/>
      <c r="BF46" s="302"/>
      <c r="BG46" s="303"/>
      <c r="BH46" s="301"/>
      <c r="BI46" s="302"/>
      <c r="BJ46" s="302"/>
      <c r="BK46" s="303"/>
      <c r="BL46" s="301"/>
      <c r="BM46" s="302"/>
      <c r="BN46" s="302"/>
      <c r="BO46" s="303"/>
      <c r="BP46" s="301"/>
      <c r="BQ46" s="302"/>
      <c r="BR46" s="302"/>
      <c r="BS46" s="303"/>
      <c r="BT46" s="133">
        <v>2</v>
      </c>
      <c r="BU46" s="133">
        <v>4</v>
      </c>
      <c r="BV46" s="133">
        <v>3</v>
      </c>
      <c r="BW46" s="133">
        <v>1</v>
      </c>
      <c r="BX46" s="133">
        <v>3</v>
      </c>
      <c r="BY46" s="307"/>
      <c r="CE46" s="131">
        <v>10</v>
      </c>
    </row>
    <row r="47" spans="2:83" ht="30" customHeight="1" x14ac:dyDescent="0.15">
      <c r="B47" s="131">
        <v>11</v>
      </c>
      <c r="C47" s="132"/>
      <c r="D47" s="182"/>
      <c r="E47" s="182" t="str">
        <f t="shared" si="1"/>
        <v/>
      </c>
      <c r="F47" s="300" t="str">
        <f>'S05 Req Weights'!A13</f>
        <v>GPS tracking</v>
      </c>
      <c r="G47" s="300"/>
      <c r="H47" s="301"/>
      <c r="I47" s="302"/>
      <c r="J47" s="302"/>
      <c r="K47" s="303"/>
      <c r="L47" s="301"/>
      <c r="M47" s="302"/>
      <c r="N47" s="302"/>
      <c r="O47" s="303"/>
      <c r="P47" s="301"/>
      <c r="Q47" s="302"/>
      <c r="R47" s="302"/>
      <c r="S47" s="303"/>
      <c r="T47" s="301"/>
      <c r="U47" s="302"/>
      <c r="V47" s="302"/>
      <c r="W47" s="303"/>
      <c r="X47" s="301"/>
      <c r="Y47" s="302"/>
      <c r="Z47" s="302"/>
      <c r="AA47" s="303"/>
      <c r="AB47" s="301"/>
      <c r="AC47" s="302"/>
      <c r="AD47" s="302"/>
      <c r="AE47" s="303"/>
      <c r="AF47" s="301"/>
      <c r="AG47" s="302"/>
      <c r="AH47" s="302"/>
      <c r="AI47" s="303"/>
      <c r="AJ47" s="301"/>
      <c r="AK47" s="302"/>
      <c r="AL47" s="302"/>
      <c r="AM47" s="303"/>
      <c r="AN47" s="301"/>
      <c r="AO47" s="302"/>
      <c r="AP47" s="302"/>
      <c r="AQ47" s="303"/>
      <c r="AR47" s="301"/>
      <c r="AS47" s="302"/>
      <c r="AT47" s="302"/>
      <c r="AU47" s="303"/>
      <c r="AV47" s="301"/>
      <c r="AW47" s="302"/>
      <c r="AX47" s="302"/>
      <c r="AY47" s="303"/>
      <c r="AZ47" s="301"/>
      <c r="BA47" s="302"/>
      <c r="BB47" s="302"/>
      <c r="BC47" s="303"/>
      <c r="BD47" s="301"/>
      <c r="BE47" s="302"/>
      <c r="BF47" s="302"/>
      <c r="BG47" s="303"/>
      <c r="BH47" s="301"/>
      <c r="BI47" s="302"/>
      <c r="BJ47" s="302"/>
      <c r="BK47" s="303"/>
      <c r="BL47" s="301"/>
      <c r="BM47" s="302"/>
      <c r="BN47" s="302"/>
      <c r="BO47" s="303"/>
      <c r="BP47" s="301"/>
      <c r="BQ47" s="302"/>
      <c r="BR47" s="302"/>
      <c r="BS47" s="303"/>
      <c r="BT47" s="133">
        <v>4</v>
      </c>
      <c r="BU47" s="133">
        <v>2</v>
      </c>
      <c r="BV47" s="133">
        <v>4</v>
      </c>
      <c r="BW47" s="133">
        <v>4</v>
      </c>
      <c r="BX47" s="133">
        <v>1</v>
      </c>
      <c r="BY47" s="307"/>
      <c r="CE47" s="131">
        <v>11</v>
      </c>
    </row>
    <row r="48" spans="2:83" ht="30" customHeight="1" x14ac:dyDescent="0.15">
      <c r="B48" s="131">
        <v>12</v>
      </c>
      <c r="C48" s="132"/>
      <c r="D48" s="182"/>
      <c r="E48" s="182" t="str">
        <f t="shared" si="1"/>
        <v/>
      </c>
      <c r="F48" s="300" t="str">
        <f>'S05 Req Weights'!A14</f>
        <v>Basket</v>
      </c>
      <c r="G48" s="300"/>
      <c r="H48" s="301"/>
      <c r="I48" s="302"/>
      <c r="J48" s="302"/>
      <c r="K48" s="303"/>
      <c r="L48" s="301"/>
      <c r="M48" s="302"/>
      <c r="N48" s="302"/>
      <c r="O48" s="303"/>
      <c r="P48" s="301"/>
      <c r="Q48" s="302"/>
      <c r="R48" s="302"/>
      <c r="S48" s="303"/>
      <c r="T48" s="301"/>
      <c r="U48" s="302"/>
      <c r="V48" s="302"/>
      <c r="W48" s="303"/>
      <c r="X48" s="301"/>
      <c r="Y48" s="302"/>
      <c r="Z48" s="302"/>
      <c r="AA48" s="303"/>
      <c r="AB48" s="301"/>
      <c r="AC48" s="302"/>
      <c r="AD48" s="302"/>
      <c r="AE48" s="303"/>
      <c r="AF48" s="301"/>
      <c r="AG48" s="302"/>
      <c r="AH48" s="302"/>
      <c r="AI48" s="303"/>
      <c r="AJ48" s="301"/>
      <c r="AK48" s="302"/>
      <c r="AL48" s="302"/>
      <c r="AM48" s="303"/>
      <c r="AN48" s="301"/>
      <c r="AO48" s="302"/>
      <c r="AP48" s="302"/>
      <c r="AQ48" s="303"/>
      <c r="AR48" s="301"/>
      <c r="AS48" s="302"/>
      <c r="AT48" s="302"/>
      <c r="AU48" s="303"/>
      <c r="AV48" s="301"/>
      <c r="AW48" s="302"/>
      <c r="AX48" s="302"/>
      <c r="AY48" s="303"/>
      <c r="AZ48" s="301"/>
      <c r="BA48" s="302"/>
      <c r="BB48" s="302"/>
      <c r="BC48" s="303"/>
      <c r="BD48" s="301"/>
      <c r="BE48" s="302"/>
      <c r="BF48" s="302"/>
      <c r="BG48" s="303"/>
      <c r="BH48" s="301"/>
      <c r="BI48" s="302"/>
      <c r="BJ48" s="302"/>
      <c r="BK48" s="303"/>
      <c r="BL48" s="301"/>
      <c r="BM48" s="302"/>
      <c r="BN48" s="302"/>
      <c r="BO48" s="303"/>
      <c r="BP48" s="301"/>
      <c r="BQ48" s="302"/>
      <c r="BR48" s="302"/>
      <c r="BS48" s="303"/>
      <c r="BT48" s="133">
        <v>5</v>
      </c>
      <c r="BU48" s="133">
        <v>1</v>
      </c>
      <c r="BV48" s="133">
        <v>5</v>
      </c>
      <c r="BW48" s="133">
        <v>2</v>
      </c>
      <c r="BX48" s="133">
        <v>2</v>
      </c>
      <c r="BY48" s="307"/>
      <c r="CE48" s="131">
        <v>12</v>
      </c>
    </row>
    <row r="49" spans="2:83" ht="30" customHeight="1" x14ac:dyDescent="0.15">
      <c r="B49" s="131">
        <v>13</v>
      </c>
      <c r="C49" s="132"/>
      <c r="D49" s="182"/>
      <c r="E49" s="182" t="str">
        <f t="shared" si="1"/>
        <v/>
      </c>
      <c r="F49" s="300" t="str">
        <f>'S05 Req Weights'!A15</f>
        <v>Gear system</v>
      </c>
      <c r="G49" s="300"/>
      <c r="H49" s="301"/>
      <c r="I49" s="302"/>
      <c r="J49" s="302"/>
      <c r="K49" s="303"/>
      <c r="L49" s="301"/>
      <c r="M49" s="302"/>
      <c r="N49" s="302"/>
      <c r="O49" s="303"/>
      <c r="P49" s="301"/>
      <c r="Q49" s="302"/>
      <c r="R49" s="302"/>
      <c r="S49" s="303"/>
      <c r="T49" s="301"/>
      <c r="U49" s="302"/>
      <c r="V49" s="302"/>
      <c r="W49" s="303"/>
      <c r="X49" s="301"/>
      <c r="Y49" s="302"/>
      <c r="Z49" s="302"/>
      <c r="AA49" s="303"/>
      <c r="AB49" s="301"/>
      <c r="AC49" s="302"/>
      <c r="AD49" s="302"/>
      <c r="AE49" s="303"/>
      <c r="AF49" s="301"/>
      <c r="AG49" s="302"/>
      <c r="AH49" s="302"/>
      <c r="AI49" s="303"/>
      <c r="AJ49" s="301"/>
      <c r="AK49" s="302"/>
      <c r="AL49" s="302"/>
      <c r="AM49" s="303"/>
      <c r="AN49" s="301"/>
      <c r="AO49" s="302"/>
      <c r="AP49" s="302"/>
      <c r="AQ49" s="303"/>
      <c r="AR49" s="301"/>
      <c r="AS49" s="302"/>
      <c r="AT49" s="302"/>
      <c r="AU49" s="303"/>
      <c r="AV49" s="301"/>
      <c r="AW49" s="302"/>
      <c r="AX49" s="302"/>
      <c r="AY49" s="303"/>
      <c r="AZ49" s="301"/>
      <c r="BA49" s="302"/>
      <c r="BB49" s="302"/>
      <c r="BC49" s="303"/>
      <c r="BD49" s="301"/>
      <c r="BE49" s="302"/>
      <c r="BF49" s="302"/>
      <c r="BG49" s="303"/>
      <c r="BH49" s="301"/>
      <c r="BI49" s="302"/>
      <c r="BJ49" s="302"/>
      <c r="BK49" s="303"/>
      <c r="BL49" s="301"/>
      <c r="BM49" s="302"/>
      <c r="BN49" s="302"/>
      <c r="BO49" s="303"/>
      <c r="BP49" s="301"/>
      <c r="BQ49" s="302"/>
      <c r="BR49" s="302"/>
      <c r="BS49" s="303"/>
      <c r="BT49" s="133">
        <v>3</v>
      </c>
      <c r="BU49" s="133">
        <v>2</v>
      </c>
      <c r="BV49" s="133">
        <v>5</v>
      </c>
      <c r="BW49" s="133">
        <v>1</v>
      </c>
      <c r="BX49" s="133">
        <v>1</v>
      </c>
      <c r="BY49" s="307"/>
      <c r="CE49" s="131">
        <v>13</v>
      </c>
    </row>
    <row r="50" spans="2:83" ht="30" customHeight="1" x14ac:dyDescent="0.15">
      <c r="B50" s="131">
        <v>14</v>
      </c>
      <c r="C50" s="132"/>
      <c r="D50" s="182"/>
      <c r="E50" s="182" t="str">
        <f t="shared" si="1"/>
        <v/>
      </c>
      <c r="F50" s="300" t="str">
        <f>'S05 Req Weights'!A16</f>
        <v>Break system</v>
      </c>
      <c r="G50" s="300"/>
      <c r="H50" s="301"/>
      <c r="I50" s="302"/>
      <c r="J50" s="302"/>
      <c r="K50" s="303"/>
      <c r="L50" s="301"/>
      <c r="M50" s="302"/>
      <c r="N50" s="302"/>
      <c r="O50" s="303"/>
      <c r="P50" s="301"/>
      <c r="Q50" s="302"/>
      <c r="R50" s="302"/>
      <c r="S50" s="303"/>
      <c r="T50" s="301"/>
      <c r="U50" s="302"/>
      <c r="V50" s="302"/>
      <c r="W50" s="303"/>
      <c r="X50" s="301"/>
      <c r="Y50" s="302"/>
      <c r="Z50" s="302"/>
      <c r="AA50" s="303"/>
      <c r="AB50" s="301"/>
      <c r="AC50" s="302"/>
      <c r="AD50" s="302"/>
      <c r="AE50" s="303"/>
      <c r="AF50" s="301"/>
      <c r="AG50" s="302"/>
      <c r="AH50" s="302"/>
      <c r="AI50" s="303"/>
      <c r="AJ50" s="301"/>
      <c r="AK50" s="302"/>
      <c r="AL50" s="302"/>
      <c r="AM50" s="303"/>
      <c r="AN50" s="301"/>
      <c r="AO50" s="302"/>
      <c r="AP50" s="302"/>
      <c r="AQ50" s="303"/>
      <c r="AR50" s="301"/>
      <c r="AS50" s="302"/>
      <c r="AT50" s="302"/>
      <c r="AU50" s="303"/>
      <c r="AV50" s="301"/>
      <c r="AW50" s="302"/>
      <c r="AX50" s="302"/>
      <c r="AY50" s="303"/>
      <c r="AZ50" s="301"/>
      <c r="BA50" s="302"/>
      <c r="BB50" s="302"/>
      <c r="BC50" s="303"/>
      <c r="BD50" s="301"/>
      <c r="BE50" s="302"/>
      <c r="BF50" s="302"/>
      <c r="BG50" s="303"/>
      <c r="BH50" s="301"/>
      <c r="BI50" s="302"/>
      <c r="BJ50" s="302"/>
      <c r="BK50" s="303"/>
      <c r="BL50" s="301"/>
      <c r="BM50" s="302"/>
      <c r="BN50" s="302"/>
      <c r="BO50" s="303"/>
      <c r="BP50" s="301"/>
      <c r="BQ50" s="302"/>
      <c r="BR50" s="302"/>
      <c r="BS50" s="303"/>
      <c r="BT50" s="133">
        <v>5</v>
      </c>
      <c r="BU50" s="133">
        <v>2</v>
      </c>
      <c r="BV50" s="133">
        <v>4</v>
      </c>
      <c r="BW50" s="133">
        <v>2</v>
      </c>
      <c r="BX50" s="133">
        <v>2</v>
      </c>
      <c r="BY50" s="307"/>
      <c r="CE50" s="131">
        <v>14</v>
      </c>
    </row>
    <row r="51" spans="2:83" ht="30" customHeight="1" x14ac:dyDescent="0.15">
      <c r="B51" s="131">
        <v>15</v>
      </c>
      <c r="C51" s="132"/>
      <c r="D51" s="182"/>
      <c r="E51" s="182" t="str">
        <f t="shared" si="1"/>
        <v/>
      </c>
      <c r="F51" s="300" t="str">
        <f>'S05 Req Weights'!A17</f>
        <v>Different colors</v>
      </c>
      <c r="G51" s="300"/>
      <c r="H51" s="301"/>
      <c r="I51" s="302"/>
      <c r="J51" s="302"/>
      <c r="K51" s="303"/>
      <c r="L51" s="301"/>
      <c r="M51" s="302"/>
      <c r="N51" s="302"/>
      <c r="O51" s="303"/>
      <c r="P51" s="301"/>
      <c r="Q51" s="302"/>
      <c r="R51" s="302"/>
      <c r="S51" s="303"/>
      <c r="T51" s="301"/>
      <c r="U51" s="302"/>
      <c r="V51" s="302"/>
      <c r="W51" s="303"/>
      <c r="X51" s="301"/>
      <c r="Y51" s="302"/>
      <c r="Z51" s="302"/>
      <c r="AA51" s="303"/>
      <c r="AB51" s="301"/>
      <c r="AC51" s="302"/>
      <c r="AD51" s="302"/>
      <c r="AE51" s="303"/>
      <c r="AF51" s="301"/>
      <c r="AG51" s="302"/>
      <c r="AH51" s="302"/>
      <c r="AI51" s="303"/>
      <c r="AJ51" s="301"/>
      <c r="AK51" s="302"/>
      <c r="AL51" s="302"/>
      <c r="AM51" s="303"/>
      <c r="AN51" s="301"/>
      <c r="AO51" s="302"/>
      <c r="AP51" s="302"/>
      <c r="AQ51" s="303"/>
      <c r="AR51" s="301"/>
      <c r="AS51" s="302"/>
      <c r="AT51" s="302"/>
      <c r="AU51" s="303"/>
      <c r="AV51" s="301"/>
      <c r="AW51" s="302"/>
      <c r="AX51" s="302"/>
      <c r="AY51" s="303"/>
      <c r="AZ51" s="301"/>
      <c r="BA51" s="302"/>
      <c r="BB51" s="302"/>
      <c r="BC51" s="303"/>
      <c r="BD51" s="301"/>
      <c r="BE51" s="302"/>
      <c r="BF51" s="302"/>
      <c r="BG51" s="303"/>
      <c r="BH51" s="301"/>
      <c r="BI51" s="302"/>
      <c r="BJ51" s="302"/>
      <c r="BK51" s="303"/>
      <c r="BL51" s="301"/>
      <c r="BM51" s="302"/>
      <c r="BN51" s="302"/>
      <c r="BO51" s="303"/>
      <c r="BP51" s="301"/>
      <c r="BQ51" s="302"/>
      <c r="BR51" s="302"/>
      <c r="BS51" s="303"/>
      <c r="BT51" s="133">
        <v>3</v>
      </c>
      <c r="BU51" s="133">
        <v>3</v>
      </c>
      <c r="BV51" s="133">
        <v>2</v>
      </c>
      <c r="BW51" s="133">
        <v>3</v>
      </c>
      <c r="BX51" s="133">
        <v>2</v>
      </c>
      <c r="BY51" s="307"/>
      <c r="CE51" s="131">
        <v>15</v>
      </c>
    </row>
    <row r="52" spans="2:83" ht="30" customHeight="1" x14ac:dyDescent="0.15">
      <c r="B52" s="131">
        <v>16</v>
      </c>
      <c r="C52" s="132"/>
      <c r="D52" s="182"/>
      <c r="E52" s="182" t="str">
        <f t="shared" si="1"/>
        <v/>
      </c>
      <c r="F52" s="300" t="str">
        <f>'S05 Req Weights'!A18</f>
        <v>Custom design</v>
      </c>
      <c r="G52" s="300"/>
      <c r="H52" s="301"/>
      <c r="I52" s="302"/>
      <c r="J52" s="302"/>
      <c r="K52" s="303"/>
      <c r="L52" s="301"/>
      <c r="M52" s="302"/>
      <c r="N52" s="302"/>
      <c r="O52" s="303"/>
      <c r="P52" s="301"/>
      <c r="Q52" s="302"/>
      <c r="R52" s="302"/>
      <c r="S52" s="303"/>
      <c r="T52" s="301"/>
      <c r="U52" s="302"/>
      <c r="V52" s="302"/>
      <c r="W52" s="303"/>
      <c r="X52" s="301"/>
      <c r="Y52" s="302"/>
      <c r="Z52" s="302"/>
      <c r="AA52" s="303"/>
      <c r="AB52" s="301"/>
      <c r="AC52" s="302"/>
      <c r="AD52" s="302"/>
      <c r="AE52" s="303"/>
      <c r="AF52" s="301"/>
      <c r="AG52" s="302"/>
      <c r="AH52" s="302"/>
      <c r="AI52" s="303"/>
      <c r="AJ52" s="301"/>
      <c r="AK52" s="302"/>
      <c r="AL52" s="302"/>
      <c r="AM52" s="303"/>
      <c r="AN52" s="301"/>
      <c r="AO52" s="302"/>
      <c r="AP52" s="302"/>
      <c r="AQ52" s="303"/>
      <c r="AR52" s="301"/>
      <c r="AS52" s="302"/>
      <c r="AT52" s="302"/>
      <c r="AU52" s="303"/>
      <c r="AV52" s="301"/>
      <c r="AW52" s="302"/>
      <c r="AX52" s="302"/>
      <c r="AY52" s="303"/>
      <c r="AZ52" s="301"/>
      <c r="BA52" s="302"/>
      <c r="BB52" s="302"/>
      <c r="BC52" s="303"/>
      <c r="BD52" s="301"/>
      <c r="BE52" s="302"/>
      <c r="BF52" s="302"/>
      <c r="BG52" s="303"/>
      <c r="BH52" s="301"/>
      <c r="BI52" s="302"/>
      <c r="BJ52" s="302"/>
      <c r="BK52" s="303"/>
      <c r="BL52" s="301"/>
      <c r="BM52" s="302"/>
      <c r="BN52" s="302"/>
      <c r="BO52" s="303"/>
      <c r="BP52" s="301"/>
      <c r="BQ52" s="302"/>
      <c r="BR52" s="302"/>
      <c r="BS52" s="303"/>
      <c r="BT52" s="133">
        <v>3</v>
      </c>
      <c r="BU52" s="133">
        <v>4</v>
      </c>
      <c r="BV52" s="133">
        <v>1</v>
      </c>
      <c r="BW52" s="133">
        <v>4</v>
      </c>
      <c r="BX52" s="133">
        <v>2</v>
      </c>
      <c r="BY52" s="307"/>
      <c r="CE52" s="131">
        <v>16</v>
      </c>
    </row>
    <row r="53" spans="2:83" ht="129.75" customHeight="1" x14ac:dyDescent="0.25">
      <c r="F53" s="315" t="s">
        <v>810</v>
      </c>
      <c r="G53" s="315"/>
      <c r="H53" s="308" t="s">
        <v>926</v>
      </c>
      <c r="I53" s="309"/>
      <c r="J53" s="309"/>
      <c r="K53" s="310"/>
      <c r="L53" s="308" t="s">
        <v>927</v>
      </c>
      <c r="M53" s="309"/>
      <c r="N53" s="309"/>
      <c r="O53" s="310"/>
      <c r="P53" s="308" t="s">
        <v>928</v>
      </c>
      <c r="Q53" s="309"/>
      <c r="R53" s="309"/>
      <c r="S53" s="310"/>
      <c r="T53" s="308" t="s">
        <v>929</v>
      </c>
      <c r="U53" s="309"/>
      <c r="V53" s="309"/>
      <c r="W53" s="310"/>
      <c r="X53" s="308" t="s">
        <v>930</v>
      </c>
      <c r="Y53" s="309"/>
      <c r="Z53" s="309"/>
      <c r="AA53" s="310"/>
      <c r="AB53" s="314">
        <v>0.6</v>
      </c>
      <c r="AC53" s="309"/>
      <c r="AD53" s="309"/>
      <c r="AE53" s="310"/>
      <c r="AF53" s="308" t="s">
        <v>940</v>
      </c>
      <c r="AG53" s="309"/>
      <c r="AH53" s="309"/>
      <c r="AI53" s="310"/>
      <c r="AJ53" s="308"/>
      <c r="AK53" s="309"/>
      <c r="AL53" s="309"/>
      <c r="AM53" s="310"/>
      <c r="AN53" s="308"/>
      <c r="AO53" s="309"/>
      <c r="AP53" s="309"/>
      <c r="AQ53" s="310"/>
      <c r="AR53" s="308"/>
      <c r="AS53" s="309"/>
      <c r="AT53" s="309"/>
      <c r="AU53" s="310"/>
      <c r="AV53" s="308"/>
      <c r="AW53" s="309"/>
      <c r="AX53" s="309"/>
      <c r="AY53" s="310"/>
      <c r="AZ53" s="308"/>
      <c r="BA53" s="309"/>
      <c r="BB53" s="309"/>
      <c r="BC53" s="310"/>
      <c r="BD53" s="308"/>
      <c r="BE53" s="309"/>
      <c r="BF53" s="309"/>
      <c r="BG53" s="310"/>
      <c r="BH53" s="308"/>
      <c r="BI53" s="309"/>
      <c r="BJ53" s="309"/>
      <c r="BK53" s="310"/>
      <c r="BL53" s="308"/>
      <c r="BM53" s="309"/>
      <c r="BN53" s="309"/>
      <c r="BO53" s="310"/>
      <c r="BP53" s="308"/>
      <c r="BQ53" s="309"/>
      <c r="BR53" s="309"/>
      <c r="BS53" s="310"/>
    </row>
    <row r="54" spans="2:83" s="134" customFormat="1" ht="18.75" customHeight="1" x14ac:dyDescent="0.15">
      <c r="F54" s="276" t="s">
        <v>811</v>
      </c>
      <c r="G54" s="276"/>
      <c r="H54" s="311">
        <f>IF(COUNTIF(H37:H52,"●"),9,IF(COUNTIF(H37:H52,"○"),3,IF(COUNTIF(H37:H52,"▽"),1,"")))</f>
        <v>9</v>
      </c>
      <c r="I54" s="312"/>
      <c r="J54" s="312"/>
      <c r="K54" s="313"/>
      <c r="L54" s="311">
        <f>IF(COUNTIF(L37:L52,"●"),9,IF(COUNTIF(L37:L52,"○"),3,IF(COUNTIF(L37:L52,"▽"),1,"")))</f>
        <v>9</v>
      </c>
      <c r="M54" s="312"/>
      <c r="N54" s="312"/>
      <c r="O54" s="313"/>
      <c r="P54" s="311">
        <f>IF(COUNTIF(P37:P52,"●"),9,IF(COUNTIF(P37:P52,"○"),3,IF(COUNTIF(P37:P52,"▽"),1,"")))</f>
        <v>9</v>
      </c>
      <c r="Q54" s="312"/>
      <c r="R54" s="312"/>
      <c r="S54" s="313"/>
      <c r="T54" s="311">
        <f>IF(COUNTIF(T37:T52,"●"),9,IF(COUNTIF(T37:T52,"○"),3,IF(COUNTIF(T37:T52,"▽"),1,"")))</f>
        <v>9</v>
      </c>
      <c r="U54" s="312"/>
      <c r="V54" s="312"/>
      <c r="W54" s="313"/>
      <c r="X54" s="311">
        <f>IF(COUNTIF(X37:X52,"●"),9,IF(COUNTIF(X37:X52,"○"),3,IF(COUNTIF(X37:X52,"▽"),1,"")))</f>
        <v>9</v>
      </c>
      <c r="Y54" s="312"/>
      <c r="Z54" s="312"/>
      <c r="AA54" s="313"/>
      <c r="AB54" s="311">
        <f>IF(COUNTIF(AB37:AB52,"●"),9,IF(COUNTIF(AB37:AB52,"○"),3,IF(COUNTIF(AB37:AB52,"▽"),1,"")))</f>
        <v>9</v>
      </c>
      <c r="AC54" s="312"/>
      <c r="AD54" s="312"/>
      <c r="AE54" s="313"/>
      <c r="AF54" s="311">
        <f>IF(COUNTIF(AF37:AF52,"●"),9,IF(COUNTIF(AF37:AF52,"○"),3,IF(COUNTIF(AF37:AF52,"▽"),1,"")))</f>
        <v>1</v>
      </c>
      <c r="AG54" s="312"/>
      <c r="AH54" s="312"/>
      <c r="AI54" s="313"/>
      <c r="AJ54" s="311" t="str">
        <f>IF(COUNTIF(AJ37:AJ52,"●"),9,IF(COUNTIF(AJ37:AJ52,"○"),3,IF(COUNTIF(AJ37:AJ52,"▽"),1,"")))</f>
        <v/>
      </c>
      <c r="AK54" s="312"/>
      <c r="AL54" s="312"/>
      <c r="AM54" s="313"/>
      <c r="AN54" s="311" t="str">
        <f>IF(COUNTIF(AN37:AN52,"●"),9,IF(COUNTIF(AN37:AN52,"○"),3,IF(COUNTIF(AN37:AN52,"▽"),1,"")))</f>
        <v/>
      </c>
      <c r="AO54" s="312"/>
      <c r="AP54" s="312"/>
      <c r="AQ54" s="313"/>
      <c r="AR54" s="311" t="str">
        <f>IF(COUNTIF(AR37:AR52,"●"),9,IF(COUNTIF(AR37:AR52,"○"),3,IF(COUNTIF(AR37:AR52,"▽"),1,"")))</f>
        <v/>
      </c>
      <c r="AS54" s="312"/>
      <c r="AT54" s="312"/>
      <c r="AU54" s="313"/>
      <c r="AV54" s="311" t="str">
        <f>IF(COUNTIF(AV37:AV52,"●"),9,IF(COUNTIF(AV37:AV52,"○"),3,IF(COUNTIF(AV37:AV52,"▽"),1,"")))</f>
        <v/>
      </c>
      <c r="AW54" s="312"/>
      <c r="AX54" s="312"/>
      <c r="AY54" s="313"/>
      <c r="AZ54" s="311" t="str">
        <f>IF(COUNTIF(AZ37:AZ52,"●"),9,IF(COUNTIF(AZ37:AZ52,"○"),3,IF(COUNTIF(AZ37:AZ52,"▽"),1,"")))</f>
        <v/>
      </c>
      <c r="BA54" s="312"/>
      <c r="BB54" s="312"/>
      <c r="BC54" s="313"/>
      <c r="BD54" s="311" t="str">
        <f>IF(COUNTIF(BD37:BD52,"●"),9,IF(COUNTIF(BD37:BD52,"○"),3,IF(COUNTIF(BD37:BD52,"▽"),1,"")))</f>
        <v/>
      </c>
      <c r="BE54" s="312"/>
      <c r="BF54" s="312"/>
      <c r="BG54" s="313"/>
      <c r="BH54" s="311" t="str">
        <f>IF(COUNTIF(BH37:BH52,"●"),9,IF(COUNTIF(BH37:BH52,"○"),3,IF(COUNTIF(BH37:BH52,"▽"),1,"")))</f>
        <v/>
      </c>
      <c r="BI54" s="312"/>
      <c r="BJ54" s="312"/>
      <c r="BK54" s="313"/>
      <c r="BL54" s="311" t="str">
        <f>IF(COUNTIF(BL37:BL52,"●"),9,IF(COUNTIF(BL37:BL52,"○"),3,IF(COUNTIF(BL37:BL52,"▽"),1,"")))</f>
        <v/>
      </c>
      <c r="BM54" s="312"/>
      <c r="BN54" s="312"/>
      <c r="BO54" s="313"/>
      <c r="BP54" s="311" t="str">
        <f>IF(COUNTIF(BP37:BP52,"●"),9,IF(COUNTIF(BP37:BP52,"○"),3,IF(COUNTIF(BP37:BP52,"▽"),1,"")))</f>
        <v/>
      </c>
      <c r="BQ54" s="312"/>
      <c r="BR54" s="312"/>
      <c r="BS54" s="313"/>
    </row>
    <row r="55" spans="2:83" s="134" customFormat="1" ht="18.75" customHeight="1" x14ac:dyDescent="0.15">
      <c r="F55" s="276" t="s">
        <v>812</v>
      </c>
      <c r="G55" s="276"/>
      <c r="H55" s="316">
        <f ca="1">100*SUM(SUMIF(H37:K52, $D$20, $D$37:$D$52)*1, SUMIF(H37:K52, $D$18, $D$37:$D$52)*3, SUMIF(H37:K52, $D$16, $D$37:$D$52)*9)</f>
        <v>218.33333333333331</v>
      </c>
      <c r="I55" s="317"/>
      <c r="J55" s="317"/>
      <c r="K55" s="318"/>
      <c r="L55" s="316">
        <f t="shared" ref="L55" ca="1" si="2">100*SUM(SUMIF(L37:O52, $D$20, $D$37:$D$52)*1, SUMIF(L37:O52, $D$18, $D$37:$D$52)*3, SUMIF(L37:O52, $D$16, $D$37:$D$52)*9)</f>
        <v>398.33333333333331</v>
      </c>
      <c r="M55" s="317"/>
      <c r="N55" s="317"/>
      <c r="O55" s="318"/>
      <c r="P55" s="316">
        <f t="shared" ref="P55" ca="1" si="3">100*SUM(SUMIF(P37:S52, $D$20, $D$37:$D$52)*1, SUMIF(P37:S52, $D$18, $D$37:$D$52)*3, SUMIF(P37:S52, $D$16, $D$37:$D$52)*9)</f>
        <v>105</v>
      </c>
      <c r="Q55" s="317"/>
      <c r="R55" s="317"/>
      <c r="S55" s="318"/>
      <c r="T55" s="316">
        <f t="shared" ref="T55" ca="1" si="4">100*SUM(SUMIF(T37:W52, $D$20, $D$37:$D$52)*1, SUMIF(T37:W52, $D$18, $D$37:$D$52)*3, SUMIF(T37:W52, $D$16, $D$37:$D$52)*9)</f>
        <v>273.33333333333331</v>
      </c>
      <c r="U55" s="317"/>
      <c r="V55" s="317"/>
      <c r="W55" s="318"/>
      <c r="X55" s="316">
        <f t="shared" ref="X55" ca="1" si="5">100*SUM(SUMIF(X37:AA52, $D$20, $D$37:$D$52)*1, SUMIF(X37:AA52, $D$18, $D$37:$D$52)*3, SUMIF(X37:AA52, $D$16, $D$37:$D$52)*9)</f>
        <v>210</v>
      </c>
      <c r="Y55" s="317"/>
      <c r="Z55" s="317"/>
      <c r="AA55" s="318"/>
      <c r="AB55" s="316">
        <f t="shared" ref="AB55" ca="1" si="6">100*SUM(SUMIF(AB37:AE52, $D$20, $D$37:$D$52)*1, SUMIF(AB37:AE52, $D$18, $D$37:$D$52)*3, SUMIF(AB37:AE52, $D$16, $D$37:$D$52)*9)</f>
        <v>253.33333333333331</v>
      </c>
      <c r="AC55" s="317"/>
      <c r="AD55" s="317"/>
      <c r="AE55" s="318"/>
      <c r="AF55" s="316">
        <f t="shared" ref="AF55" ca="1" si="7">100*SUM(SUMIF(AF37:AI52, $D$20, $D$37:$D$52)*1, SUMIF(AF37:AI52, $D$18, $D$37:$D$52)*3, SUMIF(AF37:AI52, $D$16, $D$37:$D$52)*9)</f>
        <v>10</v>
      </c>
      <c r="AG55" s="317"/>
      <c r="AH55" s="317"/>
      <c r="AI55" s="318"/>
      <c r="AJ55" s="316"/>
      <c r="AK55" s="317"/>
      <c r="AL55" s="317"/>
      <c r="AM55" s="318"/>
      <c r="AN55" s="316"/>
      <c r="AO55" s="317"/>
      <c r="AP55" s="317"/>
      <c r="AQ55" s="318"/>
      <c r="AR55" s="316"/>
      <c r="AS55" s="317"/>
      <c r="AT55" s="317"/>
      <c r="AU55" s="318"/>
      <c r="AV55" s="316"/>
      <c r="AW55" s="317"/>
      <c r="AX55" s="317"/>
      <c r="AY55" s="318"/>
      <c r="AZ55" s="316"/>
      <c r="BA55" s="317"/>
      <c r="BB55" s="317"/>
      <c r="BC55" s="318"/>
      <c r="BD55" s="316"/>
      <c r="BE55" s="317"/>
      <c r="BF55" s="317"/>
      <c r="BG55" s="318"/>
      <c r="BH55" s="316"/>
      <c r="BI55" s="317"/>
      <c r="BJ55" s="317"/>
      <c r="BK55" s="318"/>
      <c r="BL55" s="316"/>
      <c r="BM55" s="317"/>
      <c r="BN55" s="317"/>
      <c r="BO55" s="318"/>
      <c r="BP55" s="316"/>
      <c r="BQ55" s="317"/>
      <c r="BR55" s="317"/>
      <c r="BS55" s="318"/>
    </row>
    <row r="56" spans="2:83" s="135" customFormat="1" ht="18.75" customHeight="1" x14ac:dyDescent="0.15">
      <c r="F56" s="319" t="s">
        <v>813</v>
      </c>
      <c r="G56" s="319"/>
      <c r="H56" s="320">
        <f ca="1">H55/SUM($H$55:$BS$55)</f>
        <v>0.14869466515323496</v>
      </c>
      <c r="I56" s="321"/>
      <c r="J56" s="321"/>
      <c r="K56" s="322"/>
      <c r="L56" s="320">
        <f ca="1">L55/SUM($H$55:$BS$55)</f>
        <v>0.27128263337116915</v>
      </c>
      <c r="M56" s="321"/>
      <c r="N56" s="321"/>
      <c r="O56" s="322"/>
      <c r="P56" s="320">
        <f t="shared" ref="P56" ca="1" si="8">P55/SUM($H$55:$BS$55)</f>
        <v>7.1509648127128261E-2</v>
      </c>
      <c r="Q56" s="321"/>
      <c r="R56" s="321"/>
      <c r="S56" s="322"/>
      <c r="T56" s="320">
        <f t="shared" ref="T56" ca="1" si="9">T55/SUM($H$55:$BS$55)</f>
        <v>0.18615209988649262</v>
      </c>
      <c r="U56" s="321"/>
      <c r="V56" s="321"/>
      <c r="W56" s="322"/>
      <c r="X56" s="320">
        <f t="shared" ref="X56" ca="1" si="10">X55/SUM($H$55:$BS$55)</f>
        <v>0.14301929625425652</v>
      </c>
      <c r="Y56" s="321"/>
      <c r="Z56" s="321"/>
      <c r="AA56" s="322"/>
      <c r="AB56" s="320">
        <f t="shared" ref="AB56" ca="1" si="11">AB55/SUM($H$55:$BS$55)</f>
        <v>0.17253121452894438</v>
      </c>
      <c r="AC56" s="321"/>
      <c r="AD56" s="321"/>
      <c r="AE56" s="322"/>
      <c r="AF56" s="320">
        <f t="shared" ref="AF56" ca="1" si="12">AF55/SUM($H$55:$BS$55)</f>
        <v>6.810442678774121E-3</v>
      </c>
      <c r="AG56" s="321"/>
      <c r="AH56" s="321"/>
      <c r="AI56" s="322"/>
      <c r="AJ56" s="320"/>
      <c r="AK56" s="321"/>
      <c r="AL56" s="321"/>
      <c r="AM56" s="322"/>
      <c r="AN56" s="320"/>
      <c r="AO56" s="321"/>
      <c r="AP56" s="321"/>
      <c r="AQ56" s="322"/>
      <c r="AR56" s="320"/>
      <c r="AS56" s="321"/>
      <c r="AT56" s="321"/>
      <c r="AU56" s="322"/>
      <c r="AV56" s="320"/>
      <c r="AW56" s="321"/>
      <c r="AX56" s="321"/>
      <c r="AY56" s="322"/>
      <c r="AZ56" s="320"/>
      <c r="BA56" s="321"/>
      <c r="BB56" s="321"/>
      <c r="BC56" s="322"/>
      <c r="BD56" s="320"/>
      <c r="BE56" s="321"/>
      <c r="BF56" s="321"/>
      <c r="BG56" s="322"/>
      <c r="BH56" s="320"/>
      <c r="BI56" s="321"/>
      <c r="BJ56" s="321"/>
      <c r="BK56" s="322"/>
      <c r="BL56" s="320"/>
      <c r="BM56" s="321"/>
      <c r="BN56" s="321"/>
      <c r="BO56" s="322"/>
      <c r="BP56" s="320"/>
      <c r="BQ56" s="321"/>
      <c r="BR56" s="321"/>
      <c r="BS56" s="322"/>
    </row>
    <row r="57" spans="2:83" ht="75" customHeight="1" x14ac:dyDescent="0.25">
      <c r="F57" s="315" t="s">
        <v>814</v>
      </c>
      <c r="G57" s="315"/>
      <c r="H57" s="323" t="str">
        <f ca="1">REPT("|", H56*100)</f>
        <v>||||||||||||||</v>
      </c>
      <c r="I57" s="324"/>
      <c r="J57" s="324"/>
      <c r="K57" s="325"/>
      <c r="L57" s="323" t="str">
        <f ca="1">REPT("|", L56*100)</f>
        <v>|||||||||||||||||||||||||||</v>
      </c>
      <c r="M57" s="324"/>
      <c r="N57" s="324"/>
      <c r="O57" s="325"/>
      <c r="P57" s="323" t="str">
        <f t="shared" ref="P57" ca="1" si="13">REPT("|", P56*100)</f>
        <v>|||||||</v>
      </c>
      <c r="Q57" s="324"/>
      <c r="R57" s="324"/>
      <c r="S57" s="325"/>
      <c r="T57" s="323" t="str">
        <f t="shared" ref="T57" ca="1" si="14">REPT("|", T56*100)</f>
        <v>||||||||||||||||||</v>
      </c>
      <c r="U57" s="324"/>
      <c r="V57" s="324"/>
      <c r="W57" s="325"/>
      <c r="X57" s="323" t="str">
        <f t="shared" ref="X57" ca="1" si="15">REPT("|", X56*100)</f>
        <v>||||||||||||||</v>
      </c>
      <c r="Y57" s="324"/>
      <c r="Z57" s="324"/>
      <c r="AA57" s="325"/>
      <c r="AB57" s="323" t="str">
        <f t="shared" ref="AB57" ca="1" si="16">REPT("|", AB56*100)</f>
        <v>|||||||||||||||||</v>
      </c>
      <c r="AC57" s="324"/>
      <c r="AD57" s="324"/>
      <c r="AE57" s="325"/>
      <c r="AF57" s="323" t="str">
        <f t="shared" ref="AF57" ca="1" si="17">REPT("|", AF56*100)</f>
        <v/>
      </c>
      <c r="AG57" s="324"/>
      <c r="AH57" s="324"/>
      <c r="AI57" s="325"/>
      <c r="AJ57" s="323"/>
      <c r="AK57" s="324"/>
      <c r="AL57" s="324"/>
      <c r="AM57" s="325"/>
      <c r="AN57" s="323"/>
      <c r="AO57" s="324"/>
      <c r="AP57" s="324"/>
      <c r="AQ57" s="325"/>
      <c r="AR57" s="323"/>
      <c r="AS57" s="324"/>
      <c r="AT57" s="324"/>
      <c r="AU57" s="325"/>
      <c r="AV57" s="323"/>
      <c r="AW57" s="324"/>
      <c r="AX57" s="324"/>
      <c r="AY57" s="325"/>
      <c r="AZ57" s="323"/>
      <c r="BA57" s="324"/>
      <c r="BB57" s="324"/>
      <c r="BC57" s="325"/>
      <c r="BD57" s="323"/>
      <c r="BE57" s="324"/>
      <c r="BF57" s="324"/>
      <c r="BG57" s="325"/>
      <c r="BH57" s="323"/>
      <c r="BI57" s="324"/>
      <c r="BJ57" s="324"/>
      <c r="BK57" s="325"/>
      <c r="BL57" s="323"/>
      <c r="BM57" s="324"/>
      <c r="BN57" s="324"/>
      <c r="BO57" s="325"/>
      <c r="BP57" s="323"/>
      <c r="BQ57" s="324"/>
      <c r="BR57" s="324"/>
      <c r="BS57" s="325"/>
    </row>
  </sheetData>
  <mergeCells count="566">
    <mergeCell ref="BP56:BS56"/>
    <mergeCell ref="X56:AA56"/>
    <mergeCell ref="AB56:AE56"/>
    <mergeCell ref="AF56:AI56"/>
    <mergeCell ref="AJ56:AM56"/>
    <mergeCell ref="AN56:AQ56"/>
    <mergeCell ref="AR56:AU56"/>
    <mergeCell ref="BH57:BK57"/>
    <mergeCell ref="BL57:BO57"/>
    <mergeCell ref="BP57:BS57"/>
    <mergeCell ref="F57:G57"/>
    <mergeCell ref="H57:K57"/>
    <mergeCell ref="L57:O57"/>
    <mergeCell ref="P57:S57"/>
    <mergeCell ref="T57:W57"/>
    <mergeCell ref="X57:AA57"/>
    <mergeCell ref="AV56:AY56"/>
    <mergeCell ref="AZ56:BC56"/>
    <mergeCell ref="BD56:BG56"/>
    <mergeCell ref="AZ57:BC57"/>
    <mergeCell ref="BD57:BG57"/>
    <mergeCell ref="AB57:AE57"/>
    <mergeCell ref="AF57:AI57"/>
    <mergeCell ref="AJ57:AM57"/>
    <mergeCell ref="AN57:AQ57"/>
    <mergeCell ref="AR57:AU57"/>
    <mergeCell ref="AV57:AY57"/>
    <mergeCell ref="AZ55:BC55"/>
    <mergeCell ref="BD55:BG55"/>
    <mergeCell ref="BH55:BK55"/>
    <mergeCell ref="BL55:BO55"/>
    <mergeCell ref="BP55:BS55"/>
    <mergeCell ref="F56:G56"/>
    <mergeCell ref="H56:K56"/>
    <mergeCell ref="L56:O56"/>
    <mergeCell ref="P56:S56"/>
    <mergeCell ref="T56:W56"/>
    <mergeCell ref="AB55:AE55"/>
    <mergeCell ref="AF55:AI55"/>
    <mergeCell ref="AJ55:AM55"/>
    <mergeCell ref="AN55:AQ55"/>
    <mergeCell ref="AR55:AU55"/>
    <mergeCell ref="AV55:AY55"/>
    <mergeCell ref="F55:G55"/>
    <mergeCell ref="H55:K55"/>
    <mergeCell ref="L55:O55"/>
    <mergeCell ref="P55:S55"/>
    <mergeCell ref="T55:W55"/>
    <mergeCell ref="X55:AA55"/>
    <mergeCell ref="BH56:BK56"/>
    <mergeCell ref="BL56:BO56"/>
    <mergeCell ref="BD54:BG54"/>
    <mergeCell ref="BH54:BK54"/>
    <mergeCell ref="BL54:BO54"/>
    <mergeCell ref="BP54:BS54"/>
    <mergeCell ref="X54:AA54"/>
    <mergeCell ref="AB54:AE54"/>
    <mergeCell ref="AF54:AI54"/>
    <mergeCell ref="AJ54:AM54"/>
    <mergeCell ref="AN54:AQ54"/>
    <mergeCell ref="AR54:AU54"/>
    <mergeCell ref="AZ53:BC53"/>
    <mergeCell ref="BD53:BG53"/>
    <mergeCell ref="BH53:BK53"/>
    <mergeCell ref="BL53:BO53"/>
    <mergeCell ref="BP53:BS53"/>
    <mergeCell ref="F54:G54"/>
    <mergeCell ref="H54:K54"/>
    <mergeCell ref="L54:O54"/>
    <mergeCell ref="P54:S54"/>
    <mergeCell ref="T54:W54"/>
    <mergeCell ref="AB53:AE53"/>
    <mergeCell ref="AF53:AI53"/>
    <mergeCell ref="AJ53:AM53"/>
    <mergeCell ref="AN53:AQ53"/>
    <mergeCell ref="AR53:AU53"/>
    <mergeCell ref="AV53:AY53"/>
    <mergeCell ref="F53:G53"/>
    <mergeCell ref="H53:K53"/>
    <mergeCell ref="L53:O53"/>
    <mergeCell ref="P53:S53"/>
    <mergeCell ref="T53:W53"/>
    <mergeCell ref="X53:AA53"/>
    <mergeCell ref="AV54:AY54"/>
    <mergeCell ref="AZ54:BC54"/>
    <mergeCell ref="BD52:BG52"/>
    <mergeCell ref="BH52:BK52"/>
    <mergeCell ref="BL52:BO52"/>
    <mergeCell ref="BP52:BS52"/>
    <mergeCell ref="X52:AA52"/>
    <mergeCell ref="AB52:AE52"/>
    <mergeCell ref="AF52:AI52"/>
    <mergeCell ref="AJ52:AM52"/>
    <mergeCell ref="AN52:AQ52"/>
    <mergeCell ref="AR52:AU52"/>
    <mergeCell ref="AZ51:BC51"/>
    <mergeCell ref="BD51:BG51"/>
    <mergeCell ref="BH51:BK51"/>
    <mergeCell ref="BL51:BO51"/>
    <mergeCell ref="BP51:BS51"/>
    <mergeCell ref="F52:G52"/>
    <mergeCell ref="H52:K52"/>
    <mergeCell ref="L52:O52"/>
    <mergeCell ref="P52:S52"/>
    <mergeCell ref="T52:W52"/>
    <mergeCell ref="AB51:AE51"/>
    <mergeCell ref="AF51:AI51"/>
    <mergeCell ref="AJ51:AM51"/>
    <mergeCell ref="AN51:AQ51"/>
    <mergeCell ref="AR51:AU51"/>
    <mergeCell ref="AV51:AY51"/>
    <mergeCell ref="F51:G51"/>
    <mergeCell ref="H51:K51"/>
    <mergeCell ref="L51:O51"/>
    <mergeCell ref="P51:S51"/>
    <mergeCell ref="T51:W51"/>
    <mergeCell ref="X51:AA51"/>
    <mergeCell ref="AV52:AY52"/>
    <mergeCell ref="AZ52:BC52"/>
    <mergeCell ref="BD50:BG50"/>
    <mergeCell ref="BH50:BK50"/>
    <mergeCell ref="BL50:BO50"/>
    <mergeCell ref="BP50:BS50"/>
    <mergeCell ref="X50:AA50"/>
    <mergeCell ref="AB50:AE50"/>
    <mergeCell ref="AF50:AI50"/>
    <mergeCell ref="AJ50:AM50"/>
    <mergeCell ref="AN50:AQ50"/>
    <mergeCell ref="AR50:AU50"/>
    <mergeCell ref="AZ49:BC49"/>
    <mergeCell ref="BD49:BG49"/>
    <mergeCell ref="BH49:BK49"/>
    <mergeCell ref="BL49:BO49"/>
    <mergeCell ref="BP49:BS49"/>
    <mergeCell ref="F50:G50"/>
    <mergeCell ref="H50:K50"/>
    <mergeCell ref="L50:O50"/>
    <mergeCell ref="P50:S50"/>
    <mergeCell ref="T50:W50"/>
    <mergeCell ref="AB49:AE49"/>
    <mergeCell ref="AF49:AI49"/>
    <mergeCell ref="AJ49:AM49"/>
    <mergeCell ref="AN49:AQ49"/>
    <mergeCell ref="AR49:AU49"/>
    <mergeCell ref="AV49:AY49"/>
    <mergeCell ref="F49:G49"/>
    <mergeCell ref="H49:K49"/>
    <mergeCell ref="L49:O49"/>
    <mergeCell ref="P49:S49"/>
    <mergeCell ref="T49:W49"/>
    <mergeCell ref="X49:AA49"/>
    <mergeCell ref="AV50:AY50"/>
    <mergeCell ref="AZ50:BC50"/>
    <mergeCell ref="BD48:BG48"/>
    <mergeCell ref="BH48:BK48"/>
    <mergeCell ref="BL48:BO48"/>
    <mergeCell ref="BP48:BS48"/>
    <mergeCell ref="X48:AA48"/>
    <mergeCell ref="AB48:AE48"/>
    <mergeCell ref="AF48:AI48"/>
    <mergeCell ref="AJ48:AM48"/>
    <mergeCell ref="AN48:AQ48"/>
    <mergeCell ref="AR48:AU48"/>
    <mergeCell ref="AZ47:BC47"/>
    <mergeCell ref="BD47:BG47"/>
    <mergeCell ref="BH47:BK47"/>
    <mergeCell ref="BL47:BO47"/>
    <mergeCell ref="BP47:BS47"/>
    <mergeCell ref="F48:G48"/>
    <mergeCell ref="H48:K48"/>
    <mergeCell ref="L48:O48"/>
    <mergeCell ref="P48:S48"/>
    <mergeCell ref="T48:W48"/>
    <mergeCell ref="AB47:AE47"/>
    <mergeCell ref="AF47:AI47"/>
    <mergeCell ref="AJ47:AM47"/>
    <mergeCell ref="AN47:AQ47"/>
    <mergeCell ref="AR47:AU47"/>
    <mergeCell ref="AV47:AY47"/>
    <mergeCell ref="F47:G47"/>
    <mergeCell ref="H47:K47"/>
    <mergeCell ref="L47:O47"/>
    <mergeCell ref="P47:S47"/>
    <mergeCell ref="T47:W47"/>
    <mergeCell ref="X47:AA47"/>
    <mergeCell ref="AV48:AY48"/>
    <mergeCell ref="AZ48:BC48"/>
    <mergeCell ref="BD46:BG46"/>
    <mergeCell ref="BH46:BK46"/>
    <mergeCell ref="BL46:BO46"/>
    <mergeCell ref="BP46:BS46"/>
    <mergeCell ref="X46:AA46"/>
    <mergeCell ref="AB46:AE46"/>
    <mergeCell ref="AF46:AI46"/>
    <mergeCell ref="AJ46:AM46"/>
    <mergeCell ref="AN46:AQ46"/>
    <mergeCell ref="AR46:AU46"/>
    <mergeCell ref="AZ45:BC45"/>
    <mergeCell ref="BD45:BG45"/>
    <mergeCell ref="BH45:BK45"/>
    <mergeCell ref="BL45:BO45"/>
    <mergeCell ref="BP45:BS45"/>
    <mergeCell ref="F46:G46"/>
    <mergeCell ref="H46:K46"/>
    <mergeCell ref="L46:O46"/>
    <mergeCell ref="P46:S46"/>
    <mergeCell ref="T46:W46"/>
    <mergeCell ref="AB45:AE45"/>
    <mergeCell ref="AF45:AI45"/>
    <mergeCell ref="AJ45:AM45"/>
    <mergeCell ref="AN45:AQ45"/>
    <mergeCell ref="AR45:AU45"/>
    <mergeCell ref="AV45:AY45"/>
    <mergeCell ref="F45:G45"/>
    <mergeCell ref="H45:K45"/>
    <mergeCell ref="L45:O45"/>
    <mergeCell ref="P45:S45"/>
    <mergeCell ref="T45:W45"/>
    <mergeCell ref="X45:AA45"/>
    <mergeCell ref="AV46:AY46"/>
    <mergeCell ref="AZ46:BC46"/>
    <mergeCell ref="BD44:BG44"/>
    <mergeCell ref="BH44:BK44"/>
    <mergeCell ref="BL44:BO44"/>
    <mergeCell ref="BP44:BS44"/>
    <mergeCell ref="X44:AA44"/>
    <mergeCell ref="AB44:AE44"/>
    <mergeCell ref="AF44:AI44"/>
    <mergeCell ref="AJ44:AM44"/>
    <mergeCell ref="AN44:AQ44"/>
    <mergeCell ref="AR44:AU44"/>
    <mergeCell ref="AZ43:BC43"/>
    <mergeCell ref="BD43:BG43"/>
    <mergeCell ref="BH43:BK43"/>
    <mergeCell ref="BL43:BO43"/>
    <mergeCell ref="BP43:BS43"/>
    <mergeCell ref="F44:G44"/>
    <mergeCell ref="H44:K44"/>
    <mergeCell ref="L44:O44"/>
    <mergeCell ref="P44:S44"/>
    <mergeCell ref="T44:W44"/>
    <mergeCell ref="AB43:AE43"/>
    <mergeCell ref="AF43:AI43"/>
    <mergeCell ref="AJ43:AM43"/>
    <mergeCell ref="AN43:AQ43"/>
    <mergeCell ref="AR43:AU43"/>
    <mergeCell ref="AV43:AY43"/>
    <mergeCell ref="F43:G43"/>
    <mergeCell ref="H43:K43"/>
    <mergeCell ref="L43:O43"/>
    <mergeCell ref="P43:S43"/>
    <mergeCell ref="T43:W43"/>
    <mergeCell ref="X43:AA43"/>
    <mergeCell ref="AV44:AY44"/>
    <mergeCell ref="AZ44:BC44"/>
    <mergeCell ref="AV42:AY42"/>
    <mergeCell ref="AZ42:BC42"/>
    <mergeCell ref="BD42:BG42"/>
    <mergeCell ref="BH42:BK42"/>
    <mergeCell ref="BL42:BO42"/>
    <mergeCell ref="BP42:BS42"/>
    <mergeCell ref="X42:AA42"/>
    <mergeCell ref="AB42:AE42"/>
    <mergeCell ref="AF42:AI42"/>
    <mergeCell ref="AJ42:AM42"/>
    <mergeCell ref="AN42:AQ42"/>
    <mergeCell ref="AR42:AU42"/>
    <mergeCell ref="F42:G42"/>
    <mergeCell ref="H42:K42"/>
    <mergeCell ref="L42:O42"/>
    <mergeCell ref="P42:S42"/>
    <mergeCell ref="T42:W42"/>
    <mergeCell ref="AB41:AE41"/>
    <mergeCell ref="AF41:AI41"/>
    <mergeCell ref="AJ41:AM41"/>
    <mergeCell ref="AN41:AQ41"/>
    <mergeCell ref="F41:G41"/>
    <mergeCell ref="H41:K41"/>
    <mergeCell ref="L41:O41"/>
    <mergeCell ref="P41:S41"/>
    <mergeCell ref="T41:W41"/>
    <mergeCell ref="X41:AA41"/>
    <mergeCell ref="BP40:BS40"/>
    <mergeCell ref="X40:AA40"/>
    <mergeCell ref="AB40:AE40"/>
    <mergeCell ref="AF40:AI40"/>
    <mergeCell ref="AJ40:AM40"/>
    <mergeCell ref="AN40:AQ40"/>
    <mergeCell ref="AR40:AU40"/>
    <mergeCell ref="AZ41:BC41"/>
    <mergeCell ref="BD41:BG41"/>
    <mergeCell ref="BH41:BK41"/>
    <mergeCell ref="BL41:BO41"/>
    <mergeCell ref="BP41:BS41"/>
    <mergeCell ref="AR41:AU41"/>
    <mergeCell ref="AV41:AY41"/>
    <mergeCell ref="BL39:BO39"/>
    <mergeCell ref="BP39:BS39"/>
    <mergeCell ref="F40:G40"/>
    <mergeCell ref="H40:K40"/>
    <mergeCell ref="L40:O40"/>
    <mergeCell ref="P40:S40"/>
    <mergeCell ref="T40:W40"/>
    <mergeCell ref="AB39:AE39"/>
    <mergeCell ref="AF39:AI39"/>
    <mergeCell ref="AJ39:AM39"/>
    <mergeCell ref="AN39:AQ39"/>
    <mergeCell ref="AR39:AU39"/>
    <mergeCell ref="AV39:AY39"/>
    <mergeCell ref="F39:G39"/>
    <mergeCell ref="H39:K39"/>
    <mergeCell ref="L39:O39"/>
    <mergeCell ref="P39:S39"/>
    <mergeCell ref="T39:W39"/>
    <mergeCell ref="X39:AA39"/>
    <mergeCell ref="AV40:AY40"/>
    <mergeCell ref="AZ40:BC40"/>
    <mergeCell ref="BD40:BG40"/>
    <mergeCell ref="BH40:BK40"/>
    <mergeCell ref="BL40:BO40"/>
    <mergeCell ref="X38:AA38"/>
    <mergeCell ref="AB38:AE38"/>
    <mergeCell ref="AF38:AI38"/>
    <mergeCell ref="AJ38:AM38"/>
    <mergeCell ref="AN38:AQ38"/>
    <mergeCell ref="AR38:AU38"/>
    <mergeCell ref="AZ39:BC39"/>
    <mergeCell ref="BD39:BG39"/>
    <mergeCell ref="BH39:BK39"/>
    <mergeCell ref="AJ35:AM36"/>
    <mergeCell ref="AN35:AQ36"/>
    <mergeCell ref="BD37:BG37"/>
    <mergeCell ref="BH37:BK37"/>
    <mergeCell ref="BL37:BO37"/>
    <mergeCell ref="BP37:BS37"/>
    <mergeCell ref="BY37:BY52"/>
    <mergeCell ref="F38:G38"/>
    <mergeCell ref="H38:K38"/>
    <mergeCell ref="L38:O38"/>
    <mergeCell ref="P38:S38"/>
    <mergeCell ref="T38:W38"/>
    <mergeCell ref="AF37:AI37"/>
    <mergeCell ref="AJ37:AM37"/>
    <mergeCell ref="AN37:AQ37"/>
    <mergeCell ref="AR37:AU37"/>
    <mergeCell ref="AV37:AY37"/>
    <mergeCell ref="AZ37:BC37"/>
    <mergeCell ref="AV38:AY38"/>
    <mergeCell ref="AZ38:BC38"/>
    <mergeCell ref="BD38:BG38"/>
    <mergeCell ref="BH38:BK38"/>
    <mergeCell ref="BL38:BO38"/>
    <mergeCell ref="BP38:BS38"/>
    <mergeCell ref="AB35:AE36"/>
    <mergeCell ref="AF35:AI36"/>
    <mergeCell ref="CC35:CC36"/>
    <mergeCell ref="CD35:CD36"/>
    <mergeCell ref="CE35:CE36"/>
    <mergeCell ref="F37:G37"/>
    <mergeCell ref="H37:K37"/>
    <mergeCell ref="L37:O37"/>
    <mergeCell ref="P37:S37"/>
    <mergeCell ref="T37:W37"/>
    <mergeCell ref="X37:AA37"/>
    <mergeCell ref="AB37:AE37"/>
    <mergeCell ref="BW35:BW36"/>
    <mergeCell ref="BX35:BX36"/>
    <mergeCell ref="BY35:BY36"/>
    <mergeCell ref="BZ35:BZ36"/>
    <mergeCell ref="CA35:CA36"/>
    <mergeCell ref="CB35:CB36"/>
    <mergeCell ref="BH35:BK36"/>
    <mergeCell ref="BL35:BO36"/>
    <mergeCell ref="BP35:BS36"/>
    <mergeCell ref="BT35:BT36"/>
    <mergeCell ref="BU35:BU36"/>
    <mergeCell ref="BV35:BV36"/>
    <mergeCell ref="BD34:BG34"/>
    <mergeCell ref="BH34:BK34"/>
    <mergeCell ref="BL34:BO34"/>
    <mergeCell ref="BP34:BS34"/>
    <mergeCell ref="BT34:CD34"/>
    <mergeCell ref="B35:B36"/>
    <mergeCell ref="C35:C36"/>
    <mergeCell ref="D35:D36"/>
    <mergeCell ref="E35:E36"/>
    <mergeCell ref="H35:K36"/>
    <mergeCell ref="AF34:AI34"/>
    <mergeCell ref="AJ34:AM34"/>
    <mergeCell ref="AN34:AQ34"/>
    <mergeCell ref="AR34:AU34"/>
    <mergeCell ref="AV34:AY34"/>
    <mergeCell ref="AZ34:BC34"/>
    <mergeCell ref="AR35:AU36"/>
    <mergeCell ref="AV35:AY36"/>
    <mergeCell ref="AZ35:BC36"/>
    <mergeCell ref="BD35:BG36"/>
    <mergeCell ref="L35:O36"/>
    <mergeCell ref="P35:S36"/>
    <mergeCell ref="T35:W36"/>
    <mergeCell ref="X35:AA36"/>
    <mergeCell ref="F34:G34"/>
    <mergeCell ref="H34:K34"/>
    <mergeCell ref="L34:O34"/>
    <mergeCell ref="P34:S34"/>
    <mergeCell ref="T34:W34"/>
    <mergeCell ref="X34:AA34"/>
    <mergeCell ref="AB34:AE34"/>
    <mergeCell ref="AJ33:AM33"/>
    <mergeCell ref="AN33:AQ33"/>
    <mergeCell ref="BO30:BP31"/>
    <mergeCell ref="F33:G33"/>
    <mergeCell ref="H33:K33"/>
    <mergeCell ref="L33:O33"/>
    <mergeCell ref="P33:S33"/>
    <mergeCell ref="T33:W33"/>
    <mergeCell ref="X33:AA33"/>
    <mergeCell ref="AB33:AE33"/>
    <mergeCell ref="AF33:AI33"/>
    <mergeCell ref="AM30:AN31"/>
    <mergeCell ref="AQ30:AR31"/>
    <mergeCell ref="AU30:AV31"/>
    <mergeCell ref="AY30:AZ31"/>
    <mergeCell ref="BC30:BD31"/>
    <mergeCell ref="BG30:BH31"/>
    <mergeCell ref="BH33:BK33"/>
    <mergeCell ref="BL33:BO33"/>
    <mergeCell ref="BP33:BS33"/>
    <mergeCell ref="AR33:AU33"/>
    <mergeCell ref="AV33:AY33"/>
    <mergeCell ref="AZ33:BC33"/>
    <mergeCell ref="BD33:BG33"/>
    <mergeCell ref="BM28:BN29"/>
    <mergeCell ref="B29:C30"/>
    <mergeCell ref="D29:D30"/>
    <mergeCell ref="K30:L31"/>
    <mergeCell ref="O30:P31"/>
    <mergeCell ref="S30:T31"/>
    <mergeCell ref="W30:X31"/>
    <mergeCell ref="AA30:AB31"/>
    <mergeCell ref="AE30:AF31"/>
    <mergeCell ref="AI30:AJ31"/>
    <mergeCell ref="AO28:AP29"/>
    <mergeCell ref="AS28:AT29"/>
    <mergeCell ref="AW28:AX29"/>
    <mergeCell ref="BA28:BB29"/>
    <mergeCell ref="BE28:BF29"/>
    <mergeCell ref="BI28:BJ29"/>
    <mergeCell ref="BK30:BL31"/>
    <mergeCell ref="BK26:BL27"/>
    <mergeCell ref="B27:C28"/>
    <mergeCell ref="D27:D28"/>
    <mergeCell ref="M28:N29"/>
    <mergeCell ref="Q28:R29"/>
    <mergeCell ref="U28:V29"/>
    <mergeCell ref="Y28:Z29"/>
    <mergeCell ref="AC28:AD29"/>
    <mergeCell ref="AG28:AH29"/>
    <mergeCell ref="AK28:AL29"/>
    <mergeCell ref="AM26:AN27"/>
    <mergeCell ref="AQ26:AR27"/>
    <mergeCell ref="AU26:AV27"/>
    <mergeCell ref="AY26:AZ27"/>
    <mergeCell ref="BC26:BD27"/>
    <mergeCell ref="BG26:BH27"/>
    <mergeCell ref="BG22:BH23"/>
    <mergeCell ref="B23:D24"/>
    <mergeCell ref="Q24:R25"/>
    <mergeCell ref="U24:V25"/>
    <mergeCell ref="Y24:Z25"/>
    <mergeCell ref="AC24:AD25"/>
    <mergeCell ref="BE24:BF25"/>
    <mergeCell ref="BI24:BJ25"/>
    <mergeCell ref="B25:C26"/>
    <mergeCell ref="D25:D26"/>
    <mergeCell ref="O26:P27"/>
    <mergeCell ref="S26:T27"/>
    <mergeCell ref="W26:X27"/>
    <mergeCell ref="AA26:AB27"/>
    <mergeCell ref="AE26:AF27"/>
    <mergeCell ref="AI26:AJ27"/>
    <mergeCell ref="AG24:AH25"/>
    <mergeCell ref="AK24:AL25"/>
    <mergeCell ref="AO24:AP25"/>
    <mergeCell ref="AS24:AT25"/>
    <mergeCell ref="AW24:AX25"/>
    <mergeCell ref="BA24:BB25"/>
    <mergeCell ref="BE20:BF21"/>
    <mergeCell ref="S22:T23"/>
    <mergeCell ref="W22:X23"/>
    <mergeCell ref="AA22:AB23"/>
    <mergeCell ref="AE22:AF23"/>
    <mergeCell ref="AI22:AJ23"/>
    <mergeCell ref="AM22:AN23"/>
    <mergeCell ref="AQ22:AR23"/>
    <mergeCell ref="AU22:AV23"/>
    <mergeCell ref="AY22:AZ23"/>
    <mergeCell ref="BC22:BD23"/>
    <mergeCell ref="BC18:BD19"/>
    <mergeCell ref="B20:C21"/>
    <mergeCell ref="D20:D21"/>
    <mergeCell ref="U20:V21"/>
    <mergeCell ref="Y20:Z21"/>
    <mergeCell ref="AC20:AD21"/>
    <mergeCell ref="AG20:AH21"/>
    <mergeCell ref="AK20:AL21"/>
    <mergeCell ref="AO20:AP21"/>
    <mergeCell ref="AS20:AT21"/>
    <mergeCell ref="AW20:AX21"/>
    <mergeCell ref="BA20:BB21"/>
    <mergeCell ref="BA16:BB17"/>
    <mergeCell ref="B18:C19"/>
    <mergeCell ref="D18:D19"/>
    <mergeCell ref="W18:X19"/>
    <mergeCell ref="AA18:AB19"/>
    <mergeCell ref="AE18:AF19"/>
    <mergeCell ref="AI18:AJ19"/>
    <mergeCell ref="AM18:AN19"/>
    <mergeCell ref="AQ18:AR19"/>
    <mergeCell ref="AU18:AV19"/>
    <mergeCell ref="AY18:AZ19"/>
    <mergeCell ref="AY14:AZ15"/>
    <mergeCell ref="B16:C17"/>
    <mergeCell ref="D16:D17"/>
    <mergeCell ref="Y16:Z17"/>
    <mergeCell ref="AC16:AD17"/>
    <mergeCell ref="AG16:AH17"/>
    <mergeCell ref="AK16:AL17"/>
    <mergeCell ref="AO16:AP17"/>
    <mergeCell ref="AS16:AT17"/>
    <mergeCell ref="AW16:AX17"/>
    <mergeCell ref="AW12:AX13"/>
    <mergeCell ref="B14:D15"/>
    <mergeCell ref="AA14:AB15"/>
    <mergeCell ref="AE14:AF15"/>
    <mergeCell ref="AI14:AJ15"/>
    <mergeCell ref="AM14:AN15"/>
    <mergeCell ref="AQ14:AR15"/>
    <mergeCell ref="AU14:AV15"/>
    <mergeCell ref="AU10:AV11"/>
    <mergeCell ref="B11:C12"/>
    <mergeCell ref="D11:D12"/>
    <mergeCell ref="AC12:AD13"/>
    <mergeCell ref="AG12:AH13"/>
    <mergeCell ref="AK12:AL13"/>
    <mergeCell ref="AO12:AP13"/>
    <mergeCell ref="AS12:AT13"/>
    <mergeCell ref="AM2:AN3"/>
    <mergeCell ref="AK4:AL5"/>
    <mergeCell ref="AO4:AP5"/>
    <mergeCell ref="B5:D6"/>
    <mergeCell ref="AI6:AJ7"/>
    <mergeCell ref="AM6:AN7"/>
    <mergeCell ref="AS8:AT9"/>
    <mergeCell ref="B9:C10"/>
    <mergeCell ref="D9:D10"/>
    <mergeCell ref="AE10:AF11"/>
    <mergeCell ref="AI10:AJ11"/>
    <mergeCell ref="AM10:AN11"/>
    <mergeCell ref="AQ10:AR11"/>
    <mergeCell ref="AQ6:AR7"/>
    <mergeCell ref="B7:C8"/>
    <mergeCell ref="D7:D8"/>
    <mergeCell ref="AG8:AH9"/>
    <mergeCell ref="AK8:AL9"/>
    <mergeCell ref="AO8:AP9"/>
  </mergeCells>
  <conditionalFormatting sqref="H54:BS54">
    <cfRule type="containsBlanks" priority="3">
      <formula>LEN(TRIM(H54))=0</formula>
    </cfRule>
  </conditionalFormatting>
  <conditionalFormatting sqref="K30:BP31 M28:BN29 O26:BL27 Q24:BJ25 S22:BH23 U20:BF21 W18:BD19 Y16:BB17 AA14:AZ15 AC12:AX13 AE10:AV11 AG8:AT9 AI6:AR7 AK4:AP5 AM2:AN3">
    <cfRule type="cellIs" dxfId="28" priority="1" operator="equal">
      <formula>$D$9</formula>
    </cfRule>
  </conditionalFormatting>
  <conditionalFormatting sqref="H54:BS54 E37:E52">
    <cfRule type="cellIs" dxfId="27" priority="2" operator="between">
      <formula>0</formula>
      <formula>1</formula>
    </cfRule>
  </conditionalFormatting>
  <dataValidations disablePrompts="1" count="4">
    <dataValidation type="list" allowBlank="1" showInputMessage="1" showErrorMessage="1" sqref="H37:BS52" xr:uid="{1C975BAF-089A-F147-A6D7-1AD46BE5F6E6}">
      <formula1>$D$16:$D$20</formula1>
    </dataValidation>
    <dataValidation type="list" allowBlank="1" showInputMessage="1" showErrorMessage="1" sqref="H34:BS34" xr:uid="{D1CB9CB1-09CA-424A-846D-6E94751DFC81}">
      <formula1>$D$25:$D$29</formula1>
    </dataValidation>
    <dataValidation type="list" allowBlank="1" showInputMessage="1" showErrorMessage="1" sqref="AO16:AP17 BE20:BF21 AE14:AF15 AG16:AH17 Y16:Z17 AA14:AB15 AC20:AD21 AC12:AD13 AE10:AF11 AK4:AL5 AI14:AJ15 AI10:AJ11 AM14:AN15 AK12:AL13 AG8:AH9 AO4:AP5 AS8:AT9 S30:T31 AU10:AV11 Y20:Z21 Q28:R29 W18:X19 W26:X27 O30:P31 S26:T27 U28:V29 M28:N29 O26:P27 AC28:AD29 Q24:R25 S22:T23 BG26:BH27 BK26:BL27 AS24:AT25 U24:V25 AW24:AX25 U20:V21 AI22:AJ23 AM22:AN23 AI6:AJ7 K30:L31 AA30:AB31 BA24:BB25 AU18:AV19 W30:X31 Y28:Z29 AG28:AH29 AK28:AL29 AI30:AJ31 AE30:AF31 AO28:AP29 AS28:AT29 AQ30:AR31 AM30:AN31 AW28:AX29 BA28:BB29 AY30:AZ31 AU30:AV31 BE28:BF29 BC30:BD31 BI28:BJ29 BG30:BH31 BM28:BN29 BK30:BL31 BA20:BB21 AC16:AD17 AK16:AL17 BS30:BS31 BO30:BP31 AA26:AB27 AE26:AF27 AI26:AJ27 AM26:AN27 AQ26:AR27 AU26:AV27 AY26:AZ27 BC26:BD27 BE24:BF25 BI24:BJ25 Y24:Z25 AC24:AD25 AG24:AH25 AK24:AL25 AO24:AP25 AQ22:AR23 AU22:AV23 AY22:AZ23 BC22:BD23 BG22:BH23 W22:X23 AA22:AB23 AE22:AF23 AG20:AH21 AK20:AL21 AO20:AP21 AS20:AT21 AW20:AX21 AY18:AZ19 BC18:BD19 AA18:AB19 AE18:AF19 AI18:AJ19 AM18:AN19 AQ18:AR19 AS16:AT17 AW16:AX17 BA16:BB17 AQ14:AR15 AU14:AV15 AY14:AZ15 AO12:AP13 AS12:AT13 AW12:AX13 AG12:AH13 AM10:AN11 AQ10:AR11 AK8:AL9 AO8:AP9 AQ6:AR7 AM6:AN7 AM2:AN3" xr:uid="{A8A2B4FA-6127-7B4A-A657-672AFE4BE5EF}">
      <formula1>$D$7:$D$9</formula1>
    </dataValidation>
    <dataValidation type="list" allowBlank="1" showInputMessage="1" showErrorMessage="1" sqref="F32" xr:uid="{57610D1D-1F03-2843-A507-0592548B6475}">
      <formula1>$BX$26:$BX$32</formula1>
    </dataValidation>
  </dataValidations>
  <printOptions horizontalCentered="1" verticalCentered="1"/>
  <pageMargins left="0.5" right="0.5" top="0.5" bottom="0.5" header="0" footer="0"/>
  <pageSetup scale="37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B18238-228A-4300-9B67-B7F1897AA05D}">
  <sheetPr codeName="Sheet7"/>
  <dimension ref="A1:K202"/>
  <sheetViews>
    <sheetView zoomScale="223" zoomScaleNormal="91" workbookViewId="0">
      <selection activeCell="C9" sqref="C9"/>
    </sheetView>
  </sheetViews>
  <sheetFormatPr baseColWidth="10" defaultColWidth="8.83203125" defaultRowHeight="16" x14ac:dyDescent="0.2"/>
  <cols>
    <col min="2" max="2" width="15.6640625" customWidth="1"/>
    <col min="3" max="3" width="16.6640625" customWidth="1"/>
    <col min="4" max="7" width="12" customWidth="1"/>
    <col min="11" max="11" width="12.5" customWidth="1"/>
  </cols>
  <sheetData>
    <row r="1" spans="1:11" x14ac:dyDescent="0.2">
      <c r="A1" s="15" t="s">
        <v>170</v>
      </c>
      <c r="B1" s="15" t="s">
        <v>171</v>
      </c>
      <c r="C1" s="15" t="s">
        <v>931</v>
      </c>
      <c r="D1" s="15">
        <v>2022</v>
      </c>
      <c r="E1" s="15">
        <v>2023</v>
      </c>
      <c r="F1" s="15">
        <v>2024</v>
      </c>
      <c r="G1" s="15">
        <v>2025</v>
      </c>
    </row>
    <row r="2" spans="1:11" x14ac:dyDescent="0.2">
      <c r="A2" s="3" t="s">
        <v>507</v>
      </c>
      <c r="B2" s="3" t="s">
        <v>878</v>
      </c>
      <c r="C2" s="207">
        <f>D2</f>
        <v>1945</v>
      </c>
      <c r="D2" s="199">
        <v>1945</v>
      </c>
      <c r="E2" s="199">
        <v>239292</v>
      </c>
      <c r="F2" s="199">
        <v>239292</v>
      </c>
      <c r="G2" s="199">
        <v>199141</v>
      </c>
    </row>
    <row r="3" spans="1:11" x14ac:dyDescent="0.2">
      <c r="A3" s="3" t="s">
        <v>508</v>
      </c>
      <c r="B3" s="3" t="s">
        <v>879</v>
      </c>
      <c r="C3" s="207">
        <f t="shared" ref="C3:C66" si="0">D3</f>
        <v>6134</v>
      </c>
      <c r="D3" s="199">
        <v>6134</v>
      </c>
      <c r="E3" s="199">
        <v>132745</v>
      </c>
      <c r="F3" s="199">
        <v>132745</v>
      </c>
      <c r="G3" s="199">
        <v>239295</v>
      </c>
    </row>
    <row r="4" spans="1:11" x14ac:dyDescent="0.2">
      <c r="A4" s="3" t="s">
        <v>509</v>
      </c>
      <c r="B4" s="3" t="s">
        <v>880</v>
      </c>
      <c r="C4" s="207">
        <f t="shared" si="0"/>
        <v>1425</v>
      </c>
      <c r="D4" s="199">
        <v>1425</v>
      </c>
      <c r="E4" s="199">
        <v>187949</v>
      </c>
      <c r="F4" s="199">
        <v>187949</v>
      </c>
      <c r="G4" s="199">
        <v>288460</v>
      </c>
      <c r="K4" s="206"/>
    </row>
    <row r="5" spans="1:11" x14ac:dyDescent="0.2">
      <c r="A5" s="3" t="s">
        <v>178</v>
      </c>
      <c r="B5" s="3" t="s">
        <v>179</v>
      </c>
      <c r="C5" s="207">
        <f t="shared" si="0"/>
        <v>215425</v>
      </c>
      <c r="D5" s="199">
        <v>215425</v>
      </c>
      <c r="E5" s="199">
        <v>201452</v>
      </c>
      <c r="F5" s="199">
        <v>201452</v>
      </c>
      <c r="G5" s="199">
        <v>283065</v>
      </c>
      <c r="K5" s="205"/>
    </row>
    <row r="6" spans="1:11" x14ac:dyDescent="0.2">
      <c r="A6" s="3" t="s">
        <v>510</v>
      </c>
      <c r="B6" s="3" t="s">
        <v>861</v>
      </c>
      <c r="C6" s="207">
        <f t="shared" si="0"/>
        <v>1612</v>
      </c>
      <c r="D6" s="199">
        <v>1612</v>
      </c>
      <c r="E6" s="199">
        <v>213420</v>
      </c>
      <c r="F6" s="199">
        <v>213420</v>
      </c>
      <c r="G6" s="199">
        <v>164738</v>
      </c>
    </row>
    <row r="7" spans="1:11" x14ac:dyDescent="0.2">
      <c r="A7" s="3" t="s">
        <v>198</v>
      </c>
      <c r="B7" s="3" t="s">
        <v>199</v>
      </c>
      <c r="C7" s="207">
        <f t="shared" si="0"/>
        <v>25689</v>
      </c>
      <c r="D7" s="199">
        <v>25689</v>
      </c>
      <c r="E7" s="199">
        <v>302560</v>
      </c>
      <c r="F7" s="199">
        <v>302560</v>
      </c>
      <c r="G7" s="199">
        <v>165891</v>
      </c>
      <c r="K7" s="38"/>
    </row>
    <row r="8" spans="1:11" x14ac:dyDescent="0.2">
      <c r="A8" s="3" t="s">
        <v>203</v>
      </c>
      <c r="B8" s="3" t="s">
        <v>204</v>
      </c>
      <c r="C8" s="207">
        <f t="shared" si="0"/>
        <v>25639</v>
      </c>
      <c r="D8" s="199">
        <v>25639</v>
      </c>
      <c r="E8" s="199">
        <v>216975</v>
      </c>
      <c r="F8" s="199">
        <v>216975</v>
      </c>
      <c r="G8" s="199">
        <v>232837</v>
      </c>
    </row>
    <row r="9" spans="1:11" x14ac:dyDescent="0.2">
      <c r="A9" s="3" t="s">
        <v>217</v>
      </c>
      <c r="B9" s="3" t="s">
        <v>218</v>
      </c>
      <c r="C9" s="207">
        <f t="shared" si="0"/>
        <v>2154</v>
      </c>
      <c r="D9" s="199">
        <v>2154</v>
      </c>
      <c r="E9" s="199">
        <v>181948</v>
      </c>
      <c r="F9" s="199">
        <v>181948</v>
      </c>
      <c r="G9" s="199">
        <v>253500</v>
      </c>
    </row>
    <row r="10" spans="1:11" x14ac:dyDescent="0.2">
      <c r="A10" s="3" t="s">
        <v>511</v>
      </c>
      <c r="B10" s="3" t="s">
        <v>862</v>
      </c>
      <c r="C10" s="207">
        <f t="shared" si="0"/>
        <v>4765</v>
      </c>
      <c r="D10" s="199">
        <v>4765</v>
      </c>
      <c r="E10" s="199">
        <v>120606</v>
      </c>
      <c r="F10" s="199">
        <v>120606</v>
      </c>
      <c r="G10" s="199">
        <v>190771</v>
      </c>
    </row>
    <row r="11" spans="1:11" x14ac:dyDescent="0.2">
      <c r="A11" s="3" t="s">
        <v>176</v>
      </c>
      <c r="B11" s="3" t="s">
        <v>177</v>
      </c>
      <c r="C11" s="207">
        <f t="shared" si="0"/>
        <v>250356</v>
      </c>
      <c r="D11" s="199">
        <v>250356</v>
      </c>
      <c r="E11" s="199">
        <v>213426</v>
      </c>
      <c r="F11" s="199">
        <v>213426</v>
      </c>
      <c r="G11" s="199">
        <v>195040</v>
      </c>
    </row>
    <row r="12" spans="1:11" x14ac:dyDescent="0.2">
      <c r="A12" s="3" t="s">
        <v>512</v>
      </c>
      <c r="B12" s="3" t="s">
        <v>863</v>
      </c>
      <c r="C12" s="207">
        <f t="shared" si="0"/>
        <v>6491</v>
      </c>
      <c r="D12" s="199">
        <v>6491</v>
      </c>
      <c r="E12" s="199">
        <v>167040</v>
      </c>
      <c r="F12" s="199">
        <v>167040</v>
      </c>
      <c r="G12" s="199">
        <v>220695</v>
      </c>
    </row>
    <row r="13" spans="1:11" x14ac:dyDescent="0.2">
      <c r="A13" s="3" t="s">
        <v>190</v>
      </c>
      <c r="B13" s="3" t="s">
        <v>191</v>
      </c>
      <c r="C13" s="207">
        <f t="shared" si="0"/>
        <v>50689</v>
      </c>
      <c r="D13" s="199">
        <v>50689</v>
      </c>
      <c r="E13" s="199">
        <v>232792</v>
      </c>
      <c r="F13" s="199">
        <v>312792</v>
      </c>
      <c r="G13" s="199">
        <v>186192</v>
      </c>
    </row>
    <row r="14" spans="1:11" x14ac:dyDescent="0.2">
      <c r="A14" s="3" t="s">
        <v>513</v>
      </c>
      <c r="B14" s="3" t="s">
        <v>864</v>
      </c>
      <c r="C14" s="207">
        <f t="shared" si="0"/>
        <v>1987</v>
      </c>
      <c r="D14" s="199">
        <v>1987</v>
      </c>
      <c r="E14" s="199">
        <v>126137</v>
      </c>
      <c r="F14" s="199">
        <v>126137</v>
      </c>
      <c r="G14" s="199">
        <v>268863</v>
      </c>
    </row>
    <row r="15" spans="1:11" x14ac:dyDescent="0.2">
      <c r="A15" s="3" t="s">
        <v>514</v>
      </c>
      <c r="B15" s="3" t="s">
        <v>865</v>
      </c>
      <c r="C15" s="207">
        <f t="shared" si="0"/>
        <v>1413</v>
      </c>
      <c r="D15" s="199">
        <v>1413</v>
      </c>
      <c r="E15" s="199">
        <v>200524</v>
      </c>
      <c r="F15" s="199">
        <v>200524</v>
      </c>
      <c r="G15" s="199">
        <v>264057</v>
      </c>
    </row>
    <row r="16" spans="1:11" x14ac:dyDescent="0.2">
      <c r="A16" s="3" t="s">
        <v>515</v>
      </c>
      <c r="B16" s="3" t="s">
        <v>866</v>
      </c>
      <c r="C16" s="207">
        <f t="shared" si="0"/>
        <v>2014</v>
      </c>
      <c r="D16" s="199">
        <v>2014</v>
      </c>
      <c r="E16" s="199">
        <v>138784</v>
      </c>
      <c r="F16" s="199">
        <v>138784</v>
      </c>
      <c r="G16" s="199">
        <v>265813</v>
      </c>
    </row>
    <row r="17" spans="1:7" x14ac:dyDescent="0.2">
      <c r="A17" s="3" t="s">
        <v>516</v>
      </c>
      <c r="B17" s="3" t="s">
        <v>868</v>
      </c>
      <c r="C17" s="207">
        <f t="shared" si="0"/>
        <v>5692</v>
      </c>
      <c r="D17" s="199">
        <v>5692</v>
      </c>
      <c r="E17" s="199">
        <v>260167</v>
      </c>
      <c r="F17" s="199">
        <v>260167</v>
      </c>
      <c r="G17" s="199">
        <v>199052</v>
      </c>
    </row>
    <row r="18" spans="1:7" x14ac:dyDescent="0.2">
      <c r="A18" s="3" t="s">
        <v>517</v>
      </c>
      <c r="B18" s="3" t="s">
        <v>867</v>
      </c>
      <c r="C18" s="207">
        <f t="shared" si="0"/>
        <v>1498</v>
      </c>
      <c r="D18" s="199">
        <v>1498</v>
      </c>
      <c r="E18" s="199">
        <v>241365</v>
      </c>
      <c r="F18" s="199">
        <v>241365</v>
      </c>
      <c r="G18" s="199">
        <v>165090</v>
      </c>
    </row>
    <row r="19" spans="1:7" x14ac:dyDescent="0.2">
      <c r="A19" s="3" t="s">
        <v>518</v>
      </c>
      <c r="B19" s="3" t="s">
        <v>869</v>
      </c>
      <c r="C19" s="207">
        <f t="shared" si="0"/>
        <v>1524</v>
      </c>
      <c r="D19" s="199">
        <v>1524</v>
      </c>
      <c r="E19" s="199">
        <v>209630</v>
      </c>
      <c r="F19" s="199">
        <v>209630</v>
      </c>
      <c r="G19" s="199">
        <v>205426</v>
      </c>
    </row>
    <row r="20" spans="1:7" x14ac:dyDescent="0.2">
      <c r="A20" s="3" t="s">
        <v>519</v>
      </c>
      <c r="B20" s="3" t="s">
        <v>870</v>
      </c>
      <c r="C20" s="207">
        <f t="shared" si="0"/>
        <v>1750</v>
      </c>
      <c r="D20" s="199">
        <v>1750</v>
      </c>
      <c r="E20" s="199">
        <v>213654</v>
      </c>
      <c r="F20" s="199">
        <v>213654</v>
      </c>
      <c r="G20" s="199">
        <v>292527</v>
      </c>
    </row>
    <row r="21" spans="1:7" x14ac:dyDescent="0.2">
      <c r="A21" s="3" t="s">
        <v>520</v>
      </c>
      <c r="B21" s="3" t="s">
        <v>871</v>
      </c>
      <c r="C21" s="207">
        <f t="shared" si="0"/>
        <v>1348</v>
      </c>
      <c r="D21" s="199">
        <v>1348</v>
      </c>
      <c r="E21" s="199">
        <v>259751</v>
      </c>
      <c r="F21" s="199">
        <v>259751</v>
      </c>
      <c r="G21" s="199">
        <v>201365</v>
      </c>
    </row>
    <row r="22" spans="1:7" x14ac:dyDescent="0.2">
      <c r="A22" s="3" t="s">
        <v>521</v>
      </c>
      <c r="B22" s="3" t="s">
        <v>872</v>
      </c>
      <c r="C22" s="207">
        <f t="shared" si="0"/>
        <v>6903</v>
      </c>
      <c r="D22" s="199">
        <v>6903</v>
      </c>
      <c r="E22" s="199">
        <v>277450</v>
      </c>
      <c r="F22" s="199">
        <v>277450</v>
      </c>
      <c r="G22" s="199">
        <v>192177</v>
      </c>
    </row>
    <row r="23" spans="1:7" x14ac:dyDescent="0.2">
      <c r="A23" s="3" t="s">
        <v>522</v>
      </c>
      <c r="B23" s="3" t="s">
        <v>873</v>
      </c>
      <c r="C23" s="207">
        <f t="shared" si="0"/>
        <v>1631</v>
      </c>
      <c r="D23" s="199">
        <v>1631</v>
      </c>
      <c r="E23" s="199">
        <v>180094</v>
      </c>
      <c r="F23" s="199">
        <v>180094</v>
      </c>
      <c r="G23" s="199">
        <v>281770</v>
      </c>
    </row>
    <row r="24" spans="1:7" x14ac:dyDescent="0.2">
      <c r="A24" s="3" t="s">
        <v>523</v>
      </c>
      <c r="B24" s="3" t="s">
        <v>874</v>
      </c>
      <c r="C24" s="207">
        <f t="shared" si="0"/>
        <v>4177</v>
      </c>
      <c r="D24" s="199">
        <v>4177</v>
      </c>
      <c r="E24" s="199">
        <v>145240</v>
      </c>
      <c r="F24" s="199">
        <v>145240</v>
      </c>
      <c r="G24" s="199">
        <v>185281</v>
      </c>
    </row>
    <row r="25" spans="1:7" x14ac:dyDescent="0.2">
      <c r="A25" s="3" t="s">
        <v>524</v>
      </c>
      <c r="B25" s="3" t="s">
        <v>875</v>
      </c>
      <c r="C25" s="207">
        <f t="shared" si="0"/>
        <v>2821</v>
      </c>
      <c r="D25" s="199">
        <v>2821</v>
      </c>
      <c r="E25" s="199">
        <v>312405</v>
      </c>
      <c r="F25" s="199">
        <v>312405</v>
      </c>
      <c r="G25" s="199">
        <v>207543</v>
      </c>
    </row>
    <row r="26" spans="1:7" x14ac:dyDescent="0.2">
      <c r="A26" s="3" t="s">
        <v>525</v>
      </c>
      <c r="B26" s="3" t="s">
        <v>876</v>
      </c>
      <c r="C26" s="207">
        <f t="shared" si="0"/>
        <v>12224</v>
      </c>
      <c r="D26" s="199">
        <v>12224</v>
      </c>
      <c r="E26" s="199">
        <v>119920</v>
      </c>
      <c r="F26" s="199">
        <v>119920</v>
      </c>
      <c r="G26" s="199">
        <v>205706</v>
      </c>
    </row>
    <row r="27" spans="1:7" x14ac:dyDescent="0.2">
      <c r="A27" s="3" t="s">
        <v>526</v>
      </c>
      <c r="B27" s="3" t="s">
        <v>877</v>
      </c>
      <c r="C27" s="207">
        <f t="shared" si="0"/>
        <v>1533</v>
      </c>
      <c r="D27" s="199">
        <v>1533</v>
      </c>
      <c r="E27" s="199">
        <v>272602</v>
      </c>
      <c r="F27" s="199">
        <v>272602</v>
      </c>
      <c r="G27" s="199">
        <v>298426</v>
      </c>
    </row>
    <row r="28" spans="1:7" x14ac:dyDescent="0.2">
      <c r="A28" s="3" t="s">
        <v>527</v>
      </c>
      <c r="B28" s="3" t="s">
        <v>881</v>
      </c>
      <c r="C28" s="207">
        <f t="shared" si="0"/>
        <v>245</v>
      </c>
      <c r="D28" s="199">
        <v>245</v>
      </c>
      <c r="E28" s="199">
        <v>142650</v>
      </c>
      <c r="F28" s="199">
        <v>358650</v>
      </c>
      <c r="G28" s="199">
        <v>195093</v>
      </c>
    </row>
    <row r="29" spans="1:7" x14ac:dyDescent="0.2">
      <c r="A29" s="3" t="s">
        <v>528</v>
      </c>
      <c r="B29" s="3" t="s">
        <v>882</v>
      </c>
      <c r="C29" s="207">
        <f t="shared" si="0"/>
        <v>2156</v>
      </c>
      <c r="D29" s="199">
        <v>2156</v>
      </c>
      <c r="E29" s="199">
        <v>159544</v>
      </c>
      <c r="F29" s="199">
        <v>159544</v>
      </c>
      <c r="G29" s="199">
        <v>256540</v>
      </c>
    </row>
    <row r="30" spans="1:7" x14ac:dyDescent="0.2">
      <c r="A30" s="3" t="s">
        <v>529</v>
      </c>
      <c r="B30" s="3" t="s">
        <v>883</v>
      </c>
      <c r="C30" s="207">
        <f t="shared" si="0"/>
        <v>3562</v>
      </c>
      <c r="D30" s="199">
        <v>3562</v>
      </c>
      <c r="E30" s="199">
        <v>131644</v>
      </c>
      <c r="F30" s="199">
        <v>131644</v>
      </c>
      <c r="G30" s="199">
        <v>214533</v>
      </c>
    </row>
    <row r="31" spans="1:7" x14ac:dyDescent="0.2">
      <c r="A31" s="3" t="s">
        <v>530</v>
      </c>
      <c r="B31" s="3" t="s">
        <v>884</v>
      </c>
      <c r="C31" s="207">
        <f t="shared" si="0"/>
        <v>1554</v>
      </c>
      <c r="D31" s="199">
        <v>1554</v>
      </c>
      <c r="E31" s="199">
        <v>216547</v>
      </c>
      <c r="F31" s="199">
        <v>216547</v>
      </c>
      <c r="G31" s="199">
        <v>203470</v>
      </c>
    </row>
    <row r="32" spans="1:7" x14ac:dyDescent="0.2">
      <c r="A32" s="3" t="s">
        <v>531</v>
      </c>
      <c r="B32" s="3" t="s">
        <v>885</v>
      </c>
      <c r="C32" s="207">
        <f t="shared" si="0"/>
        <v>12036</v>
      </c>
      <c r="D32" s="199">
        <v>12036</v>
      </c>
      <c r="E32" s="199">
        <v>236541</v>
      </c>
      <c r="F32" s="199">
        <v>236541</v>
      </c>
      <c r="G32" s="199">
        <v>174168</v>
      </c>
    </row>
    <row r="33" spans="1:7" x14ac:dyDescent="0.2">
      <c r="A33" s="3" t="s">
        <v>532</v>
      </c>
      <c r="B33" s="3" t="s">
        <v>886</v>
      </c>
      <c r="C33" s="207">
        <f t="shared" si="0"/>
        <v>3735</v>
      </c>
      <c r="D33" s="199">
        <v>3735</v>
      </c>
      <c r="E33" s="199">
        <v>105963</v>
      </c>
      <c r="F33" s="199">
        <v>105963</v>
      </c>
      <c r="G33" s="199">
        <v>248647</v>
      </c>
    </row>
    <row r="34" spans="1:7" x14ac:dyDescent="0.2">
      <c r="A34" s="3" t="s">
        <v>533</v>
      </c>
      <c r="B34" s="3" t="s">
        <v>887</v>
      </c>
      <c r="C34" s="207">
        <f t="shared" si="0"/>
        <v>10356</v>
      </c>
      <c r="D34" s="199">
        <v>10356</v>
      </c>
      <c r="E34" s="199">
        <v>171667</v>
      </c>
      <c r="F34" s="199">
        <v>171667</v>
      </c>
      <c r="G34" s="199">
        <v>241613</v>
      </c>
    </row>
    <row r="35" spans="1:7" x14ac:dyDescent="0.2">
      <c r="A35" s="3" t="s">
        <v>534</v>
      </c>
      <c r="B35" s="3" t="s">
        <v>888</v>
      </c>
      <c r="C35" s="207">
        <f t="shared" si="0"/>
        <v>10254</v>
      </c>
      <c r="D35" s="199">
        <v>10254</v>
      </c>
      <c r="E35" s="199">
        <v>274120</v>
      </c>
      <c r="F35" s="199">
        <v>274120</v>
      </c>
      <c r="G35" s="199">
        <v>246912</v>
      </c>
    </row>
    <row r="36" spans="1:7" x14ac:dyDescent="0.2">
      <c r="A36" s="3" t="s">
        <v>535</v>
      </c>
      <c r="B36" s="3" t="s">
        <v>889</v>
      </c>
      <c r="C36" s="207">
        <f t="shared" si="0"/>
        <v>3076</v>
      </c>
      <c r="D36" s="199">
        <v>3076</v>
      </c>
      <c r="E36" s="199">
        <v>121557</v>
      </c>
      <c r="F36" s="199">
        <v>121557</v>
      </c>
      <c r="G36" s="199">
        <v>193932</v>
      </c>
    </row>
    <row r="37" spans="1:7" x14ac:dyDescent="0.2">
      <c r="A37" s="3" t="s">
        <v>536</v>
      </c>
      <c r="B37" s="3" t="s">
        <v>890</v>
      </c>
      <c r="C37" s="207">
        <f t="shared" si="0"/>
        <v>1637</v>
      </c>
      <c r="D37" s="199">
        <v>1637</v>
      </c>
      <c r="E37" s="199">
        <v>268727</v>
      </c>
      <c r="F37" s="199">
        <v>268727</v>
      </c>
      <c r="G37" s="199">
        <v>293195</v>
      </c>
    </row>
    <row r="38" spans="1:7" x14ac:dyDescent="0.2">
      <c r="A38" s="3" t="s">
        <v>180</v>
      </c>
      <c r="B38" s="3" t="s">
        <v>181</v>
      </c>
      <c r="C38" s="207">
        <f t="shared" si="0"/>
        <v>125036</v>
      </c>
      <c r="D38" s="199">
        <v>125036</v>
      </c>
      <c r="E38" s="199">
        <v>252854</v>
      </c>
      <c r="F38" s="199">
        <v>252854</v>
      </c>
      <c r="G38" s="199">
        <v>279399</v>
      </c>
    </row>
    <row r="39" spans="1:7" x14ac:dyDescent="0.2">
      <c r="A39" s="3" t="s">
        <v>537</v>
      </c>
      <c r="B39" s="3" t="s">
        <v>858</v>
      </c>
      <c r="C39" s="207">
        <f t="shared" si="0"/>
        <v>2154</v>
      </c>
      <c r="D39" s="199">
        <v>2154</v>
      </c>
      <c r="E39" s="199">
        <v>131271</v>
      </c>
      <c r="F39" s="199">
        <v>331271</v>
      </c>
      <c r="G39" s="199">
        <v>277326</v>
      </c>
    </row>
    <row r="40" spans="1:7" x14ac:dyDescent="0.2">
      <c r="A40" s="3" t="s">
        <v>538</v>
      </c>
      <c r="B40" s="3" t="s">
        <v>859</v>
      </c>
      <c r="C40" s="207">
        <f t="shared" si="0"/>
        <v>8070</v>
      </c>
      <c r="D40" s="199">
        <v>8070</v>
      </c>
      <c r="E40" s="199">
        <v>195411</v>
      </c>
      <c r="F40" s="199">
        <v>195411</v>
      </c>
      <c r="G40" s="199">
        <v>191709</v>
      </c>
    </row>
    <row r="41" spans="1:7" x14ac:dyDescent="0.2">
      <c r="A41" s="3" t="s">
        <v>539</v>
      </c>
      <c r="B41" s="3" t="s">
        <v>860</v>
      </c>
      <c r="C41" s="207">
        <f t="shared" si="0"/>
        <v>2342</v>
      </c>
      <c r="D41" s="199">
        <v>2342</v>
      </c>
      <c r="E41" s="199">
        <v>290451</v>
      </c>
      <c r="F41" s="199">
        <v>290451</v>
      </c>
      <c r="G41" s="199">
        <v>187443</v>
      </c>
    </row>
    <row r="42" spans="1:7" x14ac:dyDescent="0.2">
      <c r="A42" s="3" t="s">
        <v>215</v>
      </c>
      <c r="B42" s="3" t="s">
        <v>216</v>
      </c>
      <c r="C42" s="207">
        <f t="shared" si="0"/>
        <v>2156</v>
      </c>
      <c r="D42" s="199">
        <v>2156</v>
      </c>
      <c r="E42" s="199">
        <v>111930</v>
      </c>
      <c r="F42" s="199">
        <v>111930</v>
      </c>
      <c r="G42" s="199">
        <v>190564</v>
      </c>
    </row>
    <row r="43" spans="1:7" x14ac:dyDescent="0.2">
      <c r="A43" s="3" t="s">
        <v>540</v>
      </c>
      <c r="B43" s="3" t="s">
        <v>833</v>
      </c>
      <c r="C43" s="207">
        <f t="shared" si="0"/>
        <v>2226</v>
      </c>
      <c r="D43" s="199">
        <v>2226</v>
      </c>
      <c r="E43" s="199">
        <v>321526</v>
      </c>
      <c r="F43" s="199">
        <v>321526</v>
      </c>
      <c r="G43" s="199">
        <v>196496</v>
      </c>
    </row>
    <row r="44" spans="1:7" x14ac:dyDescent="0.2">
      <c r="A44" s="3" t="s">
        <v>211</v>
      </c>
      <c r="B44" s="3" t="s">
        <v>212</v>
      </c>
      <c r="C44" s="207">
        <f t="shared" si="0"/>
        <v>2454</v>
      </c>
      <c r="D44" s="199">
        <v>2454</v>
      </c>
      <c r="E44" s="199">
        <v>138527</v>
      </c>
      <c r="F44" s="199">
        <v>138527</v>
      </c>
      <c r="G44" s="199">
        <v>251547</v>
      </c>
    </row>
    <row r="45" spans="1:7" x14ac:dyDescent="0.2">
      <c r="A45" s="3" t="s">
        <v>207</v>
      </c>
      <c r="B45" s="3" t="s">
        <v>208</v>
      </c>
      <c r="C45" s="207">
        <f t="shared" si="0"/>
        <v>2458</v>
      </c>
      <c r="D45" s="199">
        <v>2458</v>
      </c>
      <c r="E45" s="199">
        <v>368952</v>
      </c>
      <c r="F45" s="199">
        <v>368952</v>
      </c>
      <c r="G45" s="199">
        <v>240263</v>
      </c>
    </row>
    <row r="46" spans="1:7" x14ac:dyDescent="0.2">
      <c r="A46" s="3" t="s">
        <v>541</v>
      </c>
      <c r="B46" s="3" t="s">
        <v>851</v>
      </c>
      <c r="C46" s="207">
        <f t="shared" si="0"/>
        <v>8750</v>
      </c>
      <c r="D46" s="199">
        <v>8750</v>
      </c>
      <c r="E46" s="199">
        <v>157307</v>
      </c>
      <c r="F46" s="199">
        <v>157307</v>
      </c>
      <c r="G46" s="199">
        <v>216743</v>
      </c>
    </row>
    <row r="47" spans="1:7" x14ac:dyDescent="0.2">
      <c r="A47" s="3" t="s">
        <v>542</v>
      </c>
      <c r="B47" s="3" t="s">
        <v>852</v>
      </c>
      <c r="C47" s="207">
        <f t="shared" si="0"/>
        <v>3450</v>
      </c>
      <c r="D47" s="199">
        <v>3450</v>
      </c>
      <c r="E47" s="199">
        <v>103297</v>
      </c>
      <c r="F47" s="199">
        <v>103297</v>
      </c>
      <c r="G47" s="199">
        <v>262457</v>
      </c>
    </row>
    <row r="48" spans="1:7" x14ac:dyDescent="0.2">
      <c r="A48" s="3" t="s">
        <v>543</v>
      </c>
      <c r="B48" s="3" t="s">
        <v>853</v>
      </c>
      <c r="C48" s="207">
        <f t="shared" si="0"/>
        <v>4730</v>
      </c>
      <c r="D48" s="199">
        <v>4730</v>
      </c>
      <c r="E48" s="199">
        <v>114514</v>
      </c>
      <c r="F48" s="199">
        <v>114514</v>
      </c>
      <c r="G48" s="199">
        <v>165399</v>
      </c>
    </row>
    <row r="49" spans="1:7" x14ac:dyDescent="0.2">
      <c r="A49" s="3" t="s">
        <v>544</v>
      </c>
      <c r="B49" s="3" t="s">
        <v>854</v>
      </c>
      <c r="C49" s="207">
        <f t="shared" si="0"/>
        <v>8230</v>
      </c>
      <c r="D49" s="199">
        <v>8230</v>
      </c>
      <c r="E49" s="199">
        <v>157808</v>
      </c>
      <c r="F49" s="199">
        <v>157808</v>
      </c>
      <c r="G49" s="199">
        <v>195478</v>
      </c>
    </row>
    <row r="50" spans="1:7" x14ac:dyDescent="0.2">
      <c r="A50" s="3" t="s">
        <v>545</v>
      </c>
      <c r="B50" s="3" t="s">
        <v>855</v>
      </c>
      <c r="C50" s="207">
        <f t="shared" si="0"/>
        <v>7065</v>
      </c>
      <c r="D50" s="199">
        <v>7065</v>
      </c>
      <c r="E50" s="199">
        <v>197813</v>
      </c>
      <c r="F50" s="199">
        <v>197813</v>
      </c>
      <c r="G50" s="199">
        <v>243044</v>
      </c>
    </row>
    <row r="51" spans="1:7" x14ac:dyDescent="0.2">
      <c r="A51" s="3" t="s">
        <v>546</v>
      </c>
      <c r="B51" s="3" t="s">
        <v>856</v>
      </c>
      <c r="C51" s="207">
        <f t="shared" si="0"/>
        <v>2456</v>
      </c>
      <c r="D51" s="199">
        <v>2456</v>
      </c>
      <c r="E51" s="199">
        <v>186953</v>
      </c>
      <c r="F51" s="199">
        <v>305695</v>
      </c>
      <c r="G51" s="199">
        <v>209624</v>
      </c>
    </row>
    <row r="52" spans="1:7" x14ac:dyDescent="0.2">
      <c r="A52" s="3" t="s">
        <v>547</v>
      </c>
      <c r="B52" s="3" t="s">
        <v>857</v>
      </c>
      <c r="C52" s="207">
        <f t="shared" si="0"/>
        <v>9246</v>
      </c>
      <c r="D52" s="199">
        <v>9246</v>
      </c>
      <c r="E52" s="199">
        <v>162701</v>
      </c>
      <c r="F52" s="199">
        <v>162701</v>
      </c>
      <c r="G52" s="199">
        <v>230503</v>
      </c>
    </row>
    <row r="53" spans="1:7" x14ac:dyDescent="0.2">
      <c r="A53" s="3" t="s">
        <v>184</v>
      </c>
      <c r="B53" s="3" t="s">
        <v>185</v>
      </c>
      <c r="C53" s="207">
        <f t="shared" si="0"/>
        <v>85612</v>
      </c>
      <c r="D53" s="199">
        <v>85612</v>
      </c>
      <c r="E53" s="199">
        <v>260729</v>
      </c>
      <c r="F53" s="199">
        <v>260729</v>
      </c>
      <c r="G53" s="199">
        <v>181818</v>
      </c>
    </row>
    <row r="54" spans="1:7" x14ac:dyDescent="0.2">
      <c r="A54" s="3" t="s">
        <v>188</v>
      </c>
      <c r="B54" s="3" t="s">
        <v>189</v>
      </c>
      <c r="C54" s="207">
        <f t="shared" si="0"/>
        <v>54682</v>
      </c>
      <c r="D54" s="199">
        <v>54682</v>
      </c>
      <c r="E54" s="199">
        <v>302641</v>
      </c>
      <c r="F54" s="199">
        <v>302641</v>
      </c>
      <c r="G54" s="199">
        <v>230231</v>
      </c>
    </row>
    <row r="55" spans="1:7" x14ac:dyDescent="0.2">
      <c r="A55" s="3" t="s">
        <v>209</v>
      </c>
      <c r="B55" s="3" t="s">
        <v>210</v>
      </c>
      <c r="C55" s="207">
        <f t="shared" si="0"/>
        <v>2456</v>
      </c>
      <c r="D55" s="199">
        <v>2456</v>
      </c>
      <c r="E55" s="199">
        <v>172838</v>
      </c>
      <c r="F55" s="199">
        <v>172838</v>
      </c>
      <c r="G55" s="199">
        <v>220662</v>
      </c>
    </row>
    <row r="56" spans="1:7" x14ac:dyDescent="0.2">
      <c r="A56" s="3" t="s">
        <v>548</v>
      </c>
      <c r="B56" s="3" t="s">
        <v>834</v>
      </c>
      <c r="C56" s="207">
        <f t="shared" si="0"/>
        <v>2559</v>
      </c>
      <c r="D56" s="199">
        <v>2559</v>
      </c>
      <c r="E56" s="199">
        <v>356780</v>
      </c>
      <c r="F56" s="199">
        <v>356780</v>
      </c>
      <c r="G56" s="199">
        <v>246682</v>
      </c>
    </row>
    <row r="57" spans="1:7" x14ac:dyDescent="0.2">
      <c r="A57" s="3" t="s">
        <v>549</v>
      </c>
      <c r="B57" s="3" t="s">
        <v>835</v>
      </c>
      <c r="C57" s="207">
        <f t="shared" si="0"/>
        <v>2547</v>
      </c>
      <c r="D57" s="199">
        <v>2547</v>
      </c>
      <c r="E57" s="199">
        <v>288403</v>
      </c>
      <c r="F57" s="199">
        <v>288403</v>
      </c>
      <c r="G57" s="199">
        <v>232888</v>
      </c>
    </row>
    <row r="58" spans="1:7" x14ac:dyDescent="0.2">
      <c r="A58" s="3" t="s">
        <v>550</v>
      </c>
      <c r="B58" s="3" t="s">
        <v>836</v>
      </c>
      <c r="C58" s="207">
        <f t="shared" si="0"/>
        <v>7654</v>
      </c>
      <c r="D58" s="199">
        <v>7654</v>
      </c>
      <c r="E58" s="199">
        <v>154928</v>
      </c>
      <c r="F58" s="199">
        <v>154928</v>
      </c>
      <c r="G58" s="199">
        <v>211584</v>
      </c>
    </row>
    <row r="59" spans="1:7" x14ac:dyDescent="0.2">
      <c r="A59" s="3" t="s">
        <v>551</v>
      </c>
      <c r="B59" s="3" t="s">
        <v>845</v>
      </c>
      <c r="C59" s="207">
        <f t="shared" si="0"/>
        <v>2549</v>
      </c>
      <c r="D59" s="199">
        <v>2549</v>
      </c>
      <c r="E59" s="199">
        <v>289410</v>
      </c>
      <c r="F59" s="199">
        <v>299410</v>
      </c>
      <c r="G59" s="199">
        <v>161350</v>
      </c>
    </row>
    <row r="60" spans="1:7" x14ac:dyDescent="0.2">
      <c r="A60" s="3" t="s">
        <v>552</v>
      </c>
      <c r="B60" s="3" t="s">
        <v>846</v>
      </c>
      <c r="C60" s="207">
        <f t="shared" si="0"/>
        <v>4084</v>
      </c>
      <c r="D60" s="199">
        <v>4084</v>
      </c>
      <c r="E60" s="199">
        <v>196199</v>
      </c>
      <c r="F60" s="199">
        <v>196199</v>
      </c>
      <c r="G60" s="199">
        <v>162618</v>
      </c>
    </row>
    <row r="61" spans="1:7" x14ac:dyDescent="0.2">
      <c r="A61" s="3" t="s">
        <v>553</v>
      </c>
      <c r="B61" s="3" t="s">
        <v>847</v>
      </c>
      <c r="C61" s="207">
        <f t="shared" si="0"/>
        <v>10038</v>
      </c>
      <c r="D61" s="199">
        <v>10038</v>
      </c>
      <c r="E61" s="199">
        <v>192060</v>
      </c>
      <c r="F61" s="199">
        <v>192060</v>
      </c>
      <c r="G61" s="199">
        <v>212844</v>
      </c>
    </row>
    <row r="62" spans="1:7" x14ac:dyDescent="0.2">
      <c r="A62" s="3" t="s">
        <v>554</v>
      </c>
      <c r="B62" s="3" t="s">
        <v>848</v>
      </c>
      <c r="C62" s="207">
        <f t="shared" si="0"/>
        <v>2525</v>
      </c>
      <c r="D62" s="199">
        <v>2525</v>
      </c>
      <c r="E62" s="199">
        <v>309153</v>
      </c>
      <c r="F62" s="199">
        <v>309153</v>
      </c>
      <c r="G62" s="199">
        <v>242956</v>
      </c>
    </row>
    <row r="63" spans="1:7" x14ac:dyDescent="0.2">
      <c r="A63" s="3" t="s">
        <v>555</v>
      </c>
      <c r="B63" s="3" t="s">
        <v>849</v>
      </c>
      <c r="C63" s="207">
        <f t="shared" si="0"/>
        <v>6003</v>
      </c>
      <c r="D63" s="199">
        <v>6003</v>
      </c>
      <c r="E63" s="199">
        <v>149604</v>
      </c>
      <c r="F63" s="199">
        <v>149604</v>
      </c>
      <c r="G63" s="199">
        <v>163362</v>
      </c>
    </row>
    <row r="64" spans="1:7" x14ac:dyDescent="0.2">
      <c r="A64" s="3" t="s">
        <v>556</v>
      </c>
      <c r="B64" s="3" t="s">
        <v>850</v>
      </c>
      <c r="C64" s="207">
        <f t="shared" si="0"/>
        <v>2189</v>
      </c>
      <c r="D64" s="199">
        <v>2189</v>
      </c>
      <c r="E64" s="199">
        <v>279461</v>
      </c>
      <c r="F64" s="199">
        <v>279461</v>
      </c>
      <c r="G64" s="199">
        <v>184220</v>
      </c>
    </row>
    <row r="65" spans="1:7" x14ac:dyDescent="0.2">
      <c r="A65" s="3" t="s">
        <v>182</v>
      </c>
      <c r="B65" s="3" t="s">
        <v>183</v>
      </c>
      <c r="C65" s="207">
        <f t="shared" si="0"/>
        <v>86542</v>
      </c>
      <c r="D65" s="199">
        <v>86542</v>
      </c>
      <c r="E65" s="199">
        <v>356914</v>
      </c>
      <c r="F65" s="199">
        <v>356914</v>
      </c>
      <c r="G65" s="199">
        <v>215086</v>
      </c>
    </row>
    <row r="66" spans="1:7" x14ac:dyDescent="0.2">
      <c r="A66" s="3" t="s">
        <v>557</v>
      </c>
      <c r="B66" s="3" t="s">
        <v>837</v>
      </c>
      <c r="C66" s="207">
        <f t="shared" si="0"/>
        <v>2458</v>
      </c>
      <c r="D66" s="199">
        <v>2458</v>
      </c>
      <c r="E66" s="199">
        <v>145250</v>
      </c>
      <c r="F66" s="199">
        <v>145250</v>
      </c>
      <c r="G66" s="199">
        <v>221007</v>
      </c>
    </row>
    <row r="67" spans="1:7" x14ac:dyDescent="0.2">
      <c r="A67" s="3" t="s">
        <v>192</v>
      </c>
      <c r="B67" s="3" t="s">
        <v>193</v>
      </c>
      <c r="C67" s="207">
        <f t="shared" ref="C67:C130" si="1">D67</f>
        <v>45896</v>
      </c>
      <c r="D67" s="199">
        <v>45896</v>
      </c>
      <c r="E67" s="199">
        <v>171592</v>
      </c>
      <c r="F67" s="199">
        <v>171592</v>
      </c>
      <c r="G67" s="199">
        <v>226908</v>
      </c>
    </row>
    <row r="68" spans="1:7" x14ac:dyDescent="0.2">
      <c r="A68" s="3" t="s">
        <v>558</v>
      </c>
      <c r="B68" s="3" t="s">
        <v>838</v>
      </c>
      <c r="C68" s="207">
        <f t="shared" si="1"/>
        <v>9748</v>
      </c>
      <c r="D68" s="199">
        <v>9748</v>
      </c>
      <c r="E68" s="199">
        <v>162464</v>
      </c>
      <c r="F68" s="199">
        <v>162464</v>
      </c>
      <c r="G68" s="199">
        <v>182556</v>
      </c>
    </row>
    <row r="69" spans="1:7" x14ac:dyDescent="0.2">
      <c r="A69" s="3" t="s">
        <v>186</v>
      </c>
      <c r="B69" s="3" t="s">
        <v>187</v>
      </c>
      <c r="C69" s="207">
        <f t="shared" si="1"/>
        <v>65248</v>
      </c>
      <c r="D69" s="199">
        <v>65248</v>
      </c>
      <c r="E69" s="199">
        <v>279425</v>
      </c>
      <c r="F69" s="199">
        <v>279425</v>
      </c>
      <c r="G69" s="199">
        <v>251522</v>
      </c>
    </row>
    <row r="70" spans="1:7" x14ac:dyDescent="0.2">
      <c r="A70" s="3" t="s">
        <v>194</v>
      </c>
      <c r="B70" s="3" t="s">
        <v>195</v>
      </c>
      <c r="C70" s="207">
        <f t="shared" si="1"/>
        <v>36524</v>
      </c>
      <c r="D70" s="199">
        <v>36524</v>
      </c>
      <c r="E70" s="199">
        <v>319524</v>
      </c>
      <c r="F70" s="199">
        <v>319524</v>
      </c>
      <c r="G70" s="199">
        <v>210746</v>
      </c>
    </row>
    <row r="71" spans="1:7" x14ac:dyDescent="0.2">
      <c r="A71" s="3" t="s">
        <v>196</v>
      </c>
      <c r="B71" s="3" t="s">
        <v>197</v>
      </c>
      <c r="C71" s="207">
        <f t="shared" si="1"/>
        <v>36502</v>
      </c>
      <c r="D71" s="199">
        <v>36502</v>
      </c>
      <c r="E71" s="199">
        <v>199585</v>
      </c>
      <c r="F71" s="199">
        <v>199585</v>
      </c>
      <c r="G71" s="199">
        <v>166763</v>
      </c>
    </row>
    <row r="72" spans="1:7" x14ac:dyDescent="0.2">
      <c r="A72" s="3" t="s">
        <v>202</v>
      </c>
      <c r="B72" s="3" t="s">
        <v>839</v>
      </c>
      <c r="C72" s="207">
        <f t="shared" si="1"/>
        <v>25649</v>
      </c>
      <c r="D72" s="199">
        <v>25649</v>
      </c>
      <c r="E72" s="199">
        <v>221376</v>
      </c>
      <c r="F72" s="199">
        <v>221376</v>
      </c>
      <c r="G72" s="199">
        <v>169263</v>
      </c>
    </row>
    <row r="73" spans="1:7" x14ac:dyDescent="0.2">
      <c r="A73" s="3" t="s">
        <v>221</v>
      </c>
      <c r="B73" s="3" t="s">
        <v>222</v>
      </c>
      <c r="C73" s="207">
        <f t="shared" si="1"/>
        <v>2154</v>
      </c>
      <c r="D73" s="199">
        <v>2154</v>
      </c>
      <c r="E73" s="199">
        <v>88923</v>
      </c>
      <c r="F73" s="199">
        <v>88923</v>
      </c>
      <c r="G73" s="199">
        <v>88923</v>
      </c>
    </row>
    <row r="74" spans="1:7" x14ac:dyDescent="0.2">
      <c r="A74" s="3" t="s">
        <v>200</v>
      </c>
      <c r="B74" s="3" t="s">
        <v>201</v>
      </c>
      <c r="C74" s="207">
        <f t="shared" si="1"/>
        <v>25689</v>
      </c>
      <c r="D74" s="199">
        <v>25689</v>
      </c>
      <c r="E74" s="199">
        <v>153537</v>
      </c>
      <c r="F74" s="199">
        <v>153537</v>
      </c>
      <c r="G74" s="199">
        <v>289464</v>
      </c>
    </row>
    <row r="75" spans="1:7" x14ac:dyDescent="0.2">
      <c r="A75" s="3" t="s">
        <v>205</v>
      </c>
      <c r="B75" s="3" t="s">
        <v>206</v>
      </c>
      <c r="C75" s="207">
        <f t="shared" si="1"/>
        <v>25468</v>
      </c>
      <c r="D75" s="199">
        <v>25468</v>
      </c>
      <c r="E75" s="199">
        <v>256854</v>
      </c>
      <c r="F75" s="199">
        <v>256854</v>
      </c>
      <c r="G75" s="199">
        <v>220983</v>
      </c>
    </row>
    <row r="76" spans="1:7" x14ac:dyDescent="0.2">
      <c r="A76" s="3" t="s">
        <v>559</v>
      </c>
      <c r="B76" s="3" t="s">
        <v>840</v>
      </c>
      <c r="C76" s="207">
        <f t="shared" si="1"/>
        <v>235</v>
      </c>
      <c r="D76" s="199">
        <v>235</v>
      </c>
      <c r="E76" s="199">
        <v>326984</v>
      </c>
      <c r="F76" s="199">
        <v>326984</v>
      </c>
      <c r="G76" s="199">
        <v>205188</v>
      </c>
    </row>
    <row r="77" spans="1:7" x14ac:dyDescent="0.2">
      <c r="A77" s="3" t="s">
        <v>560</v>
      </c>
      <c r="B77" s="3" t="s">
        <v>841</v>
      </c>
      <c r="C77" s="207">
        <f t="shared" si="1"/>
        <v>941</v>
      </c>
      <c r="D77" s="199">
        <v>941</v>
      </c>
      <c r="E77" s="199">
        <v>156130</v>
      </c>
      <c r="F77" s="199">
        <v>156130</v>
      </c>
      <c r="G77" s="199">
        <v>208976</v>
      </c>
    </row>
    <row r="78" spans="1:7" x14ac:dyDescent="0.2">
      <c r="A78" s="3" t="s">
        <v>561</v>
      </c>
      <c r="B78" s="3" t="s">
        <v>842</v>
      </c>
      <c r="C78" s="207">
        <f t="shared" si="1"/>
        <v>220</v>
      </c>
      <c r="D78" s="199">
        <v>220</v>
      </c>
      <c r="E78" s="199">
        <v>299450</v>
      </c>
      <c r="F78" s="199">
        <v>299450</v>
      </c>
      <c r="G78" s="199">
        <v>165526</v>
      </c>
    </row>
    <row r="79" spans="1:7" x14ac:dyDescent="0.2">
      <c r="A79" s="3" t="s">
        <v>562</v>
      </c>
      <c r="B79" s="3" t="s">
        <v>843</v>
      </c>
      <c r="C79" s="207">
        <f t="shared" si="1"/>
        <v>407</v>
      </c>
      <c r="D79" s="199">
        <v>407</v>
      </c>
      <c r="E79" s="199">
        <v>141964</v>
      </c>
      <c r="F79" s="199">
        <v>141964</v>
      </c>
      <c r="G79" s="199">
        <v>289422</v>
      </c>
    </row>
    <row r="80" spans="1:7" x14ac:dyDescent="0.2">
      <c r="A80" s="3" t="s">
        <v>563</v>
      </c>
      <c r="B80" s="3" t="s">
        <v>844</v>
      </c>
      <c r="C80" s="207">
        <f t="shared" si="1"/>
        <v>771</v>
      </c>
      <c r="D80" s="199">
        <v>771</v>
      </c>
      <c r="E80" s="199">
        <v>128520</v>
      </c>
      <c r="F80" s="199">
        <v>128520</v>
      </c>
      <c r="G80" s="199">
        <v>293326</v>
      </c>
    </row>
    <row r="81" spans="1:7" x14ac:dyDescent="0.2">
      <c r="A81" s="3" t="s">
        <v>213</v>
      </c>
      <c r="B81" s="3" t="s">
        <v>214</v>
      </c>
      <c r="C81" s="207">
        <f t="shared" si="1"/>
        <v>258</v>
      </c>
      <c r="D81" s="199">
        <v>258</v>
      </c>
      <c r="E81" s="199">
        <v>183974</v>
      </c>
      <c r="F81" s="199">
        <v>183974</v>
      </c>
      <c r="G81" s="199">
        <v>208163</v>
      </c>
    </row>
    <row r="82" spans="1:7" x14ac:dyDescent="0.2">
      <c r="A82" s="3" t="s">
        <v>219</v>
      </c>
      <c r="B82" s="3" t="s">
        <v>220</v>
      </c>
      <c r="C82" s="207">
        <f t="shared" si="1"/>
        <v>215</v>
      </c>
      <c r="D82" s="199">
        <v>215</v>
      </c>
      <c r="E82" s="199">
        <v>152674</v>
      </c>
      <c r="F82" s="199">
        <v>152674</v>
      </c>
      <c r="G82" s="199">
        <v>152674</v>
      </c>
    </row>
    <row r="83" spans="1:7" x14ac:dyDescent="0.2">
      <c r="A83" s="3" t="s">
        <v>564</v>
      </c>
      <c r="B83" s="3" t="s">
        <v>832</v>
      </c>
      <c r="C83" s="207">
        <f t="shared" si="1"/>
        <v>69</v>
      </c>
      <c r="D83" s="199">
        <v>69</v>
      </c>
      <c r="E83" s="199">
        <v>131352</v>
      </c>
      <c r="F83" s="199">
        <v>131352</v>
      </c>
      <c r="G83" s="199">
        <v>263302</v>
      </c>
    </row>
    <row r="84" spans="1:7" x14ac:dyDescent="0.2">
      <c r="A84" s="3" t="s">
        <v>223</v>
      </c>
      <c r="B84" s="3" t="s">
        <v>224</v>
      </c>
      <c r="C84" s="207">
        <f t="shared" si="1"/>
        <v>213</v>
      </c>
      <c r="D84" s="199">
        <v>213</v>
      </c>
      <c r="E84" s="199">
        <v>72257</v>
      </c>
      <c r="F84" s="199">
        <v>72257</v>
      </c>
      <c r="G84" s="199">
        <v>72257</v>
      </c>
    </row>
    <row r="85" spans="1:7" x14ac:dyDescent="0.2">
      <c r="A85" s="3" t="s">
        <v>225</v>
      </c>
      <c r="B85" s="3" t="s">
        <v>226</v>
      </c>
      <c r="C85" s="207">
        <f t="shared" si="1"/>
        <v>104</v>
      </c>
      <c r="D85" s="199">
        <v>104</v>
      </c>
      <c r="E85" s="199">
        <v>73439</v>
      </c>
      <c r="F85" s="199">
        <v>73439</v>
      </c>
      <c r="G85" s="199">
        <v>73439</v>
      </c>
    </row>
    <row r="86" spans="1:7" x14ac:dyDescent="0.2">
      <c r="A86" s="3" t="s">
        <v>227</v>
      </c>
      <c r="B86" s="3" t="s">
        <v>228</v>
      </c>
      <c r="C86" s="207">
        <f t="shared" si="1"/>
        <v>668</v>
      </c>
      <c r="D86" s="199">
        <v>668</v>
      </c>
      <c r="E86" s="199">
        <v>40939</v>
      </c>
      <c r="F86" s="199">
        <v>40939</v>
      </c>
      <c r="G86" s="199">
        <v>40939</v>
      </c>
    </row>
    <row r="87" spans="1:7" x14ac:dyDescent="0.2">
      <c r="A87" s="3" t="s">
        <v>229</v>
      </c>
      <c r="B87" s="3" t="s">
        <v>230</v>
      </c>
      <c r="C87" s="207">
        <f t="shared" si="1"/>
        <v>233</v>
      </c>
      <c r="D87" s="199">
        <v>233</v>
      </c>
      <c r="E87" s="199">
        <v>57723</v>
      </c>
      <c r="F87" s="199">
        <v>57723</v>
      </c>
      <c r="G87" s="199">
        <v>57723</v>
      </c>
    </row>
    <row r="88" spans="1:7" x14ac:dyDescent="0.2">
      <c r="A88" s="3" t="s">
        <v>231</v>
      </c>
      <c r="B88" s="3" t="s">
        <v>232</v>
      </c>
      <c r="C88" s="207">
        <f t="shared" si="1"/>
        <v>224</v>
      </c>
      <c r="D88" s="199">
        <v>224</v>
      </c>
      <c r="E88" s="199">
        <v>94108</v>
      </c>
      <c r="F88" s="199">
        <v>94108</v>
      </c>
      <c r="G88" s="199">
        <v>94108</v>
      </c>
    </row>
    <row r="89" spans="1:7" x14ac:dyDescent="0.2">
      <c r="A89" s="3" t="s">
        <v>233</v>
      </c>
      <c r="B89" s="3" t="s">
        <v>234</v>
      </c>
      <c r="C89" s="207">
        <f t="shared" si="1"/>
        <v>213</v>
      </c>
      <c r="D89" s="199">
        <v>213</v>
      </c>
      <c r="E89" s="199">
        <v>76668</v>
      </c>
      <c r="F89" s="199">
        <v>76668</v>
      </c>
      <c r="G89" s="199">
        <v>76668</v>
      </c>
    </row>
    <row r="90" spans="1:7" x14ac:dyDescent="0.2">
      <c r="A90" s="3" t="s">
        <v>235</v>
      </c>
      <c r="B90" s="3" t="s">
        <v>236</v>
      </c>
      <c r="C90" s="207">
        <f t="shared" si="1"/>
        <v>202</v>
      </c>
      <c r="D90" s="199">
        <v>202</v>
      </c>
      <c r="E90" s="199">
        <v>74097</v>
      </c>
      <c r="F90" s="199">
        <v>74097</v>
      </c>
      <c r="G90" s="199">
        <v>74097</v>
      </c>
    </row>
    <row r="91" spans="1:7" x14ac:dyDescent="0.2">
      <c r="A91" s="3" t="s">
        <v>237</v>
      </c>
      <c r="B91" s="3" t="s">
        <v>238</v>
      </c>
      <c r="C91" s="207">
        <f t="shared" si="1"/>
        <v>191</v>
      </c>
      <c r="D91" s="199">
        <v>191</v>
      </c>
      <c r="E91" s="199">
        <v>64765</v>
      </c>
      <c r="F91" s="199">
        <v>64765</v>
      </c>
      <c r="G91" s="199">
        <v>64765</v>
      </c>
    </row>
    <row r="92" spans="1:7" x14ac:dyDescent="0.2">
      <c r="A92" s="3" t="s">
        <v>239</v>
      </c>
      <c r="B92" s="3" t="s">
        <v>240</v>
      </c>
      <c r="C92" s="207">
        <f t="shared" si="1"/>
        <v>180</v>
      </c>
      <c r="D92" s="199">
        <v>180</v>
      </c>
      <c r="E92" s="199">
        <v>35588</v>
      </c>
      <c r="F92" s="199">
        <v>35588</v>
      </c>
      <c r="G92" s="199">
        <v>35588</v>
      </c>
    </row>
    <row r="93" spans="1:7" x14ac:dyDescent="0.2">
      <c r="A93" s="3" t="s">
        <v>241</v>
      </c>
      <c r="B93" s="3" t="s">
        <v>242</v>
      </c>
      <c r="C93" s="207">
        <f t="shared" si="1"/>
        <v>169</v>
      </c>
      <c r="D93" s="199">
        <v>169</v>
      </c>
      <c r="E93" s="199">
        <v>68357</v>
      </c>
      <c r="F93" s="199">
        <v>68357</v>
      </c>
      <c r="G93" s="199">
        <v>68357</v>
      </c>
    </row>
    <row r="94" spans="1:7" x14ac:dyDescent="0.2">
      <c r="A94" s="3" t="s">
        <v>243</v>
      </c>
      <c r="B94" s="3" t="s">
        <v>244</v>
      </c>
      <c r="C94" s="207">
        <f t="shared" si="1"/>
        <v>159</v>
      </c>
      <c r="D94" s="199">
        <v>159</v>
      </c>
      <c r="E94" s="199">
        <v>14214</v>
      </c>
      <c r="F94" s="199">
        <v>14214</v>
      </c>
      <c r="G94" s="199">
        <v>14214</v>
      </c>
    </row>
    <row r="95" spans="1:7" x14ac:dyDescent="0.2">
      <c r="A95" s="3" t="s">
        <v>245</v>
      </c>
      <c r="B95" s="3" t="s">
        <v>246</v>
      </c>
      <c r="C95" s="207">
        <f t="shared" si="1"/>
        <v>148</v>
      </c>
      <c r="D95" s="199">
        <v>148</v>
      </c>
      <c r="E95" s="199">
        <v>7906</v>
      </c>
      <c r="F95" s="199">
        <v>7906</v>
      </c>
      <c r="G95" s="199">
        <v>7906</v>
      </c>
    </row>
    <row r="96" spans="1:7" x14ac:dyDescent="0.2">
      <c r="A96" s="3" t="s">
        <v>247</v>
      </c>
      <c r="B96" s="3" t="s">
        <v>248</v>
      </c>
      <c r="C96" s="207">
        <f t="shared" si="1"/>
        <v>137</v>
      </c>
      <c r="D96" s="199">
        <v>137</v>
      </c>
      <c r="E96" s="199">
        <v>64385</v>
      </c>
      <c r="F96" s="199">
        <v>64385</v>
      </c>
      <c r="G96" s="199">
        <v>64385</v>
      </c>
    </row>
    <row r="97" spans="1:7" x14ac:dyDescent="0.2">
      <c r="A97" s="3" t="s">
        <v>249</v>
      </c>
      <c r="B97" s="3" t="s">
        <v>250</v>
      </c>
      <c r="C97" s="207">
        <f t="shared" si="1"/>
        <v>126</v>
      </c>
      <c r="D97" s="199">
        <v>126</v>
      </c>
      <c r="E97" s="199">
        <v>41845</v>
      </c>
      <c r="F97" s="199">
        <v>41845</v>
      </c>
      <c r="G97" s="199">
        <v>41845</v>
      </c>
    </row>
    <row r="98" spans="1:7" x14ac:dyDescent="0.2">
      <c r="A98" s="3" t="s">
        <v>251</v>
      </c>
      <c r="B98" s="3" t="s">
        <v>252</v>
      </c>
      <c r="C98" s="207">
        <f t="shared" si="1"/>
        <v>115</v>
      </c>
      <c r="D98" s="199">
        <v>115</v>
      </c>
      <c r="E98" s="199">
        <v>62767</v>
      </c>
      <c r="F98" s="199">
        <v>62767</v>
      </c>
      <c r="G98" s="199">
        <v>62767</v>
      </c>
    </row>
    <row r="99" spans="1:7" x14ac:dyDescent="0.2">
      <c r="A99" s="3" t="s">
        <v>253</v>
      </c>
      <c r="B99" s="3" t="s">
        <v>254</v>
      </c>
      <c r="C99" s="207">
        <f t="shared" si="1"/>
        <v>104</v>
      </c>
      <c r="D99" s="199">
        <v>104</v>
      </c>
      <c r="E99" s="199">
        <v>86611</v>
      </c>
      <c r="F99" s="199">
        <v>86611</v>
      </c>
      <c r="G99" s="199">
        <v>86611</v>
      </c>
    </row>
    <row r="100" spans="1:7" x14ac:dyDescent="0.2">
      <c r="A100" s="3" t="s">
        <v>255</v>
      </c>
      <c r="B100" s="3" t="s">
        <v>256</v>
      </c>
      <c r="C100" s="207">
        <f t="shared" si="1"/>
        <v>103</v>
      </c>
      <c r="D100" s="199">
        <v>103</v>
      </c>
      <c r="E100" s="199">
        <v>18888</v>
      </c>
      <c r="F100" s="199">
        <v>18888</v>
      </c>
      <c r="G100" s="199">
        <v>18888</v>
      </c>
    </row>
    <row r="101" spans="1:7" x14ac:dyDescent="0.2">
      <c r="A101" s="3" t="s">
        <v>257</v>
      </c>
      <c r="B101" s="3" t="s">
        <v>258</v>
      </c>
      <c r="C101" s="207">
        <f t="shared" si="1"/>
        <v>102</v>
      </c>
      <c r="D101" s="199">
        <v>102</v>
      </c>
      <c r="E101" s="199">
        <v>874</v>
      </c>
      <c r="F101" s="199">
        <v>874</v>
      </c>
      <c r="G101" s="199">
        <v>874</v>
      </c>
    </row>
    <row r="102" spans="1:7" x14ac:dyDescent="0.2">
      <c r="A102" s="3" t="s">
        <v>259</v>
      </c>
      <c r="B102" s="3" t="s">
        <v>260</v>
      </c>
      <c r="C102" s="207">
        <f t="shared" si="1"/>
        <v>102</v>
      </c>
      <c r="D102" s="199">
        <v>102</v>
      </c>
      <c r="E102" s="199">
        <v>731</v>
      </c>
      <c r="F102" s="199">
        <v>731</v>
      </c>
      <c r="G102" s="199">
        <v>731</v>
      </c>
    </row>
    <row r="103" spans="1:7" x14ac:dyDescent="0.2">
      <c r="A103" s="3" t="s">
        <v>261</v>
      </c>
      <c r="B103" s="3" t="s">
        <v>262</v>
      </c>
      <c r="C103" s="207">
        <f t="shared" si="1"/>
        <v>101</v>
      </c>
      <c r="D103" s="199">
        <v>101</v>
      </c>
      <c r="E103" s="199">
        <v>388</v>
      </c>
      <c r="F103" s="199">
        <v>388</v>
      </c>
      <c r="G103" s="199">
        <v>388</v>
      </c>
    </row>
    <row r="104" spans="1:7" x14ac:dyDescent="0.2">
      <c r="A104" s="3" t="s">
        <v>263</v>
      </c>
      <c r="B104" s="3" t="s">
        <v>264</v>
      </c>
      <c r="C104" s="207">
        <f t="shared" si="1"/>
        <v>100</v>
      </c>
      <c r="D104" s="199">
        <v>100</v>
      </c>
      <c r="E104" s="199">
        <v>424</v>
      </c>
      <c r="F104" s="199">
        <v>424</v>
      </c>
      <c r="G104" s="199">
        <v>424</v>
      </c>
    </row>
    <row r="105" spans="1:7" x14ac:dyDescent="0.2">
      <c r="A105" s="3" t="s">
        <v>265</v>
      </c>
      <c r="B105" s="3" t="s">
        <v>266</v>
      </c>
      <c r="C105" s="207">
        <f t="shared" si="1"/>
        <v>997</v>
      </c>
      <c r="D105" s="199">
        <v>997</v>
      </c>
      <c r="E105" s="199">
        <v>721</v>
      </c>
      <c r="F105" s="199">
        <v>721</v>
      </c>
      <c r="G105" s="199">
        <v>721</v>
      </c>
    </row>
    <row r="106" spans="1:7" x14ac:dyDescent="0.2">
      <c r="A106" s="3" t="s">
        <v>267</v>
      </c>
      <c r="B106" s="3" t="s">
        <v>268</v>
      </c>
      <c r="C106" s="207">
        <f t="shared" si="1"/>
        <v>989</v>
      </c>
      <c r="D106" s="199">
        <v>989</v>
      </c>
      <c r="E106" s="199">
        <v>565</v>
      </c>
      <c r="F106" s="199">
        <v>565</v>
      </c>
      <c r="G106" s="199">
        <v>565</v>
      </c>
    </row>
    <row r="107" spans="1:7" x14ac:dyDescent="0.2">
      <c r="A107" s="3" t="s">
        <v>269</v>
      </c>
      <c r="B107" s="3" t="s">
        <v>270</v>
      </c>
      <c r="C107" s="207">
        <f t="shared" si="1"/>
        <v>981</v>
      </c>
      <c r="D107" s="199">
        <v>981</v>
      </c>
      <c r="E107" s="199">
        <v>476</v>
      </c>
      <c r="F107" s="199">
        <v>476</v>
      </c>
      <c r="G107" s="199">
        <v>476</v>
      </c>
    </row>
    <row r="108" spans="1:7" x14ac:dyDescent="0.2">
      <c r="A108" s="3" t="s">
        <v>271</v>
      </c>
      <c r="B108" s="3" t="s">
        <v>272</v>
      </c>
      <c r="C108" s="207">
        <f t="shared" si="1"/>
        <v>973</v>
      </c>
      <c r="D108" s="199">
        <v>973</v>
      </c>
      <c r="E108" s="199">
        <v>162</v>
      </c>
      <c r="F108" s="199">
        <v>162</v>
      </c>
      <c r="G108" s="199">
        <v>162</v>
      </c>
    </row>
    <row r="109" spans="1:7" x14ac:dyDescent="0.2">
      <c r="A109" s="3" t="s">
        <v>273</v>
      </c>
      <c r="B109" s="3" t="s">
        <v>274</v>
      </c>
      <c r="C109" s="207">
        <f t="shared" si="1"/>
        <v>965</v>
      </c>
      <c r="D109" s="199">
        <v>965</v>
      </c>
      <c r="E109" s="199">
        <v>563</v>
      </c>
      <c r="F109" s="199">
        <v>563</v>
      </c>
      <c r="G109" s="199">
        <v>563</v>
      </c>
    </row>
    <row r="110" spans="1:7" x14ac:dyDescent="0.2">
      <c r="A110" s="3" t="s">
        <v>275</v>
      </c>
      <c r="B110" s="3" t="s">
        <v>276</v>
      </c>
      <c r="C110" s="207">
        <f t="shared" si="1"/>
        <v>957</v>
      </c>
      <c r="D110" s="199">
        <v>957</v>
      </c>
      <c r="E110" s="199">
        <v>344</v>
      </c>
      <c r="F110" s="199">
        <v>344</v>
      </c>
      <c r="G110" s="199">
        <v>344</v>
      </c>
    </row>
    <row r="111" spans="1:7" x14ac:dyDescent="0.2">
      <c r="A111" s="3" t="s">
        <v>277</v>
      </c>
      <c r="B111" s="3" t="s">
        <v>278</v>
      </c>
      <c r="C111" s="207">
        <f t="shared" si="1"/>
        <v>949</v>
      </c>
      <c r="D111" s="199">
        <v>949</v>
      </c>
      <c r="E111" s="199">
        <v>349</v>
      </c>
      <c r="F111" s="199">
        <v>349</v>
      </c>
      <c r="G111" s="199">
        <v>349</v>
      </c>
    </row>
    <row r="112" spans="1:7" x14ac:dyDescent="0.2">
      <c r="A112" s="3" t="s">
        <v>279</v>
      </c>
      <c r="B112" s="3" t="s">
        <v>280</v>
      </c>
      <c r="C112" s="207">
        <f t="shared" si="1"/>
        <v>941</v>
      </c>
      <c r="D112" s="199">
        <v>941</v>
      </c>
      <c r="E112" s="199">
        <v>321</v>
      </c>
      <c r="F112" s="199">
        <v>321</v>
      </c>
      <c r="G112" s="199">
        <v>321</v>
      </c>
    </row>
    <row r="113" spans="1:7" x14ac:dyDescent="0.2">
      <c r="A113" s="3" t="s">
        <v>281</v>
      </c>
      <c r="B113" s="3" t="s">
        <v>282</v>
      </c>
      <c r="C113" s="207">
        <f t="shared" si="1"/>
        <v>933</v>
      </c>
      <c r="D113" s="199">
        <v>933</v>
      </c>
      <c r="E113" s="199">
        <v>259</v>
      </c>
      <c r="F113" s="199">
        <v>259</v>
      </c>
      <c r="G113" s="199">
        <v>259</v>
      </c>
    </row>
    <row r="114" spans="1:7" x14ac:dyDescent="0.2">
      <c r="A114" s="3" t="s">
        <v>283</v>
      </c>
      <c r="B114" s="3" t="s">
        <v>284</v>
      </c>
      <c r="C114" s="207">
        <f t="shared" si="1"/>
        <v>925</v>
      </c>
      <c r="D114" s="199">
        <v>925</v>
      </c>
      <c r="E114" s="199">
        <v>166</v>
      </c>
      <c r="F114" s="199">
        <v>166</v>
      </c>
      <c r="G114" s="199">
        <v>166</v>
      </c>
    </row>
    <row r="115" spans="1:7" x14ac:dyDescent="0.2">
      <c r="A115" s="3" t="s">
        <v>285</v>
      </c>
      <c r="B115" s="3" t="s">
        <v>286</v>
      </c>
      <c r="C115" s="207">
        <f t="shared" si="1"/>
        <v>917</v>
      </c>
      <c r="D115" s="199">
        <v>917</v>
      </c>
      <c r="E115" s="199">
        <v>505</v>
      </c>
      <c r="F115" s="199">
        <v>505</v>
      </c>
      <c r="G115" s="199">
        <v>505</v>
      </c>
    </row>
    <row r="116" spans="1:7" x14ac:dyDescent="0.2">
      <c r="A116" s="3" t="s">
        <v>287</v>
      </c>
      <c r="B116" s="3" t="s">
        <v>288</v>
      </c>
      <c r="C116" s="207">
        <f t="shared" si="1"/>
        <v>909</v>
      </c>
      <c r="D116" s="199">
        <v>909</v>
      </c>
      <c r="E116" s="199">
        <v>791</v>
      </c>
      <c r="F116" s="199">
        <v>791</v>
      </c>
      <c r="G116" s="199">
        <v>791</v>
      </c>
    </row>
    <row r="117" spans="1:7" x14ac:dyDescent="0.2">
      <c r="A117" s="3" t="s">
        <v>289</v>
      </c>
      <c r="B117" s="3" t="s">
        <v>290</v>
      </c>
      <c r="C117" s="207">
        <f t="shared" si="1"/>
        <v>901</v>
      </c>
      <c r="D117" s="199">
        <v>901</v>
      </c>
      <c r="E117" s="199">
        <v>334</v>
      </c>
      <c r="F117" s="199">
        <v>334</v>
      </c>
      <c r="G117" s="199">
        <v>334</v>
      </c>
    </row>
    <row r="118" spans="1:7" x14ac:dyDescent="0.2">
      <c r="A118" s="3" t="s">
        <v>291</v>
      </c>
      <c r="B118" s="3" t="s">
        <v>292</v>
      </c>
      <c r="C118" s="207">
        <f t="shared" si="1"/>
        <v>893</v>
      </c>
      <c r="D118" s="199">
        <v>893</v>
      </c>
      <c r="E118" s="199">
        <v>441</v>
      </c>
      <c r="F118" s="199">
        <v>441</v>
      </c>
      <c r="G118" s="199">
        <v>441</v>
      </c>
    </row>
    <row r="119" spans="1:7" x14ac:dyDescent="0.2">
      <c r="A119" s="3" t="s">
        <v>293</v>
      </c>
      <c r="B119" s="3" t="s">
        <v>294</v>
      </c>
      <c r="C119" s="207">
        <f t="shared" si="1"/>
        <v>885</v>
      </c>
      <c r="D119" s="199">
        <v>885</v>
      </c>
      <c r="E119" s="199">
        <v>489</v>
      </c>
      <c r="F119" s="199">
        <v>489</v>
      </c>
      <c r="G119" s="199">
        <v>489</v>
      </c>
    </row>
    <row r="120" spans="1:7" x14ac:dyDescent="0.2">
      <c r="A120" s="3" t="s">
        <v>295</v>
      </c>
      <c r="B120" s="3" t="s">
        <v>296</v>
      </c>
      <c r="C120" s="207">
        <f t="shared" si="1"/>
        <v>877</v>
      </c>
      <c r="D120" s="199">
        <v>877</v>
      </c>
      <c r="E120" s="199">
        <v>984</v>
      </c>
      <c r="F120" s="199">
        <v>984</v>
      </c>
      <c r="G120" s="199">
        <v>984</v>
      </c>
    </row>
    <row r="121" spans="1:7" x14ac:dyDescent="0.2">
      <c r="A121" s="3" t="s">
        <v>297</v>
      </c>
      <c r="B121" s="3" t="s">
        <v>298</v>
      </c>
      <c r="C121" s="207">
        <f t="shared" si="1"/>
        <v>869</v>
      </c>
      <c r="D121" s="199">
        <v>869</v>
      </c>
      <c r="E121" s="199">
        <v>935</v>
      </c>
      <c r="F121" s="199">
        <v>935</v>
      </c>
      <c r="G121" s="199">
        <v>935</v>
      </c>
    </row>
    <row r="122" spans="1:7" x14ac:dyDescent="0.2">
      <c r="A122" s="3" t="s">
        <v>299</v>
      </c>
      <c r="B122" s="3" t="s">
        <v>300</v>
      </c>
      <c r="C122" s="207">
        <f t="shared" si="1"/>
        <v>861</v>
      </c>
      <c r="D122" s="199">
        <v>861</v>
      </c>
      <c r="E122" s="199">
        <v>753</v>
      </c>
      <c r="F122" s="199">
        <v>753</v>
      </c>
      <c r="G122" s="199">
        <v>753</v>
      </c>
    </row>
    <row r="123" spans="1:7" x14ac:dyDescent="0.2">
      <c r="A123" s="3" t="s">
        <v>301</v>
      </c>
      <c r="B123" s="3" t="s">
        <v>302</v>
      </c>
      <c r="C123" s="207">
        <f t="shared" si="1"/>
        <v>853</v>
      </c>
      <c r="D123" s="199">
        <v>853</v>
      </c>
      <c r="E123" s="199">
        <v>977</v>
      </c>
      <c r="F123" s="199">
        <v>977</v>
      </c>
      <c r="G123" s="199">
        <v>977</v>
      </c>
    </row>
    <row r="124" spans="1:7" x14ac:dyDescent="0.2">
      <c r="A124" s="3" t="s">
        <v>303</v>
      </c>
      <c r="B124" s="3" t="s">
        <v>304</v>
      </c>
      <c r="C124" s="207">
        <f t="shared" si="1"/>
        <v>845</v>
      </c>
      <c r="D124" s="199">
        <v>845</v>
      </c>
      <c r="E124" s="199">
        <v>855</v>
      </c>
      <c r="F124" s="199">
        <v>855</v>
      </c>
      <c r="G124" s="199">
        <v>855</v>
      </c>
    </row>
    <row r="125" spans="1:7" x14ac:dyDescent="0.2">
      <c r="A125" s="3" t="s">
        <v>305</v>
      </c>
      <c r="B125" s="3" t="s">
        <v>306</v>
      </c>
      <c r="C125" s="207">
        <f t="shared" si="1"/>
        <v>837</v>
      </c>
      <c r="D125" s="199">
        <v>837</v>
      </c>
      <c r="E125" s="199">
        <v>627</v>
      </c>
      <c r="F125" s="199">
        <v>627</v>
      </c>
      <c r="G125" s="199">
        <v>627</v>
      </c>
    </row>
    <row r="126" spans="1:7" x14ac:dyDescent="0.2">
      <c r="A126" s="3" t="s">
        <v>307</v>
      </c>
      <c r="B126" s="3" t="s">
        <v>308</v>
      </c>
      <c r="C126" s="207">
        <f t="shared" si="1"/>
        <v>829</v>
      </c>
      <c r="D126" s="199">
        <v>829</v>
      </c>
      <c r="E126" s="199">
        <v>767</v>
      </c>
      <c r="F126" s="199">
        <v>767</v>
      </c>
      <c r="G126" s="199">
        <v>767</v>
      </c>
    </row>
    <row r="127" spans="1:7" x14ac:dyDescent="0.2">
      <c r="A127" s="3" t="s">
        <v>309</v>
      </c>
      <c r="B127" s="3" t="s">
        <v>310</v>
      </c>
      <c r="C127" s="207">
        <f t="shared" si="1"/>
        <v>732</v>
      </c>
      <c r="D127" s="199">
        <v>732</v>
      </c>
      <c r="E127" s="199">
        <v>977</v>
      </c>
      <c r="F127" s="199">
        <v>977</v>
      </c>
      <c r="G127" s="199">
        <v>977</v>
      </c>
    </row>
    <row r="128" spans="1:7" x14ac:dyDescent="0.2">
      <c r="A128" s="3" t="s">
        <v>311</v>
      </c>
      <c r="B128" s="3" t="s">
        <v>312</v>
      </c>
      <c r="C128" s="207">
        <f t="shared" si="1"/>
        <v>666</v>
      </c>
      <c r="D128" s="199">
        <v>666</v>
      </c>
      <c r="E128" s="199">
        <v>772</v>
      </c>
      <c r="F128" s="199">
        <v>772</v>
      </c>
      <c r="G128" s="199">
        <v>772</v>
      </c>
    </row>
    <row r="129" spans="1:7" x14ac:dyDescent="0.2">
      <c r="A129" s="3" t="s">
        <v>313</v>
      </c>
      <c r="B129" s="3" t="s">
        <v>314</v>
      </c>
      <c r="C129" s="207">
        <f t="shared" si="1"/>
        <v>600</v>
      </c>
      <c r="D129" s="199">
        <v>600</v>
      </c>
      <c r="E129" s="199">
        <v>199</v>
      </c>
      <c r="F129" s="199">
        <v>199</v>
      </c>
      <c r="G129" s="199">
        <v>199</v>
      </c>
    </row>
    <row r="130" spans="1:7" x14ac:dyDescent="0.2">
      <c r="A130" s="3" t="s">
        <v>315</v>
      </c>
      <c r="B130" s="3" t="s">
        <v>316</v>
      </c>
      <c r="C130" s="207">
        <f t="shared" si="1"/>
        <v>534</v>
      </c>
      <c r="D130" s="199">
        <v>534</v>
      </c>
      <c r="E130" s="199">
        <v>132</v>
      </c>
      <c r="F130" s="199">
        <v>132</v>
      </c>
      <c r="G130" s="199">
        <v>132</v>
      </c>
    </row>
    <row r="131" spans="1:7" x14ac:dyDescent="0.2">
      <c r="A131" s="3" t="s">
        <v>317</v>
      </c>
      <c r="B131" s="3" t="s">
        <v>318</v>
      </c>
      <c r="C131" s="207">
        <f t="shared" ref="C131:C194" si="2">D131</f>
        <v>468</v>
      </c>
      <c r="D131" s="199">
        <v>468</v>
      </c>
      <c r="E131" s="199">
        <v>294</v>
      </c>
      <c r="F131" s="199">
        <v>294</v>
      </c>
      <c r="G131" s="199">
        <v>294</v>
      </c>
    </row>
    <row r="132" spans="1:7" x14ac:dyDescent="0.2">
      <c r="A132" s="3" t="s">
        <v>319</v>
      </c>
      <c r="B132" s="3" t="s">
        <v>320</v>
      </c>
      <c r="C132" s="207">
        <f t="shared" si="2"/>
        <v>402</v>
      </c>
      <c r="D132" s="199">
        <v>402</v>
      </c>
      <c r="E132" s="199">
        <v>490</v>
      </c>
      <c r="F132" s="199">
        <v>490</v>
      </c>
      <c r="G132" s="199">
        <v>490</v>
      </c>
    </row>
    <row r="133" spans="1:7" x14ac:dyDescent="0.2">
      <c r="A133" s="3" t="s">
        <v>321</v>
      </c>
      <c r="B133" s="3" t="s">
        <v>322</v>
      </c>
      <c r="C133" s="207">
        <f t="shared" si="2"/>
        <v>336</v>
      </c>
      <c r="D133" s="199">
        <v>336</v>
      </c>
      <c r="E133" s="199">
        <v>585</v>
      </c>
      <c r="F133" s="199">
        <v>585</v>
      </c>
      <c r="G133" s="199">
        <v>585</v>
      </c>
    </row>
    <row r="134" spans="1:7" x14ac:dyDescent="0.2">
      <c r="A134" s="3" t="s">
        <v>323</v>
      </c>
      <c r="B134" s="3" t="s">
        <v>324</v>
      </c>
      <c r="C134" s="207">
        <f t="shared" si="2"/>
        <v>270</v>
      </c>
      <c r="D134" s="199">
        <v>270</v>
      </c>
      <c r="E134" s="199">
        <v>104</v>
      </c>
      <c r="F134" s="199">
        <v>104</v>
      </c>
      <c r="G134" s="199">
        <v>104</v>
      </c>
    </row>
    <row r="135" spans="1:7" x14ac:dyDescent="0.2">
      <c r="A135" s="3" t="s">
        <v>325</v>
      </c>
      <c r="B135" s="3" t="s">
        <v>326</v>
      </c>
      <c r="C135" s="207">
        <f t="shared" si="2"/>
        <v>204</v>
      </c>
      <c r="D135" s="199">
        <v>204</v>
      </c>
      <c r="E135" s="199">
        <v>319</v>
      </c>
      <c r="F135" s="199">
        <v>319</v>
      </c>
      <c r="G135" s="199">
        <v>319</v>
      </c>
    </row>
    <row r="136" spans="1:7" x14ac:dyDescent="0.2">
      <c r="A136" s="3" t="s">
        <v>327</v>
      </c>
      <c r="B136" s="3" t="s">
        <v>328</v>
      </c>
      <c r="C136" s="207">
        <f t="shared" si="2"/>
        <v>203</v>
      </c>
      <c r="D136" s="199">
        <v>203</v>
      </c>
      <c r="E136" s="199">
        <v>224</v>
      </c>
      <c r="F136" s="199">
        <v>224</v>
      </c>
      <c r="G136" s="199">
        <v>224</v>
      </c>
    </row>
    <row r="137" spans="1:7" x14ac:dyDescent="0.2">
      <c r="A137" s="3" t="s">
        <v>329</v>
      </c>
      <c r="B137" s="3" t="s">
        <v>330</v>
      </c>
      <c r="C137" s="207">
        <f t="shared" si="2"/>
        <v>202</v>
      </c>
      <c r="D137" s="199">
        <v>202</v>
      </c>
      <c r="E137" s="199">
        <v>964</v>
      </c>
      <c r="F137" s="199">
        <v>964</v>
      </c>
      <c r="G137" s="199">
        <v>964</v>
      </c>
    </row>
    <row r="138" spans="1:7" x14ac:dyDescent="0.2">
      <c r="A138" s="3" t="s">
        <v>331</v>
      </c>
      <c r="B138" s="3" t="s">
        <v>332</v>
      </c>
      <c r="C138" s="207">
        <f t="shared" si="2"/>
        <v>201</v>
      </c>
      <c r="D138" s="199">
        <v>201</v>
      </c>
      <c r="E138" s="199">
        <v>781</v>
      </c>
      <c r="F138" s="199">
        <v>781</v>
      </c>
      <c r="G138" s="199">
        <v>781</v>
      </c>
    </row>
    <row r="139" spans="1:7" x14ac:dyDescent="0.2">
      <c r="A139" s="3" t="s">
        <v>333</v>
      </c>
      <c r="B139" s="3" t="s">
        <v>334</v>
      </c>
      <c r="C139" s="207">
        <f t="shared" si="2"/>
        <v>200</v>
      </c>
      <c r="D139" s="199">
        <v>200</v>
      </c>
      <c r="E139" s="199">
        <v>534</v>
      </c>
      <c r="F139" s="199">
        <v>534</v>
      </c>
      <c r="G139" s="199">
        <v>534</v>
      </c>
    </row>
    <row r="140" spans="1:7" x14ac:dyDescent="0.2">
      <c r="A140" s="3" t="s">
        <v>335</v>
      </c>
      <c r="B140" s="3" t="s">
        <v>336</v>
      </c>
      <c r="C140" s="207">
        <f t="shared" si="2"/>
        <v>199</v>
      </c>
      <c r="D140" s="199">
        <v>199</v>
      </c>
      <c r="E140" s="199">
        <v>1000</v>
      </c>
      <c r="F140" s="199">
        <v>1000</v>
      </c>
      <c r="G140" s="199">
        <v>1000</v>
      </c>
    </row>
    <row r="141" spans="1:7" x14ac:dyDescent="0.2">
      <c r="A141" s="3" t="s">
        <v>337</v>
      </c>
      <c r="B141" s="3" t="s">
        <v>338</v>
      </c>
      <c r="C141" s="207">
        <f t="shared" si="2"/>
        <v>198</v>
      </c>
      <c r="D141" s="199">
        <v>198</v>
      </c>
      <c r="E141" s="199">
        <v>929</v>
      </c>
      <c r="F141" s="199">
        <v>929</v>
      </c>
      <c r="G141" s="199">
        <v>929</v>
      </c>
    </row>
    <row r="142" spans="1:7" x14ac:dyDescent="0.2">
      <c r="A142" s="3" t="s">
        <v>339</v>
      </c>
      <c r="B142" s="3" t="s">
        <v>340</v>
      </c>
      <c r="C142" s="207">
        <f t="shared" si="2"/>
        <v>197</v>
      </c>
      <c r="D142" s="199">
        <v>197</v>
      </c>
      <c r="E142" s="199">
        <v>554</v>
      </c>
      <c r="F142" s="199">
        <v>554</v>
      </c>
      <c r="G142" s="199">
        <v>554</v>
      </c>
    </row>
    <row r="143" spans="1:7" x14ac:dyDescent="0.2">
      <c r="A143" s="3" t="s">
        <v>341</v>
      </c>
      <c r="B143" s="3" t="s">
        <v>342</v>
      </c>
      <c r="C143" s="207">
        <f t="shared" si="2"/>
        <v>196</v>
      </c>
      <c r="D143" s="199">
        <v>196</v>
      </c>
      <c r="E143" s="199">
        <v>242</v>
      </c>
      <c r="F143" s="199">
        <v>242</v>
      </c>
      <c r="G143" s="199">
        <v>242</v>
      </c>
    </row>
    <row r="144" spans="1:7" x14ac:dyDescent="0.2">
      <c r="A144" s="3" t="s">
        <v>343</v>
      </c>
      <c r="B144" s="3" t="s">
        <v>344</v>
      </c>
      <c r="C144" s="207">
        <f t="shared" si="2"/>
        <v>195</v>
      </c>
      <c r="D144" s="199">
        <v>195</v>
      </c>
      <c r="E144" s="199">
        <v>607</v>
      </c>
      <c r="F144" s="199">
        <v>607</v>
      </c>
      <c r="G144" s="199">
        <v>607</v>
      </c>
    </row>
    <row r="145" spans="1:7" x14ac:dyDescent="0.2">
      <c r="A145" s="3" t="s">
        <v>345</v>
      </c>
      <c r="B145" s="3" t="s">
        <v>346</v>
      </c>
      <c r="C145" s="207">
        <f t="shared" si="2"/>
        <v>194</v>
      </c>
      <c r="D145" s="199">
        <v>194</v>
      </c>
      <c r="E145" s="199">
        <v>341</v>
      </c>
      <c r="F145" s="199">
        <v>341</v>
      </c>
      <c r="G145" s="199">
        <v>341</v>
      </c>
    </row>
    <row r="146" spans="1:7" x14ac:dyDescent="0.2">
      <c r="A146" s="3" t="s">
        <v>347</v>
      </c>
      <c r="B146" s="3" t="s">
        <v>348</v>
      </c>
      <c r="C146" s="207">
        <f t="shared" si="2"/>
        <v>193</v>
      </c>
      <c r="D146" s="199">
        <v>193</v>
      </c>
      <c r="E146" s="199">
        <v>453</v>
      </c>
      <c r="F146" s="199">
        <v>453</v>
      </c>
      <c r="G146" s="199">
        <v>453</v>
      </c>
    </row>
    <row r="147" spans="1:7" x14ac:dyDescent="0.2">
      <c r="A147" s="3" t="s">
        <v>349</v>
      </c>
      <c r="B147" s="3" t="s">
        <v>350</v>
      </c>
      <c r="C147" s="207">
        <f t="shared" si="2"/>
        <v>192</v>
      </c>
      <c r="D147" s="199">
        <v>192</v>
      </c>
      <c r="E147" s="199">
        <v>992</v>
      </c>
      <c r="F147" s="199">
        <v>992</v>
      </c>
      <c r="G147" s="199">
        <v>992</v>
      </c>
    </row>
    <row r="148" spans="1:7" x14ac:dyDescent="0.2">
      <c r="A148" s="3" t="s">
        <v>351</v>
      </c>
      <c r="B148" s="3" t="s">
        <v>352</v>
      </c>
      <c r="C148" s="207">
        <f t="shared" si="2"/>
        <v>191</v>
      </c>
      <c r="D148" s="199">
        <v>191</v>
      </c>
      <c r="E148" s="199">
        <v>895</v>
      </c>
      <c r="F148" s="199">
        <v>895</v>
      </c>
      <c r="G148" s="199">
        <v>895</v>
      </c>
    </row>
    <row r="149" spans="1:7" x14ac:dyDescent="0.2">
      <c r="A149" s="3" t="s">
        <v>353</v>
      </c>
      <c r="B149" s="3" t="s">
        <v>354</v>
      </c>
      <c r="C149" s="207">
        <f t="shared" si="2"/>
        <v>190</v>
      </c>
      <c r="D149" s="199">
        <v>190</v>
      </c>
      <c r="E149" s="199">
        <v>395</v>
      </c>
      <c r="F149" s="199">
        <v>395</v>
      </c>
      <c r="G149" s="199">
        <v>395</v>
      </c>
    </row>
    <row r="150" spans="1:7" x14ac:dyDescent="0.2">
      <c r="A150" s="3" t="s">
        <v>355</v>
      </c>
      <c r="B150" s="3" t="s">
        <v>356</v>
      </c>
      <c r="C150" s="207">
        <f t="shared" si="2"/>
        <v>189</v>
      </c>
      <c r="D150" s="199">
        <v>189</v>
      </c>
      <c r="E150" s="199">
        <v>367</v>
      </c>
      <c r="F150" s="199">
        <v>367</v>
      </c>
      <c r="G150" s="199">
        <v>367</v>
      </c>
    </row>
    <row r="151" spans="1:7" x14ac:dyDescent="0.2">
      <c r="A151" s="3" t="s">
        <v>357</v>
      </c>
      <c r="B151" s="3" t="s">
        <v>358</v>
      </c>
      <c r="C151" s="207">
        <f t="shared" si="2"/>
        <v>188</v>
      </c>
      <c r="D151" s="199">
        <v>188</v>
      </c>
      <c r="E151" s="199">
        <v>445</v>
      </c>
      <c r="F151" s="199">
        <v>445</v>
      </c>
      <c r="G151" s="199">
        <v>445</v>
      </c>
    </row>
    <row r="152" spans="1:7" x14ac:dyDescent="0.2">
      <c r="A152" s="3" t="s">
        <v>359</v>
      </c>
      <c r="B152" s="3" t="s">
        <v>360</v>
      </c>
      <c r="C152" s="207">
        <f t="shared" si="2"/>
        <v>187</v>
      </c>
      <c r="D152" s="199">
        <v>187</v>
      </c>
      <c r="E152" s="199">
        <v>253</v>
      </c>
      <c r="F152" s="199">
        <v>253</v>
      </c>
      <c r="G152" s="199">
        <v>253</v>
      </c>
    </row>
    <row r="153" spans="1:7" x14ac:dyDescent="0.2">
      <c r="A153" s="3" t="s">
        <v>361</v>
      </c>
      <c r="B153" s="3" t="s">
        <v>362</v>
      </c>
      <c r="C153" s="207">
        <f t="shared" si="2"/>
        <v>186</v>
      </c>
      <c r="D153" s="199">
        <v>186</v>
      </c>
      <c r="E153" s="199">
        <v>278</v>
      </c>
      <c r="F153" s="199">
        <v>278</v>
      </c>
      <c r="G153" s="199">
        <v>278</v>
      </c>
    </row>
    <row r="154" spans="1:7" x14ac:dyDescent="0.2">
      <c r="A154" s="3" t="s">
        <v>363</v>
      </c>
      <c r="B154" s="3" t="s">
        <v>364</v>
      </c>
      <c r="C154" s="207">
        <f t="shared" si="2"/>
        <v>185</v>
      </c>
      <c r="D154" s="199">
        <v>185</v>
      </c>
      <c r="E154" s="199">
        <v>802</v>
      </c>
      <c r="F154" s="199">
        <v>802</v>
      </c>
      <c r="G154" s="199">
        <v>802</v>
      </c>
    </row>
    <row r="155" spans="1:7" x14ac:dyDescent="0.2">
      <c r="A155" s="3" t="s">
        <v>365</v>
      </c>
      <c r="B155" s="3" t="s">
        <v>366</v>
      </c>
      <c r="C155" s="207">
        <f t="shared" si="2"/>
        <v>184</v>
      </c>
      <c r="D155" s="199">
        <v>184</v>
      </c>
      <c r="E155" s="199">
        <v>723</v>
      </c>
      <c r="F155" s="199">
        <v>723</v>
      </c>
      <c r="G155" s="199">
        <v>723</v>
      </c>
    </row>
    <row r="156" spans="1:7" x14ac:dyDescent="0.2">
      <c r="A156" s="3" t="s">
        <v>367</v>
      </c>
      <c r="B156" s="3" t="s">
        <v>368</v>
      </c>
      <c r="C156" s="207">
        <f t="shared" si="2"/>
        <v>183</v>
      </c>
      <c r="D156" s="199">
        <v>183</v>
      </c>
      <c r="E156" s="199">
        <v>426</v>
      </c>
      <c r="F156" s="199">
        <v>426</v>
      </c>
      <c r="G156" s="199">
        <v>426</v>
      </c>
    </row>
    <row r="157" spans="1:7" x14ac:dyDescent="0.2">
      <c r="A157" s="3" t="s">
        <v>369</v>
      </c>
      <c r="B157" s="3" t="s">
        <v>370</v>
      </c>
      <c r="C157" s="207">
        <f t="shared" si="2"/>
        <v>182</v>
      </c>
      <c r="D157" s="199">
        <v>182</v>
      </c>
      <c r="E157" s="199">
        <v>243</v>
      </c>
      <c r="F157" s="199">
        <v>243</v>
      </c>
      <c r="G157" s="199">
        <v>243</v>
      </c>
    </row>
    <row r="158" spans="1:7" x14ac:dyDescent="0.2">
      <c r="A158" s="3" t="s">
        <v>371</v>
      </c>
      <c r="B158" s="3" t="s">
        <v>372</v>
      </c>
      <c r="C158" s="207">
        <f t="shared" si="2"/>
        <v>181</v>
      </c>
      <c r="D158" s="199">
        <v>181</v>
      </c>
      <c r="E158" s="199">
        <v>303</v>
      </c>
      <c r="F158" s="199">
        <v>303</v>
      </c>
      <c r="G158" s="199">
        <v>303</v>
      </c>
    </row>
    <row r="159" spans="1:7" x14ac:dyDescent="0.2">
      <c r="A159" s="3" t="s">
        <v>373</v>
      </c>
      <c r="B159" s="3" t="s">
        <v>374</v>
      </c>
      <c r="C159" s="207">
        <f t="shared" si="2"/>
        <v>180</v>
      </c>
      <c r="D159" s="199">
        <v>180</v>
      </c>
      <c r="E159" s="199">
        <v>184</v>
      </c>
      <c r="F159" s="199">
        <v>184</v>
      </c>
      <c r="G159" s="199">
        <v>184</v>
      </c>
    </row>
    <row r="160" spans="1:7" x14ac:dyDescent="0.2">
      <c r="A160" s="3" t="s">
        <v>375</v>
      </c>
      <c r="B160" s="3" t="s">
        <v>376</v>
      </c>
      <c r="C160" s="207">
        <f t="shared" si="2"/>
        <v>179</v>
      </c>
      <c r="D160" s="199">
        <v>179</v>
      </c>
      <c r="E160" s="199">
        <v>840</v>
      </c>
      <c r="F160" s="199">
        <v>840</v>
      </c>
      <c r="G160" s="199">
        <v>840</v>
      </c>
    </row>
    <row r="161" spans="1:7" x14ac:dyDescent="0.2">
      <c r="A161" s="3" t="s">
        <v>377</v>
      </c>
      <c r="B161" s="3" t="s">
        <v>378</v>
      </c>
      <c r="C161" s="207">
        <f t="shared" si="2"/>
        <v>178</v>
      </c>
      <c r="D161" s="199">
        <v>178</v>
      </c>
      <c r="E161" s="199">
        <v>822</v>
      </c>
      <c r="F161" s="199">
        <v>822</v>
      </c>
      <c r="G161" s="199">
        <v>822</v>
      </c>
    </row>
    <row r="162" spans="1:7" x14ac:dyDescent="0.2">
      <c r="A162" s="3" t="s">
        <v>379</v>
      </c>
      <c r="B162" s="3" t="s">
        <v>380</v>
      </c>
      <c r="C162" s="207">
        <f t="shared" si="2"/>
        <v>177</v>
      </c>
      <c r="D162" s="199">
        <v>177</v>
      </c>
      <c r="E162" s="199">
        <v>233</v>
      </c>
      <c r="F162" s="199">
        <v>233</v>
      </c>
      <c r="G162" s="199">
        <v>233</v>
      </c>
    </row>
    <row r="163" spans="1:7" x14ac:dyDescent="0.2">
      <c r="A163" s="3" t="s">
        <v>381</v>
      </c>
      <c r="B163" s="3" t="s">
        <v>382</v>
      </c>
      <c r="C163" s="207">
        <f t="shared" si="2"/>
        <v>176</v>
      </c>
      <c r="D163" s="199">
        <v>176</v>
      </c>
      <c r="E163" s="199">
        <v>813</v>
      </c>
      <c r="F163" s="199">
        <v>813</v>
      </c>
      <c r="G163" s="199">
        <v>813</v>
      </c>
    </row>
    <row r="164" spans="1:7" x14ac:dyDescent="0.2">
      <c r="A164" s="3" t="s">
        <v>383</v>
      </c>
      <c r="B164" s="3" t="s">
        <v>384</v>
      </c>
      <c r="C164" s="207">
        <f t="shared" si="2"/>
        <v>175</v>
      </c>
      <c r="D164" s="199">
        <v>175</v>
      </c>
      <c r="E164" s="199">
        <v>730</v>
      </c>
      <c r="F164" s="199">
        <v>730</v>
      </c>
      <c r="G164" s="199">
        <v>730</v>
      </c>
    </row>
    <row r="165" spans="1:7" x14ac:dyDescent="0.2">
      <c r="A165" s="3" t="s">
        <v>385</v>
      </c>
      <c r="B165" s="3" t="s">
        <v>386</v>
      </c>
      <c r="C165" s="207">
        <f t="shared" si="2"/>
        <v>174</v>
      </c>
      <c r="D165" s="199">
        <v>174</v>
      </c>
      <c r="E165" s="199">
        <v>970</v>
      </c>
      <c r="F165" s="199">
        <v>970</v>
      </c>
      <c r="G165" s="199">
        <v>970</v>
      </c>
    </row>
    <row r="166" spans="1:7" x14ac:dyDescent="0.2">
      <c r="A166" s="3" t="s">
        <v>387</v>
      </c>
      <c r="B166" s="3" t="s">
        <v>388</v>
      </c>
      <c r="C166" s="207">
        <f t="shared" si="2"/>
        <v>173</v>
      </c>
      <c r="D166" s="199">
        <v>173</v>
      </c>
      <c r="E166" s="199">
        <v>356</v>
      </c>
      <c r="F166" s="199">
        <v>356</v>
      </c>
      <c r="G166" s="199">
        <v>356</v>
      </c>
    </row>
    <row r="167" spans="1:7" x14ac:dyDescent="0.2">
      <c r="A167" s="3" t="s">
        <v>389</v>
      </c>
      <c r="B167" s="3" t="s">
        <v>390</v>
      </c>
      <c r="C167" s="207">
        <f t="shared" si="2"/>
        <v>172</v>
      </c>
      <c r="D167" s="199">
        <v>172</v>
      </c>
      <c r="E167" s="199">
        <v>345</v>
      </c>
      <c r="F167" s="199">
        <v>345</v>
      </c>
      <c r="G167" s="199">
        <v>345</v>
      </c>
    </row>
    <row r="168" spans="1:7" x14ac:dyDescent="0.2">
      <c r="A168" s="3" t="s">
        <v>391</v>
      </c>
      <c r="B168" s="3" t="s">
        <v>392</v>
      </c>
      <c r="C168" s="207">
        <f t="shared" si="2"/>
        <v>171</v>
      </c>
      <c r="D168" s="199">
        <v>171</v>
      </c>
      <c r="E168" s="199">
        <v>570</v>
      </c>
      <c r="F168" s="199">
        <v>570</v>
      </c>
      <c r="G168" s="199">
        <v>570</v>
      </c>
    </row>
    <row r="169" spans="1:7" x14ac:dyDescent="0.2">
      <c r="A169" s="3" t="s">
        <v>393</v>
      </c>
      <c r="B169" s="3" t="s">
        <v>394</v>
      </c>
      <c r="C169" s="207">
        <f t="shared" si="2"/>
        <v>170</v>
      </c>
      <c r="D169" s="199">
        <v>170</v>
      </c>
      <c r="E169" s="199">
        <v>950</v>
      </c>
      <c r="F169" s="199">
        <v>950</v>
      </c>
      <c r="G169" s="199">
        <v>950</v>
      </c>
    </row>
    <row r="170" spans="1:7" x14ac:dyDescent="0.2">
      <c r="A170" s="3" t="s">
        <v>395</v>
      </c>
      <c r="B170" s="3" t="s">
        <v>396</v>
      </c>
      <c r="C170" s="207">
        <f t="shared" si="2"/>
        <v>169</v>
      </c>
      <c r="D170" s="199">
        <v>169</v>
      </c>
      <c r="E170" s="199">
        <v>210</v>
      </c>
      <c r="F170" s="199">
        <v>210</v>
      </c>
      <c r="G170" s="199">
        <v>210</v>
      </c>
    </row>
    <row r="171" spans="1:7" x14ac:dyDescent="0.2">
      <c r="A171" s="3" t="s">
        <v>397</v>
      </c>
      <c r="B171" s="3" t="s">
        <v>398</v>
      </c>
      <c r="C171" s="207">
        <f t="shared" si="2"/>
        <v>168</v>
      </c>
      <c r="D171" s="199">
        <v>168</v>
      </c>
      <c r="E171" s="199">
        <v>253</v>
      </c>
      <c r="F171" s="199">
        <v>253</v>
      </c>
      <c r="G171" s="199">
        <v>253</v>
      </c>
    </row>
    <row r="172" spans="1:7" x14ac:dyDescent="0.2">
      <c r="A172" s="3" t="s">
        <v>399</v>
      </c>
      <c r="B172" s="3" t="s">
        <v>400</v>
      </c>
      <c r="C172" s="207">
        <f t="shared" si="2"/>
        <v>167</v>
      </c>
      <c r="D172" s="199">
        <v>167</v>
      </c>
      <c r="E172" s="199">
        <v>232</v>
      </c>
      <c r="F172" s="199">
        <v>232</v>
      </c>
      <c r="G172" s="199">
        <v>232</v>
      </c>
    </row>
    <row r="173" spans="1:7" x14ac:dyDescent="0.2">
      <c r="A173" s="3" t="s">
        <v>401</v>
      </c>
      <c r="B173" s="3" t="s">
        <v>402</v>
      </c>
      <c r="C173" s="207">
        <f t="shared" si="2"/>
        <v>166</v>
      </c>
      <c r="D173" s="199">
        <v>166</v>
      </c>
      <c r="E173" s="199">
        <v>866</v>
      </c>
      <c r="F173" s="199">
        <v>866</v>
      </c>
      <c r="G173" s="199">
        <v>866</v>
      </c>
    </row>
    <row r="174" spans="1:7" x14ac:dyDescent="0.2">
      <c r="A174" s="3" t="s">
        <v>403</v>
      </c>
      <c r="B174" s="3" t="s">
        <v>404</v>
      </c>
      <c r="C174" s="207">
        <f t="shared" si="2"/>
        <v>165</v>
      </c>
      <c r="D174" s="199">
        <v>165</v>
      </c>
      <c r="E174" s="199">
        <v>681</v>
      </c>
      <c r="F174" s="199">
        <v>681</v>
      </c>
      <c r="G174" s="199">
        <v>681</v>
      </c>
    </row>
    <row r="175" spans="1:7" x14ac:dyDescent="0.2">
      <c r="A175" s="3" t="s">
        <v>405</v>
      </c>
      <c r="B175" s="3" t="s">
        <v>406</v>
      </c>
      <c r="C175" s="207">
        <f t="shared" si="2"/>
        <v>164</v>
      </c>
      <c r="D175" s="199">
        <v>164</v>
      </c>
      <c r="E175" s="199">
        <v>420</v>
      </c>
      <c r="F175" s="199">
        <v>420</v>
      </c>
      <c r="G175" s="199">
        <v>420</v>
      </c>
    </row>
    <row r="176" spans="1:7" x14ac:dyDescent="0.2">
      <c r="A176" s="3" t="s">
        <v>407</v>
      </c>
      <c r="B176" s="3" t="s">
        <v>408</v>
      </c>
      <c r="C176" s="207">
        <f t="shared" si="2"/>
        <v>163</v>
      </c>
      <c r="D176" s="199">
        <v>163</v>
      </c>
      <c r="E176" s="199">
        <v>707</v>
      </c>
      <c r="F176" s="199">
        <v>707</v>
      </c>
      <c r="G176" s="199">
        <v>707</v>
      </c>
    </row>
    <row r="177" spans="1:7" x14ac:dyDescent="0.2">
      <c r="A177" s="3" t="s">
        <v>409</v>
      </c>
      <c r="B177" s="3" t="s">
        <v>410</v>
      </c>
      <c r="C177" s="207">
        <f t="shared" si="2"/>
        <v>162</v>
      </c>
      <c r="D177" s="199">
        <v>162</v>
      </c>
      <c r="E177" s="199">
        <v>286</v>
      </c>
      <c r="F177" s="199">
        <v>286</v>
      </c>
      <c r="G177" s="199">
        <v>286</v>
      </c>
    </row>
    <row r="178" spans="1:7" x14ac:dyDescent="0.2">
      <c r="A178" s="3" t="s">
        <v>411</v>
      </c>
      <c r="B178" s="3" t="s">
        <v>412</v>
      </c>
      <c r="C178" s="207">
        <f t="shared" si="2"/>
        <v>161</v>
      </c>
      <c r="D178" s="199">
        <v>161</v>
      </c>
      <c r="E178" s="199">
        <v>388</v>
      </c>
      <c r="F178" s="199">
        <v>388</v>
      </c>
      <c r="G178" s="199">
        <v>388</v>
      </c>
    </row>
    <row r="179" spans="1:7" x14ac:dyDescent="0.2">
      <c r="A179" s="3" t="s">
        <v>413</v>
      </c>
      <c r="B179" s="3" t="s">
        <v>414</v>
      </c>
      <c r="C179" s="207">
        <f t="shared" si="2"/>
        <v>160</v>
      </c>
      <c r="D179" s="199">
        <v>160</v>
      </c>
      <c r="E179" s="199">
        <v>759</v>
      </c>
      <c r="F179" s="199">
        <v>759</v>
      </c>
      <c r="G179" s="199">
        <v>759</v>
      </c>
    </row>
    <row r="180" spans="1:7" x14ac:dyDescent="0.2">
      <c r="A180" s="3" t="s">
        <v>415</v>
      </c>
      <c r="B180" s="3" t="s">
        <v>416</v>
      </c>
      <c r="C180" s="207">
        <f t="shared" si="2"/>
        <v>159</v>
      </c>
      <c r="D180" s="199">
        <v>159</v>
      </c>
      <c r="E180" s="199">
        <v>464</v>
      </c>
      <c r="F180" s="199">
        <v>464</v>
      </c>
      <c r="G180" s="199">
        <v>464</v>
      </c>
    </row>
    <row r="181" spans="1:7" x14ac:dyDescent="0.2">
      <c r="A181" s="3" t="s">
        <v>417</v>
      </c>
      <c r="B181" s="3" t="s">
        <v>418</v>
      </c>
      <c r="C181" s="207">
        <f t="shared" si="2"/>
        <v>158</v>
      </c>
      <c r="D181" s="199">
        <v>158</v>
      </c>
      <c r="E181" s="199">
        <v>445</v>
      </c>
      <c r="F181" s="199">
        <v>445</v>
      </c>
      <c r="G181" s="199">
        <v>445</v>
      </c>
    </row>
    <row r="182" spans="1:7" x14ac:dyDescent="0.2">
      <c r="A182" s="3" t="s">
        <v>419</v>
      </c>
      <c r="B182" s="3" t="s">
        <v>420</v>
      </c>
      <c r="C182" s="207">
        <f t="shared" si="2"/>
        <v>157</v>
      </c>
      <c r="D182" s="199">
        <v>157</v>
      </c>
      <c r="E182" s="199">
        <v>253</v>
      </c>
      <c r="F182" s="199">
        <v>253</v>
      </c>
      <c r="G182" s="199">
        <v>253</v>
      </c>
    </row>
    <row r="183" spans="1:7" x14ac:dyDescent="0.2">
      <c r="A183" s="3" t="s">
        <v>421</v>
      </c>
      <c r="B183" s="3" t="s">
        <v>422</v>
      </c>
      <c r="C183" s="207">
        <f t="shared" si="2"/>
        <v>156</v>
      </c>
      <c r="D183" s="199">
        <v>156</v>
      </c>
      <c r="E183" s="199">
        <v>198</v>
      </c>
      <c r="F183" s="199">
        <v>198</v>
      </c>
      <c r="G183" s="199">
        <v>198</v>
      </c>
    </row>
    <row r="184" spans="1:7" x14ac:dyDescent="0.2">
      <c r="A184" s="3" t="s">
        <v>423</v>
      </c>
      <c r="B184" s="3" t="s">
        <v>424</v>
      </c>
      <c r="C184" s="207">
        <f t="shared" si="2"/>
        <v>155</v>
      </c>
      <c r="D184" s="199">
        <v>155</v>
      </c>
      <c r="E184" s="199">
        <v>472</v>
      </c>
      <c r="F184" s="199">
        <v>472</v>
      </c>
      <c r="G184" s="199">
        <v>472</v>
      </c>
    </row>
    <row r="185" spans="1:7" x14ac:dyDescent="0.2">
      <c r="A185" s="3" t="s">
        <v>425</v>
      </c>
      <c r="B185" s="3" t="s">
        <v>426</v>
      </c>
      <c r="C185" s="207">
        <f t="shared" si="2"/>
        <v>154</v>
      </c>
      <c r="D185" s="199">
        <v>154</v>
      </c>
      <c r="E185" s="199">
        <v>889</v>
      </c>
      <c r="F185" s="199">
        <v>889</v>
      </c>
      <c r="G185" s="199">
        <v>889</v>
      </c>
    </row>
    <row r="186" spans="1:7" x14ac:dyDescent="0.2">
      <c r="A186" s="3" t="s">
        <v>427</v>
      </c>
      <c r="B186" s="3" t="s">
        <v>428</v>
      </c>
      <c r="C186" s="207">
        <f t="shared" si="2"/>
        <v>153</v>
      </c>
      <c r="D186" s="199">
        <v>153</v>
      </c>
      <c r="E186" s="199">
        <v>773</v>
      </c>
      <c r="F186" s="199">
        <v>773</v>
      </c>
      <c r="G186" s="199">
        <v>773</v>
      </c>
    </row>
    <row r="187" spans="1:7" x14ac:dyDescent="0.2">
      <c r="A187" s="3" t="s">
        <v>429</v>
      </c>
      <c r="B187" s="3" t="s">
        <v>430</v>
      </c>
      <c r="C187" s="207">
        <f t="shared" si="2"/>
        <v>152</v>
      </c>
      <c r="D187" s="199">
        <v>152</v>
      </c>
      <c r="E187" s="199">
        <v>748</v>
      </c>
      <c r="F187" s="199">
        <v>748</v>
      </c>
      <c r="G187" s="199">
        <v>748</v>
      </c>
    </row>
    <row r="188" spans="1:7" x14ac:dyDescent="0.2">
      <c r="A188" s="3" t="s">
        <v>431</v>
      </c>
      <c r="B188" s="3" t="s">
        <v>432</v>
      </c>
      <c r="C188" s="207">
        <f t="shared" si="2"/>
        <v>151</v>
      </c>
      <c r="D188" s="199">
        <v>151</v>
      </c>
      <c r="E188" s="199">
        <v>309</v>
      </c>
      <c r="F188" s="199">
        <v>309</v>
      </c>
      <c r="G188" s="199">
        <v>309</v>
      </c>
    </row>
    <row r="189" spans="1:7" x14ac:dyDescent="0.2">
      <c r="A189" s="3" t="s">
        <v>433</v>
      </c>
      <c r="B189" s="3" t="s">
        <v>434</v>
      </c>
      <c r="C189" s="207">
        <f t="shared" si="2"/>
        <v>150</v>
      </c>
      <c r="D189" s="199">
        <v>150</v>
      </c>
      <c r="E189" s="199">
        <v>110</v>
      </c>
      <c r="F189" s="199">
        <v>110</v>
      </c>
      <c r="G189" s="199">
        <v>110</v>
      </c>
    </row>
    <row r="190" spans="1:7" x14ac:dyDescent="0.2">
      <c r="A190" s="3" t="s">
        <v>435</v>
      </c>
      <c r="B190" s="3" t="s">
        <v>436</v>
      </c>
      <c r="C190" s="207">
        <f t="shared" si="2"/>
        <v>149</v>
      </c>
      <c r="D190" s="199">
        <v>149</v>
      </c>
      <c r="E190" s="199">
        <v>568</v>
      </c>
      <c r="F190" s="199">
        <v>568</v>
      </c>
      <c r="G190" s="199">
        <v>568</v>
      </c>
    </row>
    <row r="191" spans="1:7" x14ac:dyDescent="0.2">
      <c r="A191" s="3" t="s">
        <v>437</v>
      </c>
      <c r="B191" s="3" t="s">
        <v>438</v>
      </c>
      <c r="C191" s="207">
        <f t="shared" si="2"/>
        <v>148</v>
      </c>
      <c r="D191" s="199">
        <v>148</v>
      </c>
      <c r="E191" s="199">
        <v>556</v>
      </c>
      <c r="F191" s="199">
        <v>556</v>
      </c>
      <c r="G191" s="199">
        <v>556</v>
      </c>
    </row>
    <row r="192" spans="1:7" x14ac:dyDescent="0.2">
      <c r="A192" s="3" t="s">
        <v>439</v>
      </c>
      <c r="B192" s="3" t="s">
        <v>440</v>
      </c>
      <c r="C192" s="207">
        <f t="shared" si="2"/>
        <v>147</v>
      </c>
      <c r="D192" s="199">
        <v>147</v>
      </c>
      <c r="E192" s="199">
        <v>438</v>
      </c>
      <c r="F192" s="199">
        <v>438</v>
      </c>
      <c r="G192" s="199">
        <v>438</v>
      </c>
    </row>
    <row r="193" spans="1:7" x14ac:dyDescent="0.2">
      <c r="A193" s="3" t="s">
        <v>441</v>
      </c>
      <c r="B193" s="3" t="s">
        <v>442</v>
      </c>
      <c r="C193" s="207">
        <f t="shared" si="2"/>
        <v>146</v>
      </c>
      <c r="D193" s="199">
        <v>146</v>
      </c>
      <c r="E193" s="199">
        <v>998</v>
      </c>
      <c r="F193" s="199">
        <v>998</v>
      </c>
      <c r="G193" s="199">
        <v>998</v>
      </c>
    </row>
    <row r="194" spans="1:7" x14ac:dyDescent="0.2">
      <c r="A194" s="3" t="s">
        <v>443</v>
      </c>
      <c r="B194" s="3" t="s">
        <v>444</v>
      </c>
      <c r="C194" s="207">
        <f t="shared" si="2"/>
        <v>145</v>
      </c>
      <c r="D194" s="199">
        <v>145</v>
      </c>
      <c r="E194" s="199">
        <v>182</v>
      </c>
      <c r="F194" s="199">
        <v>182</v>
      </c>
      <c r="G194" s="199">
        <v>182</v>
      </c>
    </row>
    <row r="195" spans="1:7" x14ac:dyDescent="0.2">
      <c r="A195" s="3" t="s">
        <v>445</v>
      </c>
      <c r="B195" s="3" t="s">
        <v>446</v>
      </c>
      <c r="C195" s="207">
        <f t="shared" ref="C195:C201" si="3">D195</f>
        <v>144</v>
      </c>
      <c r="D195" s="199">
        <v>144</v>
      </c>
      <c r="E195" s="199">
        <v>782</v>
      </c>
      <c r="F195" s="199">
        <v>782</v>
      </c>
      <c r="G195" s="199">
        <v>782</v>
      </c>
    </row>
    <row r="196" spans="1:7" x14ac:dyDescent="0.2">
      <c r="A196" s="3" t="s">
        <v>447</v>
      </c>
      <c r="B196" s="3" t="s">
        <v>448</v>
      </c>
      <c r="C196" s="207">
        <f t="shared" si="3"/>
        <v>143</v>
      </c>
      <c r="D196" s="199">
        <v>143</v>
      </c>
      <c r="E196" s="199">
        <v>741</v>
      </c>
      <c r="F196" s="199">
        <v>741</v>
      </c>
      <c r="G196" s="199">
        <v>741</v>
      </c>
    </row>
    <row r="197" spans="1:7" x14ac:dyDescent="0.2">
      <c r="A197" s="3" t="s">
        <v>449</v>
      </c>
      <c r="B197" s="3" t="s">
        <v>450</v>
      </c>
      <c r="C197" s="207">
        <f t="shared" si="3"/>
        <v>142</v>
      </c>
      <c r="D197" s="199">
        <v>142</v>
      </c>
      <c r="E197" s="199">
        <v>586</v>
      </c>
      <c r="F197" s="199">
        <v>586</v>
      </c>
      <c r="G197" s="199">
        <v>586</v>
      </c>
    </row>
    <row r="198" spans="1:7" x14ac:dyDescent="0.2">
      <c r="A198" s="3" t="s">
        <v>451</v>
      </c>
      <c r="B198" s="3" t="s">
        <v>452</v>
      </c>
      <c r="C198" s="207">
        <f t="shared" si="3"/>
        <v>141</v>
      </c>
      <c r="D198" s="199">
        <v>141</v>
      </c>
      <c r="E198" s="199">
        <v>181</v>
      </c>
      <c r="F198" s="199">
        <v>181</v>
      </c>
      <c r="G198" s="199">
        <v>181</v>
      </c>
    </row>
    <row r="199" spans="1:7" x14ac:dyDescent="0.2">
      <c r="A199" s="3" t="s">
        <v>453</v>
      </c>
      <c r="B199" s="3" t="s">
        <v>454</v>
      </c>
      <c r="C199" s="207">
        <f t="shared" si="3"/>
        <v>140</v>
      </c>
      <c r="D199" s="199">
        <v>140</v>
      </c>
      <c r="E199" s="199">
        <v>413</v>
      </c>
      <c r="F199" s="199">
        <v>413</v>
      </c>
      <c r="G199" s="199">
        <v>413</v>
      </c>
    </row>
    <row r="200" spans="1:7" x14ac:dyDescent="0.2">
      <c r="A200" s="3" t="s">
        <v>455</v>
      </c>
      <c r="B200" s="3" t="s">
        <v>456</v>
      </c>
      <c r="C200" s="207">
        <f t="shared" si="3"/>
        <v>139</v>
      </c>
      <c r="D200" s="199">
        <v>139</v>
      </c>
      <c r="E200" s="199">
        <v>858</v>
      </c>
      <c r="F200" s="199">
        <v>858</v>
      </c>
      <c r="G200" s="199">
        <v>858</v>
      </c>
    </row>
    <row r="201" spans="1:7" x14ac:dyDescent="0.2">
      <c r="A201" s="3" t="s">
        <v>457</v>
      </c>
      <c r="B201" s="3" t="s">
        <v>458</v>
      </c>
      <c r="C201" s="207">
        <f t="shared" si="3"/>
        <v>138</v>
      </c>
      <c r="D201" s="199">
        <v>138</v>
      </c>
      <c r="E201" s="199">
        <v>152</v>
      </c>
      <c r="F201" s="199">
        <v>152</v>
      </c>
      <c r="G201" s="199">
        <v>152</v>
      </c>
    </row>
    <row r="202" spans="1:7" x14ac:dyDescent="0.2">
      <c r="A202" s="13"/>
      <c r="B202" s="13"/>
      <c r="D202" s="13"/>
      <c r="E202" s="13"/>
      <c r="F202" s="13"/>
      <c r="G202" s="13"/>
    </row>
  </sheetData>
  <autoFilter ref="A1:G1" xr:uid="{4ADAB343-8DAD-244B-B958-3C731A65941C}">
    <sortState xmlns:xlrd2="http://schemas.microsoft.com/office/spreadsheetml/2017/richdata2" ref="A2:G201">
      <sortCondition ref="A1:A201"/>
    </sortState>
  </autoFilter>
  <phoneticPr fontId="25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2ED4F2-B29A-3A44-8BB0-BD47C169A756}">
  <sheetPr codeName="Sheet8"/>
  <dimension ref="A1:F202"/>
  <sheetViews>
    <sheetView zoomScale="132" zoomScaleNormal="90" workbookViewId="0">
      <selection activeCell="A3" sqref="A3"/>
    </sheetView>
  </sheetViews>
  <sheetFormatPr baseColWidth="10" defaultColWidth="11" defaultRowHeight="16" x14ac:dyDescent="0.2"/>
  <cols>
    <col min="2" max="2" width="14.6640625" bestFit="1" customWidth="1"/>
    <col min="3" max="3" width="16.5" bestFit="1" customWidth="1"/>
    <col min="4" max="4" width="15.83203125" customWidth="1"/>
    <col min="5" max="5" width="24.1640625" customWidth="1"/>
    <col min="6" max="6" width="16.1640625" bestFit="1" customWidth="1"/>
  </cols>
  <sheetData>
    <row r="1" spans="1:6" ht="17" x14ac:dyDescent="0.2">
      <c r="A1" s="1" t="s">
        <v>170</v>
      </c>
      <c r="B1" s="1" t="s">
        <v>171</v>
      </c>
      <c r="C1" s="1" t="s">
        <v>172</v>
      </c>
      <c r="D1" s="32" t="s">
        <v>173</v>
      </c>
      <c r="E1" s="32" t="s">
        <v>174</v>
      </c>
      <c r="F1" s="1" t="s">
        <v>175</v>
      </c>
    </row>
    <row r="2" spans="1:6" x14ac:dyDescent="0.2">
      <c r="A2" s="1"/>
      <c r="B2" s="1"/>
      <c r="C2" s="1"/>
      <c r="D2" s="32"/>
      <c r="E2" s="32"/>
      <c r="F2" s="1">
        <v>0</v>
      </c>
    </row>
    <row r="3" spans="1:6" x14ac:dyDescent="0.2">
      <c r="A3" s="219" t="s">
        <v>176</v>
      </c>
      <c r="B3" s="219" t="s">
        <v>177</v>
      </c>
      <c r="C3" s="220">
        <f>VLOOKUP(A3, 'S07 Initial Parameters'!$A$2:$G$201, 3, FALSE)</f>
        <v>250356</v>
      </c>
      <c r="D3" s="221">
        <f>C3+D2</f>
        <v>250356</v>
      </c>
      <c r="E3" s="222">
        <f>C3/SUM($C$3:$C$202)</f>
        <v>0.17084365467684812</v>
      </c>
      <c r="F3" s="223">
        <f>E3+F2</f>
        <v>0.17084365467684812</v>
      </c>
    </row>
    <row r="4" spans="1:6" x14ac:dyDescent="0.2">
      <c r="A4" s="219" t="s">
        <v>178</v>
      </c>
      <c r="B4" s="219" t="s">
        <v>179</v>
      </c>
      <c r="C4" s="220">
        <f>VLOOKUP(A4, 'S07 Initial Parameters'!$A$2:$G$201, 3, FALSE)</f>
        <v>215425</v>
      </c>
      <c r="D4" s="221">
        <f>C4+D3</f>
        <v>465781</v>
      </c>
      <c r="E4" s="222">
        <f t="shared" ref="E4:E67" si="0">C4/SUM($C$3:$C$202)</f>
        <v>0.14700663977999331</v>
      </c>
      <c r="F4" s="223">
        <f>E4+F3</f>
        <v>0.31785029445684143</v>
      </c>
    </row>
    <row r="5" spans="1:6" x14ac:dyDescent="0.2">
      <c r="A5" s="219" t="s">
        <v>180</v>
      </c>
      <c r="B5" s="219" t="s">
        <v>181</v>
      </c>
      <c r="C5" s="220">
        <f>VLOOKUP(A5, 'S07 Initial Parameters'!$A$2:$G$201, 3, FALSE)</f>
        <v>125036</v>
      </c>
      <c r="D5" s="221">
        <f t="shared" ref="D5:D68" si="1">C5+D4</f>
        <v>590817</v>
      </c>
      <c r="E5" s="222">
        <f t="shared" si="0"/>
        <v>8.5324926129888568E-2</v>
      </c>
      <c r="F5" s="223">
        <f t="shared" ref="F5:F68" si="2">E5+F4</f>
        <v>0.40317522058673</v>
      </c>
    </row>
    <row r="6" spans="1:6" x14ac:dyDescent="0.2">
      <c r="A6" s="219" t="s">
        <v>182</v>
      </c>
      <c r="B6" s="219" t="s">
        <v>183</v>
      </c>
      <c r="C6" s="220">
        <f>VLOOKUP(A6, 'S07 Initial Parameters'!$A$2:$G$201, 3, FALSE)</f>
        <v>86542</v>
      </c>
      <c r="D6" s="221">
        <f t="shared" si="1"/>
        <v>677359</v>
      </c>
      <c r="E6" s="222">
        <f t="shared" si="0"/>
        <v>5.9056509782245241E-2</v>
      </c>
      <c r="F6" s="223">
        <f t="shared" si="2"/>
        <v>0.46223173036897525</v>
      </c>
    </row>
    <row r="7" spans="1:6" x14ac:dyDescent="0.2">
      <c r="A7" s="219" t="s">
        <v>184</v>
      </c>
      <c r="B7" s="219" t="s">
        <v>185</v>
      </c>
      <c r="C7" s="220">
        <f>VLOOKUP(A7, 'S07 Initial Parameters'!$A$2:$G$201, 3, FALSE)</f>
        <v>85612</v>
      </c>
      <c r="D7" s="221">
        <f t="shared" si="1"/>
        <v>762971</v>
      </c>
      <c r="E7" s="222">
        <f t="shared" si="0"/>
        <v>5.842187510662545E-2</v>
      </c>
      <c r="F7" s="223">
        <f t="shared" si="2"/>
        <v>0.52065360547560069</v>
      </c>
    </row>
    <row r="8" spans="1:6" x14ac:dyDescent="0.2">
      <c r="A8" s="219" t="s">
        <v>186</v>
      </c>
      <c r="B8" s="219" t="s">
        <v>187</v>
      </c>
      <c r="C8" s="220">
        <f>VLOOKUP(A8, 'S07 Initial Parameters'!$A$2:$G$201, 3, FALSE)</f>
        <v>65248</v>
      </c>
      <c r="D8" s="221">
        <f t="shared" si="1"/>
        <v>828219</v>
      </c>
      <c r="E8" s="222">
        <f t="shared" si="0"/>
        <v>4.452542291918303E-2</v>
      </c>
      <c r="F8" s="223">
        <f t="shared" si="2"/>
        <v>0.56517902839478373</v>
      </c>
    </row>
    <row r="9" spans="1:6" x14ac:dyDescent="0.2">
      <c r="A9" s="219" t="s">
        <v>188</v>
      </c>
      <c r="B9" s="219" t="s">
        <v>189</v>
      </c>
      <c r="C9" s="220">
        <f>VLOOKUP(A9, 'S07 Initial Parameters'!$A$2:$G$201, 3, FALSE)</f>
        <v>54682</v>
      </c>
      <c r="D9" s="221">
        <f t="shared" si="1"/>
        <v>882901</v>
      </c>
      <c r="E9" s="222">
        <f t="shared" si="0"/>
        <v>3.7315154120689774E-2</v>
      </c>
      <c r="F9" s="223">
        <f t="shared" si="2"/>
        <v>0.60249418251547349</v>
      </c>
    </row>
    <row r="10" spans="1:6" x14ac:dyDescent="0.2">
      <c r="A10" s="219" t="s">
        <v>190</v>
      </c>
      <c r="B10" s="219" t="s">
        <v>191</v>
      </c>
      <c r="C10" s="220">
        <f>VLOOKUP(A10, 'S07 Initial Parameters'!$A$2:$G$201, 3, FALSE)</f>
        <v>50689</v>
      </c>
      <c r="D10" s="221">
        <f t="shared" si="1"/>
        <v>933590</v>
      </c>
      <c r="E10" s="222">
        <f t="shared" si="0"/>
        <v>3.4590319432786731E-2</v>
      </c>
      <c r="F10" s="223">
        <f t="shared" si="2"/>
        <v>0.63708450194826027</v>
      </c>
    </row>
    <row r="11" spans="1:6" x14ac:dyDescent="0.2">
      <c r="A11" s="219" t="s">
        <v>192</v>
      </c>
      <c r="B11" s="219" t="s">
        <v>193</v>
      </c>
      <c r="C11" s="220">
        <f>VLOOKUP(A11, 'S07 Initial Parameters'!$A$2:$G$201, 3, FALSE)</f>
        <v>45896</v>
      </c>
      <c r="D11" s="221">
        <f t="shared" si="1"/>
        <v>979486</v>
      </c>
      <c r="E11" s="222">
        <f t="shared" si="0"/>
        <v>3.1319562443275259E-2</v>
      </c>
      <c r="F11" s="223">
        <f t="shared" si="2"/>
        <v>0.66840406439153555</v>
      </c>
    </row>
    <row r="12" spans="1:6" x14ac:dyDescent="0.2">
      <c r="A12" s="219" t="s">
        <v>194</v>
      </c>
      <c r="B12" s="219" t="s">
        <v>195</v>
      </c>
      <c r="C12" s="220">
        <f>VLOOKUP(A12, 'S07 Initial Parameters'!$A$2:$G$201, 3, FALSE)</f>
        <v>36524</v>
      </c>
      <c r="D12" s="221">
        <f t="shared" si="1"/>
        <v>1016010</v>
      </c>
      <c r="E12" s="222">
        <f t="shared" si="0"/>
        <v>2.4924082679932579E-2</v>
      </c>
      <c r="F12" s="223">
        <f t="shared" si="2"/>
        <v>0.69332814707146817</v>
      </c>
    </row>
    <row r="13" spans="1:6" x14ac:dyDescent="0.2">
      <c r="A13" s="219" t="s">
        <v>196</v>
      </c>
      <c r="B13" s="219" t="s">
        <v>197</v>
      </c>
      <c r="C13" s="220">
        <f>VLOOKUP(A13, 'S07 Initial Parameters'!$A$2:$G$201, 3, FALSE)</f>
        <v>36502</v>
      </c>
      <c r="D13" s="221">
        <f t="shared" si="1"/>
        <v>1052512</v>
      </c>
      <c r="E13" s="222">
        <f t="shared" si="0"/>
        <v>2.4909069816638346E-2</v>
      </c>
      <c r="F13" s="223">
        <f t="shared" si="2"/>
        <v>0.71823721688810649</v>
      </c>
    </row>
    <row r="14" spans="1:6" x14ac:dyDescent="0.2">
      <c r="A14" s="219" t="s">
        <v>198</v>
      </c>
      <c r="B14" s="219" t="s">
        <v>199</v>
      </c>
      <c r="C14" s="220">
        <f>VLOOKUP(A14, 'S07 Initial Parameters'!$A$2:$G$201, 3, FALSE)</f>
        <v>25689</v>
      </c>
      <c r="D14" s="221">
        <f t="shared" si="1"/>
        <v>1078201</v>
      </c>
      <c r="E14" s="222">
        <f t="shared" si="0"/>
        <v>1.7530247507523491E-2</v>
      </c>
      <c r="F14" s="223">
        <f t="shared" si="2"/>
        <v>0.73576746439563001</v>
      </c>
    </row>
    <row r="15" spans="1:6" x14ac:dyDescent="0.2">
      <c r="A15" s="219" t="s">
        <v>200</v>
      </c>
      <c r="B15" s="219" t="s">
        <v>201</v>
      </c>
      <c r="C15" s="220">
        <f>VLOOKUP(A15, 'S07 Initial Parameters'!$A$2:$G$201, 3, FALSE)</f>
        <v>25689</v>
      </c>
      <c r="D15" s="221">
        <f t="shared" si="1"/>
        <v>1103890</v>
      </c>
      <c r="E15" s="222">
        <f t="shared" si="0"/>
        <v>1.7530247507523491E-2</v>
      </c>
      <c r="F15" s="223">
        <f t="shared" si="2"/>
        <v>0.75329771190315353</v>
      </c>
    </row>
    <row r="16" spans="1:6" x14ac:dyDescent="0.2">
      <c r="A16" s="219" t="s">
        <v>202</v>
      </c>
      <c r="B16" s="219" t="s">
        <v>839</v>
      </c>
      <c r="C16" s="220">
        <f>VLOOKUP(A16, 'S07 Initial Parameters'!$A$2:$G$201, 3, FALSE)</f>
        <v>25649</v>
      </c>
      <c r="D16" s="221">
        <f t="shared" si="1"/>
        <v>1129539</v>
      </c>
      <c r="E16" s="222">
        <f t="shared" si="0"/>
        <v>1.750295139244307E-2</v>
      </c>
      <c r="F16" s="223">
        <f t="shared" si="2"/>
        <v>0.7708006632955966</v>
      </c>
    </row>
    <row r="17" spans="1:6" x14ac:dyDescent="0.2">
      <c r="A17" s="219" t="s">
        <v>203</v>
      </c>
      <c r="B17" s="219" t="s">
        <v>204</v>
      </c>
      <c r="C17" s="220">
        <f>VLOOKUP(A17, 'S07 Initial Parameters'!$A$2:$G$201, 3, FALSE)</f>
        <v>25639</v>
      </c>
      <c r="D17" s="221">
        <f t="shared" si="1"/>
        <v>1155178</v>
      </c>
      <c r="E17" s="222">
        <f t="shared" si="0"/>
        <v>1.7496127363672967E-2</v>
      </c>
      <c r="F17" s="223">
        <f t="shared" si="2"/>
        <v>0.78829679065926961</v>
      </c>
    </row>
    <row r="18" spans="1:6" x14ac:dyDescent="0.2">
      <c r="A18" s="219" t="s">
        <v>205</v>
      </c>
      <c r="B18" s="219" t="s">
        <v>206</v>
      </c>
      <c r="C18" s="220">
        <f>VLOOKUP(A18, 'S07 Initial Parameters'!$A$2:$G$201, 3, FALSE)</f>
        <v>25468</v>
      </c>
      <c r="D18" s="221">
        <f t="shared" si="1"/>
        <v>1180646</v>
      </c>
      <c r="E18" s="222">
        <f t="shared" si="0"/>
        <v>1.7379436471704163E-2</v>
      </c>
      <c r="F18" s="223">
        <f t="shared" si="2"/>
        <v>0.80567622713097375</v>
      </c>
    </row>
    <row r="19" spans="1:6" x14ac:dyDescent="0.2">
      <c r="A19" s="201" t="s">
        <v>525</v>
      </c>
      <c r="B19" s="201" t="s">
        <v>876</v>
      </c>
      <c r="C19" s="200">
        <f>VLOOKUP(A19, 'S07 Initial Parameters'!$A$2:$G$201, 3, FALSE)</f>
        <v>12224</v>
      </c>
      <c r="D19" s="202">
        <f t="shared" si="1"/>
        <v>1192870</v>
      </c>
      <c r="E19" s="203">
        <f t="shared" si="0"/>
        <v>8.3416927685767122E-3</v>
      </c>
      <c r="F19" s="204">
        <f t="shared" si="2"/>
        <v>0.81401791989955041</v>
      </c>
    </row>
    <row r="20" spans="1:6" x14ac:dyDescent="0.2">
      <c r="A20" s="201" t="s">
        <v>531</v>
      </c>
      <c r="B20" s="201" t="s">
        <v>885</v>
      </c>
      <c r="C20" s="200">
        <f>VLOOKUP(A20, 'S07 Initial Parameters'!$A$2:$G$201, 3, FALSE)</f>
        <v>12036</v>
      </c>
      <c r="D20" s="202">
        <f t="shared" si="1"/>
        <v>1204906</v>
      </c>
      <c r="E20" s="203">
        <f t="shared" si="0"/>
        <v>8.2134010276987326E-3</v>
      </c>
      <c r="F20" s="204">
        <f t="shared" si="2"/>
        <v>0.82223132092724915</v>
      </c>
    </row>
    <row r="21" spans="1:6" x14ac:dyDescent="0.2">
      <c r="A21" s="201" t="s">
        <v>533</v>
      </c>
      <c r="B21" s="201" t="s">
        <v>887</v>
      </c>
      <c r="C21" s="200">
        <f>VLOOKUP(A21, 'S07 Initial Parameters'!$A$2:$G$201, 3, FALSE)</f>
        <v>10356</v>
      </c>
      <c r="D21" s="202">
        <f t="shared" si="1"/>
        <v>1215262</v>
      </c>
      <c r="E21" s="203">
        <f t="shared" si="0"/>
        <v>7.066964194321043E-3</v>
      </c>
      <c r="F21" s="204">
        <f t="shared" si="2"/>
        <v>0.82929828512157022</v>
      </c>
    </row>
    <row r="22" spans="1:6" x14ac:dyDescent="0.2">
      <c r="A22" s="201" t="s">
        <v>534</v>
      </c>
      <c r="B22" s="201" t="s">
        <v>888</v>
      </c>
      <c r="C22" s="200">
        <f>VLOOKUP(A22, 'S07 Initial Parameters'!$A$2:$G$201, 3, FALSE)</f>
        <v>10254</v>
      </c>
      <c r="D22" s="202">
        <f t="shared" si="1"/>
        <v>1225516</v>
      </c>
      <c r="E22" s="203">
        <f t="shared" si="0"/>
        <v>6.9973591008659691E-3</v>
      </c>
      <c r="F22" s="204">
        <f t="shared" si="2"/>
        <v>0.83629564422243619</v>
      </c>
    </row>
    <row r="23" spans="1:6" x14ac:dyDescent="0.2">
      <c r="A23" s="201" t="s">
        <v>553</v>
      </c>
      <c r="B23" s="201" t="s">
        <v>847</v>
      </c>
      <c r="C23" s="200">
        <f>VLOOKUP(A23, 'S07 Initial Parameters'!$A$2:$G$201, 3, FALSE)</f>
        <v>10038</v>
      </c>
      <c r="D23" s="202">
        <f t="shared" si="1"/>
        <v>1235554</v>
      </c>
      <c r="E23" s="203">
        <f t="shared" si="0"/>
        <v>6.8499600794316952E-3</v>
      </c>
      <c r="F23" s="204">
        <f t="shared" si="2"/>
        <v>0.84314560430186791</v>
      </c>
    </row>
    <row r="24" spans="1:6" x14ac:dyDescent="0.2">
      <c r="A24" s="201" t="s">
        <v>558</v>
      </c>
      <c r="B24" s="201" t="s">
        <v>838</v>
      </c>
      <c r="C24" s="200">
        <f>VLOOKUP(A24, 'S07 Initial Parameters'!$A$2:$G$201, 3, FALSE)</f>
        <v>9748</v>
      </c>
      <c r="D24" s="202">
        <f t="shared" si="1"/>
        <v>1245302</v>
      </c>
      <c r="E24" s="203">
        <f t="shared" si="0"/>
        <v>6.6520632450986416E-3</v>
      </c>
      <c r="F24" s="204">
        <f t="shared" si="2"/>
        <v>0.84979766754696651</v>
      </c>
    </row>
    <row r="25" spans="1:6" x14ac:dyDescent="0.2">
      <c r="A25" s="201" t="s">
        <v>547</v>
      </c>
      <c r="B25" s="201" t="s">
        <v>857</v>
      </c>
      <c r="C25" s="200">
        <f>VLOOKUP(A25, 'S07 Initial Parameters'!$A$2:$G$201, 3, FALSE)</f>
        <v>9246</v>
      </c>
      <c r="D25" s="202">
        <f t="shared" si="1"/>
        <v>1254548</v>
      </c>
      <c r="E25" s="203">
        <f t="shared" si="0"/>
        <v>6.3094970008393553E-3</v>
      </c>
      <c r="F25" s="204">
        <f t="shared" si="2"/>
        <v>0.85610716454780589</v>
      </c>
    </row>
    <row r="26" spans="1:6" x14ac:dyDescent="0.2">
      <c r="A26" s="201" t="s">
        <v>541</v>
      </c>
      <c r="B26" s="201" t="s">
        <v>851</v>
      </c>
      <c r="C26" s="200">
        <f>VLOOKUP(A26, 'S07 Initial Parameters'!$A$2:$G$201, 3, FALSE)</f>
        <v>8750</v>
      </c>
      <c r="D26" s="202">
        <f t="shared" si="1"/>
        <v>1263298</v>
      </c>
      <c r="E26" s="203">
        <f t="shared" si="0"/>
        <v>5.971025173842133E-3</v>
      </c>
      <c r="F26" s="204">
        <f t="shared" si="2"/>
        <v>0.86207818972164807</v>
      </c>
    </row>
    <row r="27" spans="1:6" x14ac:dyDescent="0.2">
      <c r="A27" s="201" t="s">
        <v>544</v>
      </c>
      <c r="B27" s="201" t="s">
        <v>854</v>
      </c>
      <c r="C27" s="200">
        <f>VLOOKUP(A27, 'S07 Initial Parameters'!$A$2:$G$201, 3, FALSE)</f>
        <v>8230</v>
      </c>
      <c r="D27" s="202">
        <f t="shared" si="1"/>
        <v>1271528</v>
      </c>
      <c r="E27" s="203">
        <f t="shared" si="0"/>
        <v>5.6161756777966575E-3</v>
      </c>
      <c r="F27" s="204">
        <f t="shared" si="2"/>
        <v>0.86769436539944478</v>
      </c>
    </row>
    <row r="28" spans="1:6" x14ac:dyDescent="0.2">
      <c r="A28" s="201" t="s">
        <v>538</v>
      </c>
      <c r="B28" s="201" t="s">
        <v>859</v>
      </c>
      <c r="C28" s="200">
        <f>VLOOKUP(A28, 'S07 Initial Parameters'!$A$2:$G$201, 3, FALSE)</f>
        <v>8070</v>
      </c>
      <c r="D28" s="202">
        <f t="shared" si="1"/>
        <v>1279598</v>
      </c>
      <c r="E28" s="203">
        <f t="shared" si="0"/>
        <v>5.5069912174749731E-3</v>
      </c>
      <c r="F28" s="204">
        <f t="shared" si="2"/>
        <v>0.87320135661691978</v>
      </c>
    </row>
    <row r="29" spans="1:6" x14ac:dyDescent="0.2">
      <c r="A29" s="201" t="s">
        <v>550</v>
      </c>
      <c r="B29" s="201" t="s">
        <v>836</v>
      </c>
      <c r="C29" s="200">
        <f>VLOOKUP(A29, 'S07 Initial Parameters'!$A$2:$G$201, 3, FALSE)</f>
        <v>7654</v>
      </c>
      <c r="D29" s="202">
        <f t="shared" si="1"/>
        <v>1287252</v>
      </c>
      <c r="E29" s="203">
        <f t="shared" si="0"/>
        <v>5.2231116206385925E-3</v>
      </c>
      <c r="F29" s="204">
        <f t="shared" si="2"/>
        <v>0.87842446823755838</v>
      </c>
    </row>
    <row r="30" spans="1:6" x14ac:dyDescent="0.2">
      <c r="A30" s="201" t="s">
        <v>545</v>
      </c>
      <c r="B30" s="201" t="s">
        <v>855</v>
      </c>
      <c r="C30" s="200">
        <f>VLOOKUP(A30, 'S07 Initial Parameters'!$A$2:$G$201, 3, FALSE)</f>
        <v>7065</v>
      </c>
      <c r="D30" s="202">
        <f t="shared" si="1"/>
        <v>1294317</v>
      </c>
      <c r="E30" s="203">
        <f t="shared" si="0"/>
        <v>4.8211763260793909E-3</v>
      </c>
      <c r="F30" s="204">
        <f t="shared" si="2"/>
        <v>0.88324564456363774</v>
      </c>
    </row>
    <row r="31" spans="1:6" x14ac:dyDescent="0.2">
      <c r="A31" s="201" t="s">
        <v>521</v>
      </c>
      <c r="B31" s="201" t="s">
        <v>872</v>
      </c>
      <c r="C31" s="200">
        <f>VLOOKUP(A31, 'S07 Initial Parameters'!$A$2:$G$201, 3, FALSE)</f>
        <v>6903</v>
      </c>
      <c r="D31" s="202">
        <f t="shared" si="1"/>
        <v>1301220</v>
      </c>
      <c r="E31" s="203">
        <f t="shared" si="0"/>
        <v>4.7106270600036854E-3</v>
      </c>
      <c r="F31" s="204">
        <f t="shared" si="2"/>
        <v>0.88795627162364144</v>
      </c>
    </row>
    <row r="32" spans="1:6" x14ac:dyDescent="0.2">
      <c r="A32" s="201" t="s">
        <v>512</v>
      </c>
      <c r="B32" s="201" t="s">
        <v>863</v>
      </c>
      <c r="C32" s="200">
        <f>VLOOKUP(A32, 'S07 Initial Parameters'!$A$2:$G$201, 3, FALSE)</f>
        <v>6491</v>
      </c>
      <c r="D32" s="202">
        <f t="shared" si="1"/>
        <v>1307711</v>
      </c>
      <c r="E32" s="203">
        <f t="shared" si="0"/>
        <v>4.4294770746753469E-3</v>
      </c>
      <c r="F32" s="204">
        <f t="shared" si="2"/>
        <v>0.89238574869831677</v>
      </c>
    </row>
    <row r="33" spans="1:6" x14ac:dyDescent="0.2">
      <c r="A33" s="201" t="s">
        <v>508</v>
      </c>
      <c r="B33" s="201" t="s">
        <v>879</v>
      </c>
      <c r="C33" s="200">
        <f>VLOOKUP(A33, 'S07 Initial Parameters'!$A$2:$G$201, 3, FALSE)</f>
        <v>6134</v>
      </c>
      <c r="D33" s="202">
        <f t="shared" si="1"/>
        <v>1313845</v>
      </c>
      <c r="E33" s="203">
        <f t="shared" si="0"/>
        <v>4.1858592475825882E-3</v>
      </c>
      <c r="F33" s="204">
        <f t="shared" si="2"/>
        <v>0.89657160794589941</v>
      </c>
    </row>
    <row r="34" spans="1:6" x14ac:dyDescent="0.2">
      <c r="A34" s="201" t="s">
        <v>555</v>
      </c>
      <c r="B34" s="201" t="s">
        <v>849</v>
      </c>
      <c r="C34" s="200">
        <f>VLOOKUP(A34, 'S07 Initial Parameters'!$A$2:$G$201, 3, FALSE)</f>
        <v>6003</v>
      </c>
      <c r="D34" s="202">
        <f t="shared" si="1"/>
        <v>1319848</v>
      </c>
      <c r="E34" s="203">
        <f t="shared" si="0"/>
        <v>4.0964644706942086E-3</v>
      </c>
      <c r="F34" s="204">
        <f t="shared" si="2"/>
        <v>0.90066807241659363</v>
      </c>
    </row>
    <row r="35" spans="1:6" x14ac:dyDescent="0.2">
      <c r="A35" s="201" t="s">
        <v>516</v>
      </c>
      <c r="B35" s="201" t="s">
        <v>868</v>
      </c>
      <c r="C35" s="200">
        <f>VLOOKUP(A35, 'S07 Initial Parameters'!$A$2:$G$201, 3, FALSE)</f>
        <v>5692</v>
      </c>
      <c r="D35" s="202">
        <f t="shared" si="1"/>
        <v>1325540</v>
      </c>
      <c r="E35" s="203">
        <f t="shared" si="0"/>
        <v>3.8842371759439339E-3</v>
      </c>
      <c r="F35" s="204">
        <f t="shared" si="2"/>
        <v>0.90455230959253752</v>
      </c>
    </row>
    <row r="36" spans="1:6" x14ac:dyDescent="0.2">
      <c r="A36" s="201" t="s">
        <v>511</v>
      </c>
      <c r="B36" s="201" t="s">
        <v>862</v>
      </c>
      <c r="C36" s="200">
        <f>VLOOKUP(A36, 'S07 Initial Parameters'!$A$2:$G$201, 3, FALSE)</f>
        <v>4765</v>
      </c>
      <c r="D36" s="202">
        <f t="shared" si="1"/>
        <v>1330305</v>
      </c>
      <c r="E36" s="203">
        <f t="shared" si="0"/>
        <v>3.2516497089551729E-3</v>
      </c>
      <c r="F36" s="204">
        <f t="shared" si="2"/>
        <v>0.90780395930149271</v>
      </c>
    </row>
    <row r="37" spans="1:6" x14ac:dyDescent="0.2">
      <c r="A37" s="201" t="s">
        <v>543</v>
      </c>
      <c r="B37" s="201" t="s">
        <v>853</v>
      </c>
      <c r="C37" s="200">
        <f>VLOOKUP(A37, 'S07 Initial Parameters'!$A$2:$G$201, 3, FALSE)</f>
        <v>4730</v>
      </c>
      <c r="D37" s="202">
        <f t="shared" si="1"/>
        <v>1335035</v>
      </c>
      <c r="E37" s="203">
        <f t="shared" si="0"/>
        <v>3.2277656082598046E-3</v>
      </c>
      <c r="F37" s="204">
        <f t="shared" si="2"/>
        <v>0.91103172490975248</v>
      </c>
    </row>
    <row r="38" spans="1:6" x14ac:dyDescent="0.2">
      <c r="A38" s="201" t="s">
        <v>523</v>
      </c>
      <c r="B38" s="201" t="s">
        <v>874</v>
      </c>
      <c r="C38" s="200">
        <f>VLOOKUP(A38, 'S07 Initial Parameters'!$A$2:$G$201, 3, FALSE)</f>
        <v>4177</v>
      </c>
      <c r="D38" s="202">
        <f t="shared" si="1"/>
        <v>1339212</v>
      </c>
      <c r="E38" s="203">
        <f t="shared" si="0"/>
        <v>2.8503968172729818E-3</v>
      </c>
      <c r="F38" s="204">
        <f t="shared" si="2"/>
        <v>0.91388212172702543</v>
      </c>
    </row>
    <row r="39" spans="1:6" x14ac:dyDescent="0.2">
      <c r="A39" s="201" t="s">
        <v>552</v>
      </c>
      <c r="B39" s="201" t="s">
        <v>846</v>
      </c>
      <c r="C39" s="200">
        <f>VLOOKUP(A39, 'S07 Initial Parameters'!$A$2:$G$201, 3, FALSE)</f>
        <v>4084</v>
      </c>
      <c r="D39" s="202">
        <f t="shared" si="1"/>
        <v>1343296</v>
      </c>
      <c r="E39" s="203">
        <f t="shared" si="0"/>
        <v>2.7869333497110025E-3</v>
      </c>
      <c r="F39" s="204">
        <f t="shared" si="2"/>
        <v>0.91666905507673646</v>
      </c>
    </row>
    <row r="40" spans="1:6" x14ac:dyDescent="0.2">
      <c r="A40" s="201" t="s">
        <v>532</v>
      </c>
      <c r="B40" s="201" t="s">
        <v>886</v>
      </c>
      <c r="C40" s="200">
        <f>VLOOKUP(A40, 'S07 Initial Parameters'!$A$2:$G$201, 3, FALSE)</f>
        <v>3735</v>
      </c>
      <c r="D40" s="202">
        <f t="shared" si="1"/>
        <v>1347031</v>
      </c>
      <c r="E40" s="203">
        <f t="shared" si="0"/>
        <v>2.5487747456343275E-3</v>
      </c>
      <c r="F40" s="204">
        <f t="shared" si="2"/>
        <v>0.91921782982237077</v>
      </c>
    </row>
    <row r="41" spans="1:6" x14ac:dyDescent="0.2">
      <c r="A41" s="201" t="s">
        <v>529</v>
      </c>
      <c r="B41" s="201" t="s">
        <v>883</v>
      </c>
      <c r="C41" s="200">
        <f>VLOOKUP(A41, 'S07 Initial Parameters'!$A$2:$G$201, 3, FALSE)</f>
        <v>3562</v>
      </c>
      <c r="D41" s="202">
        <f t="shared" si="1"/>
        <v>1350593</v>
      </c>
      <c r="E41" s="203">
        <f t="shared" si="0"/>
        <v>2.4307190479115059E-3</v>
      </c>
      <c r="F41" s="204">
        <f t="shared" si="2"/>
        <v>0.92164854887028225</v>
      </c>
    </row>
    <row r="42" spans="1:6" x14ac:dyDescent="0.2">
      <c r="A42" s="201" t="s">
        <v>542</v>
      </c>
      <c r="B42" s="201" t="s">
        <v>852</v>
      </c>
      <c r="C42" s="200">
        <f>VLOOKUP(A42, 'S07 Initial Parameters'!$A$2:$G$201, 3, FALSE)</f>
        <v>3450</v>
      </c>
      <c r="D42" s="202">
        <f t="shared" si="1"/>
        <v>1354043</v>
      </c>
      <c r="E42" s="203">
        <f t="shared" si="0"/>
        <v>2.3542899256863265E-3</v>
      </c>
      <c r="F42" s="204">
        <f t="shared" si="2"/>
        <v>0.92400283879596856</v>
      </c>
    </row>
    <row r="43" spans="1:6" x14ac:dyDescent="0.2">
      <c r="A43" s="201" t="s">
        <v>535</v>
      </c>
      <c r="B43" s="201" t="s">
        <v>889</v>
      </c>
      <c r="C43" s="200">
        <f>VLOOKUP(A43, 'S07 Initial Parameters'!$A$2:$G$201, 3, FALSE)</f>
        <v>3076</v>
      </c>
      <c r="D43" s="202">
        <f t="shared" si="1"/>
        <v>1357119</v>
      </c>
      <c r="E43" s="203">
        <f t="shared" si="0"/>
        <v>2.0990712496843887E-3</v>
      </c>
      <c r="F43" s="204">
        <f t="shared" si="2"/>
        <v>0.9261019100456529</v>
      </c>
    </row>
    <row r="44" spans="1:6" x14ac:dyDescent="0.2">
      <c r="A44" s="201" t="s">
        <v>524</v>
      </c>
      <c r="B44" s="201" t="s">
        <v>875</v>
      </c>
      <c r="C44" s="200">
        <f>VLOOKUP(A44, 'S07 Initial Parameters'!$A$2:$G$201, 3, FALSE)</f>
        <v>2821</v>
      </c>
      <c r="D44" s="202">
        <f t="shared" si="1"/>
        <v>1359940</v>
      </c>
      <c r="E44" s="203">
        <f t="shared" si="0"/>
        <v>1.9250585160467037E-3</v>
      </c>
      <c r="F44" s="204">
        <f t="shared" si="2"/>
        <v>0.92802696856169964</v>
      </c>
    </row>
    <row r="45" spans="1:6" x14ac:dyDescent="0.2">
      <c r="A45" s="201" t="s">
        <v>548</v>
      </c>
      <c r="B45" s="201" t="s">
        <v>834</v>
      </c>
      <c r="C45" s="200">
        <f>VLOOKUP(A45, 'S07 Initial Parameters'!$A$2:$G$201, 3, FALSE)</f>
        <v>2559</v>
      </c>
      <c r="D45" s="202">
        <f t="shared" si="1"/>
        <v>1362499</v>
      </c>
      <c r="E45" s="203">
        <f t="shared" si="0"/>
        <v>1.746268962269945E-3</v>
      </c>
      <c r="F45" s="204">
        <f t="shared" si="2"/>
        <v>0.92977323752396956</v>
      </c>
    </row>
    <row r="46" spans="1:6" x14ac:dyDescent="0.2">
      <c r="A46" s="201" t="s">
        <v>551</v>
      </c>
      <c r="B46" s="201" t="s">
        <v>845</v>
      </c>
      <c r="C46" s="200">
        <f>VLOOKUP(A46, 'S07 Initial Parameters'!$A$2:$G$201, 3, FALSE)</f>
        <v>2549</v>
      </c>
      <c r="D46" s="202">
        <f t="shared" si="1"/>
        <v>1365048</v>
      </c>
      <c r="E46" s="203">
        <f t="shared" si="0"/>
        <v>1.7394449334998396E-3</v>
      </c>
      <c r="F46" s="204">
        <f t="shared" si="2"/>
        <v>0.93151268245746943</v>
      </c>
    </row>
    <row r="47" spans="1:6" x14ac:dyDescent="0.2">
      <c r="A47" s="201" t="s">
        <v>549</v>
      </c>
      <c r="B47" s="201" t="s">
        <v>835</v>
      </c>
      <c r="C47" s="200">
        <f>VLOOKUP(A47, 'S07 Initial Parameters'!$A$2:$G$201, 3, FALSE)</f>
        <v>2547</v>
      </c>
      <c r="D47" s="202">
        <f t="shared" si="1"/>
        <v>1367595</v>
      </c>
      <c r="E47" s="203">
        <f t="shared" si="0"/>
        <v>1.7380801277458186E-3</v>
      </c>
      <c r="F47" s="204">
        <f t="shared" si="2"/>
        <v>0.93325076258521522</v>
      </c>
    </row>
    <row r="48" spans="1:6" x14ac:dyDescent="0.2">
      <c r="A48" s="201" t="s">
        <v>554</v>
      </c>
      <c r="B48" s="201" t="s">
        <v>848</v>
      </c>
      <c r="C48" s="200">
        <f>VLOOKUP(A48, 'S07 Initial Parameters'!$A$2:$G$201, 3, FALSE)</f>
        <v>2525</v>
      </c>
      <c r="D48" s="202">
        <f t="shared" si="1"/>
        <v>1370120</v>
      </c>
      <c r="E48" s="203">
        <f t="shared" si="0"/>
        <v>1.7230672644515869E-3</v>
      </c>
      <c r="F48" s="204">
        <f t="shared" si="2"/>
        <v>0.93497382984966682</v>
      </c>
    </row>
    <row r="49" spans="1:6" x14ac:dyDescent="0.2">
      <c r="A49" s="201" t="s">
        <v>207</v>
      </c>
      <c r="B49" s="201" t="s">
        <v>208</v>
      </c>
      <c r="C49" s="200">
        <f>VLOOKUP(A49, 'S07 Initial Parameters'!$A$2:$G$201, 3, FALSE)</f>
        <v>2458</v>
      </c>
      <c r="D49" s="202">
        <f t="shared" si="1"/>
        <v>1372578</v>
      </c>
      <c r="E49" s="203">
        <f t="shared" si="0"/>
        <v>1.6773462716918814E-3</v>
      </c>
      <c r="F49" s="204">
        <f t="shared" si="2"/>
        <v>0.93665117612135873</v>
      </c>
    </row>
    <row r="50" spans="1:6" x14ac:dyDescent="0.2">
      <c r="A50" s="201" t="s">
        <v>557</v>
      </c>
      <c r="B50" s="201" t="s">
        <v>837</v>
      </c>
      <c r="C50" s="200">
        <f>VLOOKUP(A50, 'S07 Initial Parameters'!$A$2:$G$201, 3, FALSE)</f>
        <v>2458</v>
      </c>
      <c r="D50" s="202">
        <f t="shared" si="1"/>
        <v>1375036</v>
      </c>
      <c r="E50" s="203">
        <f t="shared" si="0"/>
        <v>1.6773462716918814E-3</v>
      </c>
      <c r="F50" s="204">
        <f t="shared" si="2"/>
        <v>0.93832852239305065</v>
      </c>
    </row>
    <row r="51" spans="1:6" x14ac:dyDescent="0.2">
      <c r="A51" s="201" t="s">
        <v>546</v>
      </c>
      <c r="B51" s="201" t="s">
        <v>856</v>
      </c>
      <c r="C51" s="200">
        <f>VLOOKUP(A51, 'S07 Initial Parameters'!$A$2:$G$201, 3, FALSE)</f>
        <v>2456</v>
      </c>
      <c r="D51" s="202">
        <f t="shared" si="1"/>
        <v>1377492</v>
      </c>
      <c r="E51" s="203">
        <f t="shared" si="0"/>
        <v>1.6759814659378603E-3</v>
      </c>
      <c r="F51" s="204">
        <f t="shared" si="2"/>
        <v>0.94000450385898848</v>
      </c>
    </row>
    <row r="52" spans="1:6" x14ac:dyDescent="0.2">
      <c r="A52" s="201" t="s">
        <v>209</v>
      </c>
      <c r="B52" s="201" t="s">
        <v>210</v>
      </c>
      <c r="C52" s="200">
        <f>VLOOKUP(A52, 'S07 Initial Parameters'!$A$2:$G$201, 3, FALSE)</f>
        <v>2456</v>
      </c>
      <c r="D52" s="202">
        <f t="shared" si="1"/>
        <v>1379948</v>
      </c>
      <c r="E52" s="203">
        <f t="shared" si="0"/>
        <v>1.6759814659378603E-3</v>
      </c>
      <c r="F52" s="204">
        <f t="shared" si="2"/>
        <v>0.94168048532492632</v>
      </c>
    </row>
    <row r="53" spans="1:6" x14ac:dyDescent="0.2">
      <c r="A53" s="201" t="s">
        <v>211</v>
      </c>
      <c r="B53" s="201" t="s">
        <v>212</v>
      </c>
      <c r="C53" s="200">
        <f>VLOOKUP(A53, 'S07 Initial Parameters'!$A$2:$G$201, 3, FALSE)</f>
        <v>2454</v>
      </c>
      <c r="D53" s="202">
        <f t="shared" si="1"/>
        <v>1382402</v>
      </c>
      <c r="E53" s="203">
        <f t="shared" si="0"/>
        <v>1.6746166601838393E-3</v>
      </c>
      <c r="F53" s="204">
        <f t="shared" si="2"/>
        <v>0.94335510198511019</v>
      </c>
    </row>
    <row r="54" spans="1:6" x14ac:dyDescent="0.2">
      <c r="A54" s="201" t="s">
        <v>539</v>
      </c>
      <c r="B54" s="201" t="s">
        <v>860</v>
      </c>
      <c r="C54" s="200">
        <f>VLOOKUP(A54, 'S07 Initial Parameters'!$A$2:$G$201, 3, FALSE)</f>
        <v>2342</v>
      </c>
      <c r="D54" s="202">
        <f t="shared" si="1"/>
        <v>1384744</v>
      </c>
      <c r="E54" s="203">
        <f t="shared" si="0"/>
        <v>1.5981875379586601E-3</v>
      </c>
      <c r="F54" s="204">
        <f t="shared" si="2"/>
        <v>0.9449532895230689</v>
      </c>
    </row>
    <row r="55" spans="1:6" x14ac:dyDescent="0.2">
      <c r="A55" s="201" t="s">
        <v>540</v>
      </c>
      <c r="B55" s="201" t="s">
        <v>833</v>
      </c>
      <c r="C55" s="200">
        <f>VLOOKUP(A55, 'S07 Initial Parameters'!$A$2:$G$201, 3, FALSE)</f>
        <v>2226</v>
      </c>
      <c r="D55" s="202">
        <f t="shared" si="1"/>
        <v>1386970</v>
      </c>
      <c r="E55" s="203">
        <f t="shared" si="0"/>
        <v>1.5190288042254386E-3</v>
      </c>
      <c r="F55" s="204">
        <f t="shared" si="2"/>
        <v>0.94647231832729428</v>
      </c>
    </row>
    <row r="56" spans="1:6" x14ac:dyDescent="0.2">
      <c r="A56" s="201" t="s">
        <v>556</v>
      </c>
      <c r="B56" s="201" t="s">
        <v>850</v>
      </c>
      <c r="C56" s="200">
        <f>VLOOKUP(A56, 'S07 Initial Parameters'!$A$2:$G$201, 3, FALSE)</f>
        <v>2189</v>
      </c>
      <c r="D56" s="202">
        <f t="shared" si="1"/>
        <v>1389159</v>
      </c>
      <c r="E56" s="203">
        <f t="shared" si="0"/>
        <v>1.493779897776049E-3</v>
      </c>
      <c r="F56" s="204">
        <f t="shared" si="2"/>
        <v>0.94796609822507039</v>
      </c>
    </row>
    <row r="57" spans="1:6" x14ac:dyDescent="0.2">
      <c r="A57" s="201" t="s">
        <v>528</v>
      </c>
      <c r="B57" s="201" t="s">
        <v>882</v>
      </c>
      <c r="C57" s="200">
        <f>VLOOKUP(A57, 'S07 Initial Parameters'!$A$2:$G$201, 3, FALSE)</f>
        <v>2156</v>
      </c>
      <c r="D57" s="202">
        <f t="shared" si="1"/>
        <v>1391315</v>
      </c>
      <c r="E57" s="203">
        <f t="shared" si="0"/>
        <v>1.4712606028347015E-3</v>
      </c>
      <c r="F57" s="204">
        <f t="shared" si="2"/>
        <v>0.94943735882790514</v>
      </c>
    </row>
    <row r="58" spans="1:6" x14ac:dyDescent="0.2">
      <c r="A58" s="201" t="s">
        <v>215</v>
      </c>
      <c r="B58" s="201" t="s">
        <v>216</v>
      </c>
      <c r="C58" s="200">
        <f>VLOOKUP(A58, 'S07 Initial Parameters'!$A$2:$G$201, 3, FALSE)</f>
        <v>2156</v>
      </c>
      <c r="D58" s="202">
        <f t="shared" si="1"/>
        <v>1393471</v>
      </c>
      <c r="E58" s="203">
        <f t="shared" si="0"/>
        <v>1.4712606028347015E-3</v>
      </c>
      <c r="F58" s="204">
        <f t="shared" si="2"/>
        <v>0.9509086194307399</v>
      </c>
    </row>
    <row r="59" spans="1:6" x14ac:dyDescent="0.2">
      <c r="A59" s="201" t="s">
        <v>217</v>
      </c>
      <c r="B59" s="201" t="s">
        <v>218</v>
      </c>
      <c r="C59" s="200">
        <f>VLOOKUP(A59, 'S07 Initial Parameters'!$A$2:$G$201, 3, FALSE)</f>
        <v>2154</v>
      </c>
      <c r="D59" s="202">
        <f t="shared" si="1"/>
        <v>1395625</v>
      </c>
      <c r="E59" s="203">
        <f t="shared" si="0"/>
        <v>1.4698957970806805E-3</v>
      </c>
      <c r="F59" s="204">
        <f t="shared" si="2"/>
        <v>0.95237851522782058</v>
      </c>
    </row>
    <row r="60" spans="1:6" x14ac:dyDescent="0.2">
      <c r="A60" s="201" t="s">
        <v>537</v>
      </c>
      <c r="B60" s="201" t="s">
        <v>858</v>
      </c>
      <c r="C60" s="200">
        <f>VLOOKUP(A60, 'S07 Initial Parameters'!$A$2:$G$201, 3, FALSE)</f>
        <v>2154</v>
      </c>
      <c r="D60" s="202">
        <f t="shared" si="1"/>
        <v>1397779</v>
      </c>
      <c r="E60" s="203">
        <f t="shared" si="0"/>
        <v>1.4698957970806805E-3</v>
      </c>
      <c r="F60" s="204">
        <f t="shared" si="2"/>
        <v>0.95384841102490125</v>
      </c>
    </row>
    <row r="61" spans="1:6" x14ac:dyDescent="0.2">
      <c r="A61" s="201" t="s">
        <v>221</v>
      </c>
      <c r="B61" s="201" t="s">
        <v>222</v>
      </c>
      <c r="C61" s="200">
        <f>VLOOKUP(A61, 'S07 Initial Parameters'!$A$2:$G$201, 3, FALSE)</f>
        <v>2154</v>
      </c>
      <c r="D61" s="202">
        <f t="shared" si="1"/>
        <v>1399933</v>
      </c>
      <c r="E61" s="203">
        <f t="shared" si="0"/>
        <v>1.4698957970806805E-3</v>
      </c>
      <c r="F61" s="204">
        <f t="shared" si="2"/>
        <v>0.95531830682198193</v>
      </c>
    </row>
    <row r="62" spans="1:6" x14ac:dyDescent="0.2">
      <c r="A62" s="201" t="s">
        <v>515</v>
      </c>
      <c r="B62" s="201" t="s">
        <v>866</v>
      </c>
      <c r="C62" s="200">
        <f>VLOOKUP(A62, 'S07 Initial Parameters'!$A$2:$G$201, 3, FALSE)</f>
        <v>2014</v>
      </c>
      <c r="D62" s="202">
        <f t="shared" si="1"/>
        <v>1401947</v>
      </c>
      <c r="E62" s="203">
        <f t="shared" si="0"/>
        <v>1.3743593942992063E-3</v>
      </c>
      <c r="F62" s="204">
        <f t="shared" si="2"/>
        <v>0.95669266621628113</v>
      </c>
    </row>
    <row r="63" spans="1:6" x14ac:dyDescent="0.2">
      <c r="A63" s="201" t="s">
        <v>513</v>
      </c>
      <c r="B63" s="201" t="s">
        <v>864</v>
      </c>
      <c r="C63" s="200">
        <f>VLOOKUP(A63, 'S07 Initial Parameters'!$A$2:$G$201, 3, FALSE)</f>
        <v>1987</v>
      </c>
      <c r="D63" s="202">
        <f t="shared" si="1"/>
        <v>1403934</v>
      </c>
      <c r="E63" s="203">
        <f t="shared" si="0"/>
        <v>1.355934516619922E-3</v>
      </c>
      <c r="F63" s="204">
        <f t="shared" si="2"/>
        <v>0.9580486007329011</v>
      </c>
    </row>
    <row r="64" spans="1:6" x14ac:dyDescent="0.2">
      <c r="A64" s="201" t="s">
        <v>507</v>
      </c>
      <c r="B64" s="201" t="s">
        <v>878</v>
      </c>
      <c r="C64" s="200">
        <f>VLOOKUP(A64, 'S07 Initial Parameters'!$A$2:$G$201, 3, FALSE)</f>
        <v>1945</v>
      </c>
      <c r="D64" s="202">
        <f t="shared" si="1"/>
        <v>1405879</v>
      </c>
      <c r="E64" s="203">
        <f t="shared" si="0"/>
        <v>1.3272735957854799E-3</v>
      </c>
      <c r="F64" s="204">
        <f t="shared" si="2"/>
        <v>0.95937587432868654</v>
      </c>
    </row>
    <row r="65" spans="1:6" x14ac:dyDescent="0.2">
      <c r="A65" s="201" t="s">
        <v>519</v>
      </c>
      <c r="B65" s="201" t="s">
        <v>870</v>
      </c>
      <c r="C65" s="200">
        <f>VLOOKUP(A65, 'S07 Initial Parameters'!$A$2:$G$201, 3, FALSE)</f>
        <v>1750</v>
      </c>
      <c r="D65" s="202">
        <f t="shared" si="1"/>
        <v>1407629</v>
      </c>
      <c r="E65" s="203">
        <f t="shared" si="0"/>
        <v>1.1942050347684267E-3</v>
      </c>
      <c r="F65" s="204">
        <f t="shared" si="2"/>
        <v>0.96057007936345495</v>
      </c>
    </row>
    <row r="66" spans="1:6" x14ac:dyDescent="0.2">
      <c r="A66" s="201" t="s">
        <v>536</v>
      </c>
      <c r="B66" s="201" t="s">
        <v>890</v>
      </c>
      <c r="C66" s="200">
        <f>VLOOKUP(A66, 'S07 Initial Parameters'!$A$2:$G$201, 3, FALSE)</f>
        <v>1637</v>
      </c>
      <c r="D66" s="202">
        <f t="shared" si="1"/>
        <v>1409266</v>
      </c>
      <c r="E66" s="203">
        <f t="shared" si="0"/>
        <v>1.1170935096662367E-3</v>
      </c>
      <c r="F66" s="204">
        <f t="shared" si="2"/>
        <v>0.96168717287312122</v>
      </c>
    </row>
    <row r="67" spans="1:6" x14ac:dyDescent="0.2">
      <c r="A67" s="201" t="s">
        <v>522</v>
      </c>
      <c r="B67" s="201" t="s">
        <v>873</v>
      </c>
      <c r="C67" s="200">
        <f>VLOOKUP(A67, 'S07 Initial Parameters'!$A$2:$G$201, 3, FALSE)</f>
        <v>1631</v>
      </c>
      <c r="D67" s="202">
        <f t="shared" si="1"/>
        <v>1410897</v>
      </c>
      <c r="E67" s="203">
        <f t="shared" si="0"/>
        <v>1.1129990924041737E-3</v>
      </c>
      <c r="F67" s="204">
        <f t="shared" si="2"/>
        <v>0.96280017196552536</v>
      </c>
    </row>
    <row r="68" spans="1:6" x14ac:dyDescent="0.2">
      <c r="A68" s="201" t="s">
        <v>510</v>
      </c>
      <c r="B68" s="201" t="s">
        <v>861</v>
      </c>
      <c r="C68" s="200">
        <f>VLOOKUP(A68, 'S07 Initial Parameters'!$A$2:$G$201, 3, FALSE)</f>
        <v>1612</v>
      </c>
      <c r="D68" s="202">
        <f t="shared" si="1"/>
        <v>1412509</v>
      </c>
      <c r="E68" s="203">
        <f t="shared" ref="E68:E131" si="3">C68/SUM($C$3:$C$202)</f>
        <v>1.1000334377409735E-3</v>
      </c>
      <c r="F68" s="204">
        <f t="shared" si="2"/>
        <v>0.96390020540326637</v>
      </c>
    </row>
    <row r="69" spans="1:6" x14ac:dyDescent="0.2">
      <c r="A69" s="201" t="s">
        <v>530</v>
      </c>
      <c r="B69" s="201" t="s">
        <v>884</v>
      </c>
      <c r="C69" s="200">
        <f>VLOOKUP(A69, 'S07 Initial Parameters'!$A$2:$G$201, 3, FALSE)</f>
        <v>1554</v>
      </c>
      <c r="D69" s="202">
        <f t="shared" ref="D69:D132" si="4">C69+D68</f>
        <v>1414063</v>
      </c>
      <c r="E69" s="203">
        <f t="shared" si="3"/>
        <v>1.0604540708743628E-3</v>
      </c>
      <c r="F69" s="204">
        <f t="shared" ref="F69:F132" si="5">E69+F68</f>
        <v>0.96496065947414078</v>
      </c>
    </row>
    <row r="70" spans="1:6" x14ac:dyDescent="0.2">
      <c r="A70" s="201" t="s">
        <v>526</v>
      </c>
      <c r="B70" s="201" t="s">
        <v>877</v>
      </c>
      <c r="C70" s="200">
        <f>VLOOKUP(A70, 'S07 Initial Parameters'!$A$2:$G$201, 3, FALSE)</f>
        <v>1533</v>
      </c>
      <c r="D70" s="202">
        <f t="shared" si="4"/>
        <v>1415596</v>
      </c>
      <c r="E70" s="203">
        <f t="shared" si="3"/>
        <v>1.0461236104571416E-3</v>
      </c>
      <c r="F70" s="204">
        <f t="shared" si="5"/>
        <v>0.96600678308459798</v>
      </c>
    </row>
    <row r="71" spans="1:6" x14ac:dyDescent="0.2">
      <c r="A71" s="201" t="s">
        <v>518</v>
      </c>
      <c r="B71" s="201" t="s">
        <v>869</v>
      </c>
      <c r="C71" s="200">
        <f>VLOOKUP(A71, 'S07 Initial Parameters'!$A$2:$G$201, 3, FALSE)</f>
        <v>1524</v>
      </c>
      <c r="D71" s="202">
        <f t="shared" si="4"/>
        <v>1417120</v>
      </c>
      <c r="E71" s="203">
        <f t="shared" si="3"/>
        <v>1.039981984564047E-3</v>
      </c>
      <c r="F71" s="204">
        <f t="shared" si="5"/>
        <v>0.96704676506916198</v>
      </c>
    </row>
    <row r="72" spans="1:6" x14ac:dyDescent="0.2">
      <c r="A72" s="201" t="s">
        <v>517</v>
      </c>
      <c r="B72" s="201" t="s">
        <v>867</v>
      </c>
      <c r="C72" s="200">
        <f>VLOOKUP(A72, 'S07 Initial Parameters'!$A$2:$G$201, 3, FALSE)</f>
        <v>1498</v>
      </c>
      <c r="D72" s="202">
        <f t="shared" si="4"/>
        <v>1418618</v>
      </c>
      <c r="E72" s="203">
        <f t="shared" si="3"/>
        <v>1.0222395097617732E-3</v>
      </c>
      <c r="F72" s="204">
        <f t="shared" si="5"/>
        <v>0.96806900457892375</v>
      </c>
    </row>
    <row r="73" spans="1:6" x14ac:dyDescent="0.2">
      <c r="A73" s="201" t="s">
        <v>509</v>
      </c>
      <c r="B73" s="201" t="s">
        <v>880</v>
      </c>
      <c r="C73" s="200">
        <f>VLOOKUP(A73, 'S07 Initial Parameters'!$A$2:$G$201, 3, FALSE)</f>
        <v>1425</v>
      </c>
      <c r="D73" s="202">
        <f t="shared" si="4"/>
        <v>1420043</v>
      </c>
      <c r="E73" s="203">
        <f t="shared" si="3"/>
        <v>9.724240997400045E-4</v>
      </c>
      <c r="F73" s="204">
        <f t="shared" si="5"/>
        <v>0.96904142867866372</v>
      </c>
    </row>
    <row r="74" spans="1:6" x14ac:dyDescent="0.2">
      <c r="A74" s="201" t="s">
        <v>514</v>
      </c>
      <c r="B74" s="201" t="s">
        <v>865</v>
      </c>
      <c r="C74" s="200">
        <f>VLOOKUP(A74, 'S07 Initial Parameters'!$A$2:$G$201, 3, FALSE)</f>
        <v>1413</v>
      </c>
      <c r="D74" s="202">
        <f t="shared" si="4"/>
        <v>1421456</v>
      </c>
      <c r="E74" s="203">
        <f t="shared" si="3"/>
        <v>9.6423526521587815E-4</v>
      </c>
      <c r="F74" s="204">
        <f t="shared" si="5"/>
        <v>0.97000566394387955</v>
      </c>
    </row>
    <row r="75" spans="1:6" x14ac:dyDescent="0.2">
      <c r="A75" s="201" t="s">
        <v>520</v>
      </c>
      <c r="B75" s="201" t="s">
        <v>871</v>
      </c>
      <c r="C75" s="200">
        <f>VLOOKUP(A75, 'S07 Initial Parameters'!$A$2:$G$201, 3, FALSE)</f>
        <v>1348</v>
      </c>
      <c r="D75" s="202">
        <f t="shared" si="4"/>
        <v>1422804</v>
      </c>
      <c r="E75" s="203">
        <f t="shared" si="3"/>
        <v>9.1987907821019371E-4</v>
      </c>
      <c r="F75" s="204">
        <f t="shared" si="5"/>
        <v>0.97092554302208978</v>
      </c>
    </row>
    <row r="76" spans="1:6" x14ac:dyDescent="0.2">
      <c r="A76" s="201" t="s">
        <v>265</v>
      </c>
      <c r="B76" s="201" t="s">
        <v>266</v>
      </c>
      <c r="C76" s="200">
        <f>VLOOKUP(A76, 'S07 Initial Parameters'!$A$2:$G$201, 3, FALSE)</f>
        <v>997</v>
      </c>
      <c r="D76" s="202">
        <f t="shared" si="4"/>
        <v>1423801</v>
      </c>
      <c r="E76" s="203">
        <f t="shared" si="3"/>
        <v>6.8035566837949791E-4</v>
      </c>
      <c r="F76" s="204">
        <f t="shared" si="5"/>
        <v>0.97160589869046932</v>
      </c>
    </row>
    <row r="77" spans="1:6" x14ac:dyDescent="0.2">
      <c r="A77" s="201" t="s">
        <v>267</v>
      </c>
      <c r="B77" s="201" t="s">
        <v>268</v>
      </c>
      <c r="C77" s="200">
        <f>VLOOKUP(A77, 'S07 Initial Parameters'!$A$2:$G$201, 3, FALSE)</f>
        <v>989</v>
      </c>
      <c r="D77" s="202">
        <f t="shared" si="4"/>
        <v>1424790</v>
      </c>
      <c r="E77" s="203">
        <f t="shared" si="3"/>
        <v>6.748964453634136E-4</v>
      </c>
      <c r="F77" s="204">
        <f t="shared" si="5"/>
        <v>0.97228079513583276</v>
      </c>
    </row>
    <row r="78" spans="1:6" x14ac:dyDescent="0.2">
      <c r="A78" s="201" t="s">
        <v>269</v>
      </c>
      <c r="B78" s="201" t="s">
        <v>270</v>
      </c>
      <c r="C78" s="200">
        <f>VLOOKUP(A78, 'S07 Initial Parameters'!$A$2:$G$201, 3, FALSE)</f>
        <v>981</v>
      </c>
      <c r="D78" s="202">
        <f t="shared" si="4"/>
        <v>1425771</v>
      </c>
      <c r="E78" s="203">
        <f t="shared" si="3"/>
        <v>6.694372223473294E-4</v>
      </c>
      <c r="F78" s="204">
        <f t="shared" si="5"/>
        <v>0.97295023235818012</v>
      </c>
    </row>
    <row r="79" spans="1:6" x14ac:dyDescent="0.2">
      <c r="A79" s="201" t="s">
        <v>271</v>
      </c>
      <c r="B79" s="201" t="s">
        <v>272</v>
      </c>
      <c r="C79" s="200">
        <f>VLOOKUP(A79, 'S07 Initial Parameters'!$A$2:$G$201, 3, FALSE)</f>
        <v>973</v>
      </c>
      <c r="D79" s="202">
        <f t="shared" si="4"/>
        <v>1426744</v>
      </c>
      <c r="E79" s="203">
        <f t="shared" si="3"/>
        <v>6.639779993312452E-4</v>
      </c>
      <c r="F79" s="204">
        <f t="shared" si="5"/>
        <v>0.97361421035751139</v>
      </c>
    </row>
    <row r="80" spans="1:6" x14ac:dyDescent="0.2">
      <c r="A80" s="201" t="s">
        <v>273</v>
      </c>
      <c r="B80" s="201" t="s">
        <v>274</v>
      </c>
      <c r="C80" s="200">
        <f>VLOOKUP(A80, 'S07 Initial Parameters'!$A$2:$G$201, 3, FALSE)</f>
        <v>965</v>
      </c>
      <c r="D80" s="202">
        <f t="shared" si="4"/>
        <v>1427709</v>
      </c>
      <c r="E80" s="203">
        <f t="shared" si="3"/>
        <v>6.5851877631516089E-4</v>
      </c>
      <c r="F80" s="204">
        <f t="shared" si="5"/>
        <v>0.97427272913382656</v>
      </c>
    </row>
    <row r="81" spans="1:6" x14ac:dyDescent="0.2">
      <c r="A81" s="201" t="s">
        <v>275</v>
      </c>
      <c r="B81" s="201" t="s">
        <v>276</v>
      </c>
      <c r="C81" s="200">
        <f>VLOOKUP(A81, 'S07 Initial Parameters'!$A$2:$G$201, 3, FALSE)</f>
        <v>957</v>
      </c>
      <c r="D81" s="202">
        <f t="shared" si="4"/>
        <v>1428666</v>
      </c>
      <c r="E81" s="203">
        <f t="shared" si="3"/>
        <v>6.5305955329907669E-4</v>
      </c>
      <c r="F81" s="204">
        <f t="shared" si="5"/>
        <v>0.97492578868712565</v>
      </c>
    </row>
    <row r="82" spans="1:6" x14ac:dyDescent="0.2">
      <c r="A82" s="201" t="s">
        <v>277</v>
      </c>
      <c r="B82" s="201" t="s">
        <v>278</v>
      </c>
      <c r="C82" s="200">
        <f>VLOOKUP(A82, 'S07 Initial Parameters'!$A$2:$G$201, 3, FALSE)</f>
        <v>949</v>
      </c>
      <c r="D82" s="202">
        <f t="shared" si="4"/>
        <v>1429615</v>
      </c>
      <c r="E82" s="203">
        <f t="shared" si="3"/>
        <v>6.4760033028299249E-4</v>
      </c>
      <c r="F82" s="204">
        <f t="shared" si="5"/>
        <v>0.97557338901740864</v>
      </c>
    </row>
    <row r="83" spans="1:6" x14ac:dyDescent="0.2">
      <c r="A83" s="201" t="s">
        <v>560</v>
      </c>
      <c r="B83" s="201" t="s">
        <v>841</v>
      </c>
      <c r="C83" s="200">
        <f>VLOOKUP(A83, 'S07 Initial Parameters'!$A$2:$G$201, 3, FALSE)</f>
        <v>941</v>
      </c>
      <c r="D83" s="202">
        <f t="shared" si="4"/>
        <v>1430556</v>
      </c>
      <c r="E83" s="203">
        <f t="shared" si="3"/>
        <v>6.4214110726690829E-4</v>
      </c>
      <c r="F83" s="204">
        <f t="shared" si="5"/>
        <v>0.97621553012467555</v>
      </c>
    </row>
    <row r="84" spans="1:6" x14ac:dyDescent="0.2">
      <c r="A84" s="201" t="s">
        <v>279</v>
      </c>
      <c r="B84" s="201" t="s">
        <v>280</v>
      </c>
      <c r="C84" s="200">
        <f>VLOOKUP(A84, 'S07 Initial Parameters'!$A$2:$G$201, 3, FALSE)</f>
        <v>941</v>
      </c>
      <c r="D84" s="202">
        <f t="shared" si="4"/>
        <v>1431497</v>
      </c>
      <c r="E84" s="203">
        <f t="shared" si="3"/>
        <v>6.4214110726690829E-4</v>
      </c>
      <c r="F84" s="204">
        <f t="shared" si="5"/>
        <v>0.97685767123194245</v>
      </c>
    </row>
    <row r="85" spans="1:6" x14ac:dyDescent="0.2">
      <c r="A85" s="201" t="s">
        <v>281</v>
      </c>
      <c r="B85" s="201" t="s">
        <v>282</v>
      </c>
      <c r="C85" s="200">
        <f>VLOOKUP(A85, 'S07 Initial Parameters'!$A$2:$G$201, 3, FALSE)</f>
        <v>933</v>
      </c>
      <c r="D85" s="202">
        <f t="shared" si="4"/>
        <v>1432430</v>
      </c>
      <c r="E85" s="203">
        <f t="shared" si="3"/>
        <v>6.3668188425082398E-4</v>
      </c>
      <c r="F85" s="204">
        <f t="shared" si="5"/>
        <v>0.97749435311619326</v>
      </c>
    </row>
    <row r="86" spans="1:6" x14ac:dyDescent="0.2">
      <c r="A86" s="201" t="s">
        <v>283</v>
      </c>
      <c r="B86" s="201" t="s">
        <v>284</v>
      </c>
      <c r="C86" s="200">
        <f>VLOOKUP(A86, 'S07 Initial Parameters'!$A$2:$G$201, 3, FALSE)</f>
        <v>925</v>
      </c>
      <c r="D86" s="202">
        <f t="shared" si="4"/>
        <v>1433355</v>
      </c>
      <c r="E86" s="203">
        <f t="shared" si="3"/>
        <v>6.3122266123473978E-4</v>
      </c>
      <c r="F86" s="204">
        <f t="shared" si="5"/>
        <v>0.97812557577742798</v>
      </c>
    </row>
    <row r="87" spans="1:6" x14ac:dyDescent="0.2">
      <c r="A87" s="201" t="s">
        <v>285</v>
      </c>
      <c r="B87" s="201" t="s">
        <v>286</v>
      </c>
      <c r="C87" s="200">
        <f>VLOOKUP(A87, 'S07 Initial Parameters'!$A$2:$G$201, 3, FALSE)</f>
        <v>917</v>
      </c>
      <c r="D87" s="202">
        <f t="shared" si="4"/>
        <v>1434272</v>
      </c>
      <c r="E87" s="203">
        <f t="shared" si="3"/>
        <v>6.2576343821865558E-4</v>
      </c>
      <c r="F87" s="204">
        <f t="shared" si="5"/>
        <v>0.97875133921564661</v>
      </c>
    </row>
    <row r="88" spans="1:6" x14ac:dyDescent="0.2">
      <c r="A88" s="201" t="s">
        <v>287</v>
      </c>
      <c r="B88" s="201" t="s">
        <v>288</v>
      </c>
      <c r="C88" s="200">
        <f>VLOOKUP(A88, 'S07 Initial Parameters'!$A$2:$G$201, 3, FALSE)</f>
        <v>909</v>
      </c>
      <c r="D88" s="202">
        <f t="shared" si="4"/>
        <v>1435181</v>
      </c>
      <c r="E88" s="203">
        <f t="shared" si="3"/>
        <v>6.2030421520257127E-4</v>
      </c>
      <c r="F88" s="204">
        <f t="shared" si="5"/>
        <v>0.97937164343084915</v>
      </c>
    </row>
    <row r="89" spans="1:6" x14ac:dyDescent="0.2">
      <c r="A89" s="201" t="s">
        <v>289</v>
      </c>
      <c r="B89" s="201" t="s">
        <v>290</v>
      </c>
      <c r="C89" s="200">
        <f>VLOOKUP(A89, 'S07 Initial Parameters'!$A$2:$G$201, 3, FALSE)</f>
        <v>901</v>
      </c>
      <c r="D89" s="202">
        <f t="shared" si="4"/>
        <v>1436082</v>
      </c>
      <c r="E89" s="203">
        <f t="shared" si="3"/>
        <v>6.1484499218648707E-4</v>
      </c>
      <c r="F89" s="204">
        <f t="shared" si="5"/>
        <v>0.9799864884230356</v>
      </c>
    </row>
    <row r="90" spans="1:6" x14ac:dyDescent="0.2">
      <c r="A90" s="201" t="s">
        <v>291</v>
      </c>
      <c r="B90" s="201" t="s">
        <v>292</v>
      </c>
      <c r="C90" s="200">
        <f>VLOOKUP(A90, 'S07 Initial Parameters'!$A$2:$G$201, 3, FALSE)</f>
        <v>893</v>
      </c>
      <c r="D90" s="202">
        <f t="shared" si="4"/>
        <v>1436975</v>
      </c>
      <c r="E90" s="203">
        <f t="shared" si="3"/>
        <v>6.0938576917040287E-4</v>
      </c>
      <c r="F90" s="204">
        <f t="shared" si="5"/>
        <v>0.98059587419220595</v>
      </c>
    </row>
    <row r="91" spans="1:6" x14ac:dyDescent="0.2">
      <c r="A91" s="201" t="s">
        <v>293</v>
      </c>
      <c r="B91" s="201" t="s">
        <v>294</v>
      </c>
      <c r="C91" s="200">
        <f>VLOOKUP(A91, 'S07 Initial Parameters'!$A$2:$G$201, 3, FALSE)</f>
        <v>885</v>
      </c>
      <c r="D91" s="202">
        <f t="shared" si="4"/>
        <v>1437860</v>
      </c>
      <c r="E91" s="203">
        <f t="shared" si="3"/>
        <v>6.0392654615431857E-4</v>
      </c>
      <c r="F91" s="204">
        <f t="shared" si="5"/>
        <v>0.98119980073836022</v>
      </c>
    </row>
    <row r="92" spans="1:6" x14ac:dyDescent="0.2">
      <c r="A92" s="201" t="s">
        <v>295</v>
      </c>
      <c r="B92" s="201" t="s">
        <v>296</v>
      </c>
      <c r="C92" s="200">
        <f>VLOOKUP(A92, 'S07 Initial Parameters'!$A$2:$G$201, 3, FALSE)</f>
        <v>877</v>
      </c>
      <c r="D92" s="202">
        <f t="shared" si="4"/>
        <v>1438737</v>
      </c>
      <c r="E92" s="203">
        <f t="shared" si="3"/>
        <v>5.9846732313823437E-4</v>
      </c>
      <c r="F92" s="204">
        <f t="shared" si="5"/>
        <v>0.9817982680614985</v>
      </c>
    </row>
    <row r="93" spans="1:6" x14ac:dyDescent="0.2">
      <c r="A93" s="201" t="s">
        <v>297</v>
      </c>
      <c r="B93" s="201" t="s">
        <v>298</v>
      </c>
      <c r="C93" s="200">
        <f>VLOOKUP(A93, 'S07 Initial Parameters'!$A$2:$G$201, 3, FALSE)</f>
        <v>869</v>
      </c>
      <c r="D93" s="202">
        <f t="shared" si="4"/>
        <v>1439606</v>
      </c>
      <c r="E93" s="203">
        <f t="shared" si="3"/>
        <v>5.9300810012215017E-4</v>
      </c>
      <c r="F93" s="204">
        <f t="shared" si="5"/>
        <v>0.9823912761616207</v>
      </c>
    </row>
    <row r="94" spans="1:6" x14ac:dyDescent="0.2">
      <c r="A94" s="201" t="s">
        <v>299</v>
      </c>
      <c r="B94" s="201" t="s">
        <v>300</v>
      </c>
      <c r="C94" s="200">
        <f>VLOOKUP(A94, 'S07 Initial Parameters'!$A$2:$G$201, 3, FALSE)</f>
        <v>861</v>
      </c>
      <c r="D94" s="202">
        <f t="shared" si="4"/>
        <v>1440467</v>
      </c>
      <c r="E94" s="203">
        <f t="shared" si="3"/>
        <v>5.8754887710606586E-4</v>
      </c>
      <c r="F94" s="204">
        <f t="shared" si="5"/>
        <v>0.9829788250387268</v>
      </c>
    </row>
    <row r="95" spans="1:6" x14ac:dyDescent="0.2">
      <c r="A95" s="201" t="s">
        <v>301</v>
      </c>
      <c r="B95" s="201" t="s">
        <v>302</v>
      </c>
      <c r="C95" s="200">
        <f>VLOOKUP(A95, 'S07 Initial Parameters'!$A$2:$G$201, 3, FALSE)</f>
        <v>853</v>
      </c>
      <c r="D95" s="202">
        <f t="shared" si="4"/>
        <v>1441320</v>
      </c>
      <c r="E95" s="203">
        <f t="shared" si="3"/>
        <v>5.8208965408998166E-4</v>
      </c>
      <c r="F95" s="204">
        <f t="shared" si="5"/>
        <v>0.98356091469281681</v>
      </c>
    </row>
    <row r="96" spans="1:6" x14ac:dyDescent="0.2">
      <c r="A96" s="201" t="s">
        <v>303</v>
      </c>
      <c r="B96" s="201" t="s">
        <v>304</v>
      </c>
      <c r="C96" s="200">
        <f>VLOOKUP(A96, 'S07 Initial Parameters'!$A$2:$G$201, 3, FALSE)</f>
        <v>845</v>
      </c>
      <c r="D96" s="202">
        <f t="shared" si="4"/>
        <v>1442165</v>
      </c>
      <c r="E96" s="203">
        <f t="shared" si="3"/>
        <v>5.7663043107389746E-4</v>
      </c>
      <c r="F96" s="204">
        <f t="shared" si="5"/>
        <v>0.98413754512389073</v>
      </c>
    </row>
    <row r="97" spans="1:6" x14ac:dyDescent="0.2">
      <c r="A97" s="201" t="s">
        <v>305</v>
      </c>
      <c r="B97" s="201" t="s">
        <v>306</v>
      </c>
      <c r="C97" s="200">
        <f>VLOOKUP(A97, 'S07 Initial Parameters'!$A$2:$G$201, 3, FALSE)</f>
        <v>837</v>
      </c>
      <c r="D97" s="202">
        <f t="shared" si="4"/>
        <v>1443002</v>
      </c>
      <c r="E97" s="203">
        <f t="shared" si="3"/>
        <v>5.7117120805781315E-4</v>
      </c>
      <c r="F97" s="204">
        <f t="shared" si="5"/>
        <v>0.98470871633194856</v>
      </c>
    </row>
    <row r="98" spans="1:6" x14ac:dyDescent="0.2">
      <c r="A98" s="201" t="s">
        <v>307</v>
      </c>
      <c r="B98" s="201" t="s">
        <v>308</v>
      </c>
      <c r="C98" s="200">
        <f>VLOOKUP(A98, 'S07 Initial Parameters'!$A$2:$G$201, 3, FALSE)</f>
        <v>829</v>
      </c>
      <c r="D98" s="202">
        <f t="shared" si="4"/>
        <v>1443831</v>
      </c>
      <c r="E98" s="203">
        <f t="shared" si="3"/>
        <v>5.6571198504172895E-4</v>
      </c>
      <c r="F98" s="204">
        <f t="shared" si="5"/>
        <v>0.9852744283169903</v>
      </c>
    </row>
    <row r="99" spans="1:6" x14ac:dyDescent="0.2">
      <c r="A99" s="201" t="s">
        <v>563</v>
      </c>
      <c r="B99" s="201" t="s">
        <v>844</v>
      </c>
      <c r="C99" s="200">
        <f>VLOOKUP(A99, 'S07 Initial Parameters'!$A$2:$G$201, 3, FALSE)</f>
        <v>771</v>
      </c>
      <c r="D99" s="202">
        <f t="shared" si="4"/>
        <v>1444602</v>
      </c>
      <c r="E99" s="203">
        <f t="shared" si="3"/>
        <v>5.261326181751182E-4</v>
      </c>
      <c r="F99" s="204">
        <f t="shared" si="5"/>
        <v>0.98580056093516544</v>
      </c>
    </row>
    <row r="100" spans="1:6" x14ac:dyDescent="0.2">
      <c r="A100" s="201" t="s">
        <v>309</v>
      </c>
      <c r="B100" s="201" t="s">
        <v>310</v>
      </c>
      <c r="C100" s="200">
        <f>VLOOKUP(A100, 'S07 Initial Parameters'!$A$2:$G$201, 3, FALSE)</f>
        <v>732</v>
      </c>
      <c r="D100" s="202">
        <f t="shared" si="4"/>
        <v>1445334</v>
      </c>
      <c r="E100" s="203">
        <f t="shared" si="3"/>
        <v>4.995189059717076E-4</v>
      </c>
      <c r="F100" s="204">
        <f t="shared" si="5"/>
        <v>0.9863000798411371</v>
      </c>
    </row>
    <row r="101" spans="1:6" x14ac:dyDescent="0.2">
      <c r="A101" s="201" t="s">
        <v>227</v>
      </c>
      <c r="B101" s="201" t="s">
        <v>228</v>
      </c>
      <c r="C101" s="200">
        <f>VLOOKUP(A101, 'S07 Initial Parameters'!$A$2:$G$201, 3, FALSE)</f>
        <v>668</v>
      </c>
      <c r="D101" s="202">
        <f t="shared" si="4"/>
        <v>1446002</v>
      </c>
      <c r="E101" s="203">
        <f t="shared" si="3"/>
        <v>4.5584512184303368E-4</v>
      </c>
      <c r="F101" s="204">
        <f t="shared" si="5"/>
        <v>0.98675592496298015</v>
      </c>
    </row>
    <row r="102" spans="1:6" x14ac:dyDescent="0.2">
      <c r="A102" s="201" t="s">
        <v>311</v>
      </c>
      <c r="B102" s="201" t="s">
        <v>312</v>
      </c>
      <c r="C102" s="200">
        <f>VLOOKUP(A102, 'S07 Initial Parameters'!$A$2:$G$201, 3, FALSE)</f>
        <v>666</v>
      </c>
      <c r="D102" s="202">
        <f t="shared" si="4"/>
        <v>1446668</v>
      </c>
      <c r="E102" s="203">
        <f t="shared" si="3"/>
        <v>4.5448031608901266E-4</v>
      </c>
      <c r="F102" s="204">
        <f t="shared" si="5"/>
        <v>0.98721040527906911</v>
      </c>
    </row>
    <row r="103" spans="1:6" x14ac:dyDescent="0.2">
      <c r="A103" s="201" t="s">
        <v>313</v>
      </c>
      <c r="B103" s="201" t="s">
        <v>314</v>
      </c>
      <c r="C103" s="200">
        <f>VLOOKUP(A103, 'S07 Initial Parameters'!$A$2:$G$201, 3, FALSE)</f>
        <v>600</v>
      </c>
      <c r="D103" s="202">
        <f t="shared" si="4"/>
        <v>1447268</v>
      </c>
      <c r="E103" s="203">
        <f t="shared" si="3"/>
        <v>4.0944172620631771E-4</v>
      </c>
      <c r="F103" s="204">
        <f t="shared" si="5"/>
        <v>0.98761984700527539</v>
      </c>
    </row>
    <row r="104" spans="1:6" x14ac:dyDescent="0.2">
      <c r="A104" s="201" t="s">
        <v>315</v>
      </c>
      <c r="B104" s="201" t="s">
        <v>316</v>
      </c>
      <c r="C104" s="200">
        <f>VLOOKUP(A104, 'S07 Initial Parameters'!$A$2:$G$201, 3, FALSE)</f>
        <v>534</v>
      </c>
      <c r="D104" s="202">
        <f t="shared" si="4"/>
        <v>1447802</v>
      </c>
      <c r="E104" s="203">
        <f t="shared" si="3"/>
        <v>3.6440313632362276E-4</v>
      </c>
      <c r="F104" s="204">
        <f t="shared" si="5"/>
        <v>0.98798425014159896</v>
      </c>
    </row>
    <row r="105" spans="1:6" x14ac:dyDescent="0.2">
      <c r="A105" s="201" t="s">
        <v>317</v>
      </c>
      <c r="B105" s="201" t="s">
        <v>318</v>
      </c>
      <c r="C105" s="200">
        <f>VLOOKUP(A105, 'S07 Initial Parameters'!$A$2:$G$201, 3, FALSE)</f>
        <v>468</v>
      </c>
      <c r="D105" s="202">
        <f t="shared" si="4"/>
        <v>1448270</v>
      </c>
      <c r="E105" s="203">
        <f t="shared" si="3"/>
        <v>3.1936454644092781E-4</v>
      </c>
      <c r="F105" s="204">
        <f t="shared" si="5"/>
        <v>0.98830361468803984</v>
      </c>
    </row>
    <row r="106" spans="1:6" x14ac:dyDescent="0.2">
      <c r="A106" s="201" t="s">
        <v>562</v>
      </c>
      <c r="B106" s="201" t="s">
        <v>843</v>
      </c>
      <c r="C106" s="200">
        <f>VLOOKUP(A106, 'S07 Initial Parameters'!$A$2:$G$201, 3, FALSE)</f>
        <v>407</v>
      </c>
      <c r="D106" s="202">
        <f t="shared" si="4"/>
        <v>1448677</v>
      </c>
      <c r="E106" s="203">
        <f t="shared" si="3"/>
        <v>2.7773797094328548E-4</v>
      </c>
      <c r="F106" s="204">
        <f t="shared" si="5"/>
        <v>0.98858135265898317</v>
      </c>
    </row>
    <row r="107" spans="1:6" x14ac:dyDescent="0.2">
      <c r="A107" s="201" t="s">
        <v>319</v>
      </c>
      <c r="B107" s="201" t="s">
        <v>320</v>
      </c>
      <c r="C107" s="200">
        <f>VLOOKUP(A107, 'S07 Initial Parameters'!$A$2:$G$201, 3, FALSE)</f>
        <v>402</v>
      </c>
      <c r="D107" s="202">
        <f t="shared" si="4"/>
        <v>1449079</v>
      </c>
      <c r="E107" s="203">
        <f t="shared" si="3"/>
        <v>2.7432595655823286E-4</v>
      </c>
      <c r="F107" s="204">
        <f t="shared" si="5"/>
        <v>0.98885567861554136</v>
      </c>
    </row>
    <row r="108" spans="1:6" x14ac:dyDescent="0.2">
      <c r="A108" s="201" t="s">
        <v>321</v>
      </c>
      <c r="B108" s="201" t="s">
        <v>322</v>
      </c>
      <c r="C108" s="200">
        <f>VLOOKUP(A108, 'S07 Initial Parameters'!$A$2:$G$201, 3, FALSE)</f>
        <v>336</v>
      </c>
      <c r="D108" s="202">
        <f t="shared" si="4"/>
        <v>1449415</v>
      </c>
      <c r="E108" s="203">
        <f t="shared" si="3"/>
        <v>2.2928736667553792E-4</v>
      </c>
      <c r="F108" s="204">
        <f t="shared" si="5"/>
        <v>0.98908496598221685</v>
      </c>
    </row>
    <row r="109" spans="1:6" x14ac:dyDescent="0.2">
      <c r="A109" s="201" t="s">
        <v>323</v>
      </c>
      <c r="B109" s="201" t="s">
        <v>324</v>
      </c>
      <c r="C109" s="200">
        <f>VLOOKUP(A109, 'S07 Initial Parameters'!$A$2:$G$201, 3, FALSE)</f>
        <v>270</v>
      </c>
      <c r="D109" s="202">
        <f t="shared" si="4"/>
        <v>1449685</v>
      </c>
      <c r="E109" s="203">
        <f t="shared" si="3"/>
        <v>1.8424877679284297E-4</v>
      </c>
      <c r="F109" s="204">
        <f t="shared" si="5"/>
        <v>0.98926921475900964</v>
      </c>
    </row>
    <row r="110" spans="1:6" x14ac:dyDescent="0.2">
      <c r="A110" s="201" t="s">
        <v>213</v>
      </c>
      <c r="B110" s="201" t="s">
        <v>214</v>
      </c>
      <c r="C110" s="200">
        <f>VLOOKUP(A110, 'S07 Initial Parameters'!$A$2:$G$201, 3, FALSE)</f>
        <v>258</v>
      </c>
      <c r="D110" s="202">
        <f t="shared" si="4"/>
        <v>1449943</v>
      </c>
      <c r="E110" s="203">
        <f t="shared" si="3"/>
        <v>1.7605994226871661E-4</v>
      </c>
      <c r="F110" s="204">
        <f t="shared" si="5"/>
        <v>0.98944527470127841</v>
      </c>
    </row>
    <row r="111" spans="1:6" x14ac:dyDescent="0.2">
      <c r="A111" s="201" t="s">
        <v>527</v>
      </c>
      <c r="B111" s="201" t="s">
        <v>881</v>
      </c>
      <c r="C111" s="200">
        <f>VLOOKUP(A111, 'S07 Initial Parameters'!$A$2:$G$201, 3, FALSE)</f>
        <v>245</v>
      </c>
      <c r="D111" s="202">
        <f t="shared" si="4"/>
        <v>1450188</v>
      </c>
      <c r="E111" s="203">
        <f t="shared" si="3"/>
        <v>1.6718870486757972E-4</v>
      </c>
      <c r="F111" s="204">
        <f t="shared" si="5"/>
        <v>0.98961246340614595</v>
      </c>
    </row>
    <row r="112" spans="1:6" x14ac:dyDescent="0.2">
      <c r="A112" s="201" t="s">
        <v>559</v>
      </c>
      <c r="B112" s="201" t="s">
        <v>840</v>
      </c>
      <c r="C112" s="200">
        <f>VLOOKUP(A112, 'S07 Initial Parameters'!$A$2:$G$201, 3, FALSE)</f>
        <v>235</v>
      </c>
      <c r="D112" s="202">
        <f t="shared" si="4"/>
        <v>1450423</v>
      </c>
      <c r="E112" s="203">
        <f t="shared" si="3"/>
        <v>1.6036467609747442E-4</v>
      </c>
      <c r="F112" s="204">
        <f t="shared" si="5"/>
        <v>0.98977282808224343</v>
      </c>
    </row>
    <row r="113" spans="1:6" x14ac:dyDescent="0.2">
      <c r="A113" s="201" t="s">
        <v>229</v>
      </c>
      <c r="B113" s="201" t="s">
        <v>230</v>
      </c>
      <c r="C113" s="200">
        <f>VLOOKUP(A113, 'S07 Initial Parameters'!$A$2:$G$201, 3, FALSE)</f>
        <v>233</v>
      </c>
      <c r="D113" s="202">
        <f t="shared" si="4"/>
        <v>1450656</v>
      </c>
      <c r="E113" s="203">
        <f t="shared" si="3"/>
        <v>1.5899987034345337E-4</v>
      </c>
      <c r="F113" s="204">
        <f t="shared" si="5"/>
        <v>0.98993182795258683</v>
      </c>
    </row>
    <row r="114" spans="1:6" x14ac:dyDescent="0.2">
      <c r="A114" s="201" t="s">
        <v>231</v>
      </c>
      <c r="B114" s="201" t="s">
        <v>232</v>
      </c>
      <c r="C114" s="200">
        <f>VLOOKUP(A114, 'S07 Initial Parameters'!$A$2:$G$201, 3, FALSE)</f>
        <v>224</v>
      </c>
      <c r="D114" s="202">
        <f t="shared" si="4"/>
        <v>1450880</v>
      </c>
      <c r="E114" s="203">
        <f t="shared" si="3"/>
        <v>1.528582444503586E-4</v>
      </c>
      <c r="F114" s="204">
        <f t="shared" si="5"/>
        <v>0.99008468619703716</v>
      </c>
    </row>
    <row r="115" spans="1:6" x14ac:dyDescent="0.2">
      <c r="A115" s="201" t="s">
        <v>561</v>
      </c>
      <c r="B115" s="201" t="s">
        <v>842</v>
      </c>
      <c r="C115" s="200">
        <f>VLOOKUP(A115, 'S07 Initial Parameters'!$A$2:$G$201, 3, FALSE)</f>
        <v>220</v>
      </c>
      <c r="D115" s="202">
        <f t="shared" si="4"/>
        <v>1451100</v>
      </c>
      <c r="E115" s="203">
        <f t="shared" si="3"/>
        <v>1.5012863294231647E-4</v>
      </c>
      <c r="F115" s="204">
        <f t="shared" si="5"/>
        <v>0.99023481482997944</v>
      </c>
    </row>
    <row r="116" spans="1:6" x14ac:dyDescent="0.2">
      <c r="A116" s="201" t="s">
        <v>219</v>
      </c>
      <c r="B116" s="201" t="s">
        <v>220</v>
      </c>
      <c r="C116" s="200">
        <f>VLOOKUP(A116, 'S07 Initial Parameters'!$A$2:$G$201, 3, FALSE)</f>
        <v>215</v>
      </c>
      <c r="D116" s="202">
        <f t="shared" si="4"/>
        <v>1451315</v>
      </c>
      <c r="E116" s="203">
        <f t="shared" si="3"/>
        <v>1.4671661855726384E-4</v>
      </c>
      <c r="F116" s="204">
        <f t="shared" si="5"/>
        <v>0.99038153144853669</v>
      </c>
    </row>
    <row r="117" spans="1:6" x14ac:dyDescent="0.2">
      <c r="A117" s="201" t="s">
        <v>223</v>
      </c>
      <c r="B117" s="201" t="s">
        <v>224</v>
      </c>
      <c r="C117" s="200">
        <f>VLOOKUP(A117, 'S07 Initial Parameters'!$A$2:$G$201, 3, FALSE)</f>
        <v>213</v>
      </c>
      <c r="D117" s="202">
        <f t="shared" si="4"/>
        <v>1451528</v>
      </c>
      <c r="E117" s="203">
        <f t="shared" si="3"/>
        <v>1.4535181280324279E-4</v>
      </c>
      <c r="F117" s="204">
        <f t="shared" si="5"/>
        <v>0.99052688326133997</v>
      </c>
    </row>
    <row r="118" spans="1:6" x14ac:dyDescent="0.2">
      <c r="A118" s="201" t="s">
        <v>233</v>
      </c>
      <c r="B118" s="201" t="s">
        <v>234</v>
      </c>
      <c r="C118" s="200">
        <f>VLOOKUP(A118, 'S07 Initial Parameters'!$A$2:$G$201, 3, FALSE)</f>
        <v>213</v>
      </c>
      <c r="D118" s="202">
        <f t="shared" si="4"/>
        <v>1451741</v>
      </c>
      <c r="E118" s="203">
        <f t="shared" si="3"/>
        <v>1.4535181280324279E-4</v>
      </c>
      <c r="F118" s="204">
        <f t="shared" si="5"/>
        <v>0.99067223507414326</v>
      </c>
    </row>
    <row r="119" spans="1:6" x14ac:dyDescent="0.2">
      <c r="A119" s="201" t="s">
        <v>325</v>
      </c>
      <c r="B119" s="201" t="s">
        <v>326</v>
      </c>
      <c r="C119" s="200">
        <f>VLOOKUP(A119, 'S07 Initial Parameters'!$A$2:$G$201, 3, FALSE)</f>
        <v>204</v>
      </c>
      <c r="D119" s="202">
        <f t="shared" si="4"/>
        <v>1451945</v>
      </c>
      <c r="E119" s="203">
        <f t="shared" si="3"/>
        <v>1.3921018691014802E-4</v>
      </c>
      <c r="F119" s="204">
        <f t="shared" si="5"/>
        <v>0.99081144526105336</v>
      </c>
    </row>
    <row r="120" spans="1:6" x14ac:dyDescent="0.2">
      <c r="A120" s="201" t="s">
        <v>327</v>
      </c>
      <c r="B120" s="201" t="s">
        <v>328</v>
      </c>
      <c r="C120" s="200">
        <f>VLOOKUP(A120, 'S07 Initial Parameters'!$A$2:$G$201, 3, FALSE)</f>
        <v>203</v>
      </c>
      <c r="D120" s="202">
        <f t="shared" si="4"/>
        <v>1452148</v>
      </c>
      <c r="E120" s="203">
        <f t="shared" si="3"/>
        <v>1.3852778403313748E-4</v>
      </c>
      <c r="F120" s="204">
        <f t="shared" si="5"/>
        <v>0.99094997304508647</v>
      </c>
    </row>
    <row r="121" spans="1:6" x14ac:dyDescent="0.2">
      <c r="A121" s="201" t="s">
        <v>235</v>
      </c>
      <c r="B121" s="201" t="s">
        <v>236</v>
      </c>
      <c r="C121" s="200">
        <f>VLOOKUP(A121, 'S07 Initial Parameters'!$A$2:$G$201, 3, FALSE)</f>
        <v>202</v>
      </c>
      <c r="D121" s="202">
        <f t="shared" si="4"/>
        <v>1452350</v>
      </c>
      <c r="E121" s="203">
        <f t="shared" si="3"/>
        <v>1.3784538115612694E-4</v>
      </c>
      <c r="F121" s="204">
        <f t="shared" si="5"/>
        <v>0.99108781842624261</v>
      </c>
    </row>
    <row r="122" spans="1:6" x14ac:dyDescent="0.2">
      <c r="A122" s="201" t="s">
        <v>329</v>
      </c>
      <c r="B122" s="201" t="s">
        <v>330</v>
      </c>
      <c r="C122" s="200">
        <f>VLOOKUP(A122, 'S07 Initial Parameters'!$A$2:$G$201, 3, FALSE)</f>
        <v>202</v>
      </c>
      <c r="D122" s="202">
        <f t="shared" si="4"/>
        <v>1452552</v>
      </c>
      <c r="E122" s="203">
        <f t="shared" si="3"/>
        <v>1.3784538115612694E-4</v>
      </c>
      <c r="F122" s="204">
        <f t="shared" si="5"/>
        <v>0.99122566380739874</v>
      </c>
    </row>
    <row r="123" spans="1:6" x14ac:dyDescent="0.2">
      <c r="A123" s="201" t="s">
        <v>331</v>
      </c>
      <c r="B123" s="201" t="s">
        <v>332</v>
      </c>
      <c r="C123" s="200">
        <f>VLOOKUP(A123, 'S07 Initial Parameters'!$A$2:$G$201, 3, FALSE)</f>
        <v>201</v>
      </c>
      <c r="D123" s="202">
        <f t="shared" si="4"/>
        <v>1452753</v>
      </c>
      <c r="E123" s="203">
        <f t="shared" si="3"/>
        <v>1.3716297827911643E-4</v>
      </c>
      <c r="F123" s="204">
        <f t="shared" si="5"/>
        <v>0.99136282678567789</v>
      </c>
    </row>
    <row r="124" spans="1:6" x14ac:dyDescent="0.2">
      <c r="A124" s="201" t="s">
        <v>333</v>
      </c>
      <c r="B124" s="201" t="s">
        <v>334</v>
      </c>
      <c r="C124" s="200">
        <f>VLOOKUP(A124, 'S07 Initial Parameters'!$A$2:$G$201, 3, FALSE)</f>
        <v>200</v>
      </c>
      <c r="D124" s="202">
        <f t="shared" si="4"/>
        <v>1452953</v>
      </c>
      <c r="E124" s="203">
        <f t="shared" si="3"/>
        <v>1.3648057540210589E-4</v>
      </c>
      <c r="F124" s="204">
        <f t="shared" si="5"/>
        <v>0.99149930736107994</v>
      </c>
    </row>
    <row r="125" spans="1:6" x14ac:dyDescent="0.2">
      <c r="A125" s="201" t="s">
        <v>335</v>
      </c>
      <c r="B125" s="201" t="s">
        <v>336</v>
      </c>
      <c r="C125" s="200">
        <f>VLOOKUP(A125, 'S07 Initial Parameters'!$A$2:$G$201, 3, FALSE)</f>
        <v>199</v>
      </c>
      <c r="D125" s="202">
        <f t="shared" si="4"/>
        <v>1453152</v>
      </c>
      <c r="E125" s="203">
        <f t="shared" si="3"/>
        <v>1.3579817252509536E-4</v>
      </c>
      <c r="F125" s="204">
        <f t="shared" si="5"/>
        <v>0.99163510553360501</v>
      </c>
    </row>
    <row r="126" spans="1:6" x14ac:dyDescent="0.2">
      <c r="A126" s="201" t="s">
        <v>337</v>
      </c>
      <c r="B126" s="201" t="s">
        <v>338</v>
      </c>
      <c r="C126" s="200">
        <f>VLOOKUP(A126, 'S07 Initial Parameters'!$A$2:$G$201, 3, FALSE)</f>
        <v>198</v>
      </c>
      <c r="D126" s="202">
        <f t="shared" si="4"/>
        <v>1453350</v>
      </c>
      <c r="E126" s="203">
        <f t="shared" si="3"/>
        <v>1.3511576964808484E-4</v>
      </c>
      <c r="F126" s="204">
        <f t="shared" si="5"/>
        <v>0.9917702213032531</v>
      </c>
    </row>
    <row r="127" spans="1:6" x14ac:dyDescent="0.2">
      <c r="A127" s="201" t="s">
        <v>339</v>
      </c>
      <c r="B127" s="201" t="s">
        <v>340</v>
      </c>
      <c r="C127" s="200">
        <f>VLOOKUP(A127, 'S07 Initial Parameters'!$A$2:$G$201, 3, FALSE)</f>
        <v>197</v>
      </c>
      <c r="D127" s="202">
        <f t="shared" si="4"/>
        <v>1453547</v>
      </c>
      <c r="E127" s="203">
        <f t="shared" si="3"/>
        <v>1.3443336677107431E-4</v>
      </c>
      <c r="F127" s="204">
        <f t="shared" si="5"/>
        <v>0.9919046546700242</v>
      </c>
    </row>
    <row r="128" spans="1:6" x14ac:dyDescent="0.2">
      <c r="A128" s="201" t="s">
        <v>341</v>
      </c>
      <c r="B128" s="201" t="s">
        <v>342</v>
      </c>
      <c r="C128" s="200">
        <f>VLOOKUP(A128, 'S07 Initial Parameters'!$A$2:$G$201, 3, FALSE)</f>
        <v>196</v>
      </c>
      <c r="D128" s="202">
        <f t="shared" si="4"/>
        <v>1453743</v>
      </c>
      <c r="E128" s="203">
        <f t="shared" si="3"/>
        <v>1.3375096389406377E-4</v>
      </c>
      <c r="F128" s="204">
        <f t="shared" si="5"/>
        <v>0.99203840563391832</v>
      </c>
    </row>
    <row r="129" spans="1:6" x14ac:dyDescent="0.2">
      <c r="A129" s="201" t="s">
        <v>343</v>
      </c>
      <c r="B129" s="201" t="s">
        <v>344</v>
      </c>
      <c r="C129" s="200">
        <f>VLOOKUP(A129, 'S07 Initial Parameters'!$A$2:$G$201, 3, FALSE)</f>
        <v>195</v>
      </c>
      <c r="D129" s="202">
        <f t="shared" si="4"/>
        <v>1453938</v>
      </c>
      <c r="E129" s="203">
        <f t="shared" si="3"/>
        <v>1.3306856101705326E-4</v>
      </c>
      <c r="F129" s="204">
        <f t="shared" si="5"/>
        <v>0.99217147419493534</v>
      </c>
    </row>
    <row r="130" spans="1:6" x14ac:dyDescent="0.2">
      <c r="A130" s="201" t="s">
        <v>345</v>
      </c>
      <c r="B130" s="201" t="s">
        <v>346</v>
      </c>
      <c r="C130" s="200">
        <f>VLOOKUP(A130, 'S07 Initial Parameters'!$A$2:$G$201, 3, FALSE)</f>
        <v>194</v>
      </c>
      <c r="D130" s="202">
        <f t="shared" si="4"/>
        <v>1454132</v>
      </c>
      <c r="E130" s="203">
        <f t="shared" si="3"/>
        <v>1.3238615814004272E-4</v>
      </c>
      <c r="F130" s="204">
        <f t="shared" si="5"/>
        <v>0.99230386035307538</v>
      </c>
    </row>
    <row r="131" spans="1:6" x14ac:dyDescent="0.2">
      <c r="A131" s="201" t="s">
        <v>347</v>
      </c>
      <c r="B131" s="201" t="s">
        <v>348</v>
      </c>
      <c r="C131" s="200">
        <f>VLOOKUP(A131, 'S07 Initial Parameters'!$A$2:$G$201, 3, FALSE)</f>
        <v>193</v>
      </c>
      <c r="D131" s="202">
        <f t="shared" si="4"/>
        <v>1454325</v>
      </c>
      <c r="E131" s="203">
        <f t="shared" si="3"/>
        <v>1.3170375526303218E-4</v>
      </c>
      <c r="F131" s="204">
        <f t="shared" si="5"/>
        <v>0.99243556410833844</v>
      </c>
    </row>
    <row r="132" spans="1:6" x14ac:dyDescent="0.2">
      <c r="A132" s="201" t="s">
        <v>349</v>
      </c>
      <c r="B132" s="201" t="s">
        <v>350</v>
      </c>
      <c r="C132" s="200">
        <f>VLOOKUP(A132, 'S07 Initial Parameters'!$A$2:$G$201, 3, FALSE)</f>
        <v>192</v>
      </c>
      <c r="D132" s="202">
        <f t="shared" si="4"/>
        <v>1454517</v>
      </c>
      <c r="E132" s="203">
        <f t="shared" ref="E132:E195" si="6">C132/SUM($C$3:$C$202)</f>
        <v>1.3102135238602167E-4</v>
      </c>
      <c r="F132" s="204">
        <f t="shared" si="5"/>
        <v>0.99256658546072452</v>
      </c>
    </row>
    <row r="133" spans="1:6" x14ac:dyDescent="0.2">
      <c r="A133" s="201" t="s">
        <v>237</v>
      </c>
      <c r="B133" s="201" t="s">
        <v>238</v>
      </c>
      <c r="C133" s="200">
        <f>VLOOKUP(A133, 'S07 Initial Parameters'!$A$2:$G$201, 3, FALSE)</f>
        <v>191</v>
      </c>
      <c r="D133" s="202">
        <f t="shared" ref="D133:D196" si="7">C133+D132</f>
        <v>1454708</v>
      </c>
      <c r="E133" s="203">
        <f t="shared" si="6"/>
        <v>1.3033894950901113E-4</v>
      </c>
      <c r="F133" s="204">
        <f t="shared" ref="F133:F196" si="8">E133+F132</f>
        <v>0.99269692441023349</v>
      </c>
    </row>
    <row r="134" spans="1:6" x14ac:dyDescent="0.2">
      <c r="A134" s="201" t="s">
        <v>351</v>
      </c>
      <c r="B134" s="201" t="s">
        <v>352</v>
      </c>
      <c r="C134" s="200">
        <f>VLOOKUP(A134, 'S07 Initial Parameters'!$A$2:$G$201, 3, FALSE)</f>
        <v>191</v>
      </c>
      <c r="D134" s="202">
        <f t="shared" si="7"/>
        <v>1454899</v>
      </c>
      <c r="E134" s="203">
        <f t="shared" si="6"/>
        <v>1.3033894950901113E-4</v>
      </c>
      <c r="F134" s="204">
        <f t="shared" si="8"/>
        <v>0.99282726335974247</v>
      </c>
    </row>
    <row r="135" spans="1:6" x14ac:dyDescent="0.2">
      <c r="A135" s="201" t="s">
        <v>353</v>
      </c>
      <c r="B135" s="201" t="s">
        <v>354</v>
      </c>
      <c r="C135" s="200">
        <f>VLOOKUP(A135, 'S07 Initial Parameters'!$A$2:$G$201, 3, FALSE)</f>
        <v>190</v>
      </c>
      <c r="D135" s="202">
        <f t="shared" si="7"/>
        <v>1455089</v>
      </c>
      <c r="E135" s="203">
        <f t="shared" si="6"/>
        <v>1.2965654663200059E-4</v>
      </c>
      <c r="F135" s="204">
        <f t="shared" si="8"/>
        <v>0.99295691990637447</v>
      </c>
    </row>
    <row r="136" spans="1:6" x14ac:dyDescent="0.2">
      <c r="A136" s="201" t="s">
        <v>355</v>
      </c>
      <c r="B136" s="201" t="s">
        <v>356</v>
      </c>
      <c r="C136" s="200">
        <f>VLOOKUP(A136, 'S07 Initial Parameters'!$A$2:$G$201, 3, FALSE)</f>
        <v>189</v>
      </c>
      <c r="D136" s="202">
        <f t="shared" si="7"/>
        <v>1455278</v>
      </c>
      <c r="E136" s="203">
        <f t="shared" si="6"/>
        <v>1.2897414375499008E-4</v>
      </c>
      <c r="F136" s="204">
        <f t="shared" si="8"/>
        <v>0.99308589405012948</v>
      </c>
    </row>
    <row r="137" spans="1:6" x14ac:dyDescent="0.2">
      <c r="A137" s="201" t="s">
        <v>357</v>
      </c>
      <c r="B137" s="201" t="s">
        <v>358</v>
      </c>
      <c r="C137" s="200">
        <f>VLOOKUP(A137, 'S07 Initial Parameters'!$A$2:$G$201, 3, FALSE)</f>
        <v>188</v>
      </c>
      <c r="D137" s="202">
        <f t="shared" si="7"/>
        <v>1455466</v>
      </c>
      <c r="E137" s="203">
        <f t="shared" si="6"/>
        <v>1.2829174087797954E-4</v>
      </c>
      <c r="F137" s="204">
        <f t="shared" si="8"/>
        <v>0.99321418579100751</v>
      </c>
    </row>
    <row r="138" spans="1:6" x14ac:dyDescent="0.2">
      <c r="A138" s="201" t="s">
        <v>359</v>
      </c>
      <c r="B138" s="201" t="s">
        <v>360</v>
      </c>
      <c r="C138" s="200">
        <f>VLOOKUP(A138, 'S07 Initial Parameters'!$A$2:$G$201, 3, FALSE)</f>
        <v>187</v>
      </c>
      <c r="D138" s="202">
        <f t="shared" si="7"/>
        <v>1455653</v>
      </c>
      <c r="E138" s="203">
        <f t="shared" si="6"/>
        <v>1.27609338000969E-4</v>
      </c>
      <c r="F138" s="204">
        <f t="shared" si="8"/>
        <v>0.99334179512900844</v>
      </c>
    </row>
    <row r="139" spans="1:6" x14ac:dyDescent="0.2">
      <c r="A139" s="201" t="s">
        <v>361</v>
      </c>
      <c r="B139" s="201" t="s">
        <v>362</v>
      </c>
      <c r="C139" s="200">
        <f>VLOOKUP(A139, 'S07 Initial Parameters'!$A$2:$G$201, 3, FALSE)</f>
        <v>186</v>
      </c>
      <c r="D139" s="202">
        <f t="shared" si="7"/>
        <v>1455839</v>
      </c>
      <c r="E139" s="203">
        <f t="shared" si="6"/>
        <v>1.2692693512395849E-4</v>
      </c>
      <c r="F139" s="204">
        <f t="shared" si="8"/>
        <v>0.99346872206413239</v>
      </c>
    </row>
    <row r="140" spans="1:6" x14ac:dyDescent="0.2">
      <c r="A140" s="201" t="s">
        <v>363</v>
      </c>
      <c r="B140" s="201" t="s">
        <v>364</v>
      </c>
      <c r="C140" s="200">
        <f>VLOOKUP(A140, 'S07 Initial Parameters'!$A$2:$G$201, 3, FALSE)</f>
        <v>185</v>
      </c>
      <c r="D140" s="202">
        <f t="shared" si="7"/>
        <v>1456024</v>
      </c>
      <c r="E140" s="203">
        <f t="shared" si="6"/>
        <v>1.2624453224694795E-4</v>
      </c>
      <c r="F140" s="204">
        <f t="shared" si="8"/>
        <v>0.99359496659637936</v>
      </c>
    </row>
    <row r="141" spans="1:6" x14ac:dyDescent="0.2">
      <c r="A141" s="201" t="s">
        <v>365</v>
      </c>
      <c r="B141" s="201" t="s">
        <v>366</v>
      </c>
      <c r="C141" s="200">
        <f>VLOOKUP(A141, 'S07 Initial Parameters'!$A$2:$G$201, 3, FALSE)</f>
        <v>184</v>
      </c>
      <c r="D141" s="202">
        <f t="shared" si="7"/>
        <v>1456208</v>
      </c>
      <c r="E141" s="203">
        <f t="shared" si="6"/>
        <v>1.2556212936993741E-4</v>
      </c>
      <c r="F141" s="204">
        <f t="shared" si="8"/>
        <v>0.99372052872574934</v>
      </c>
    </row>
    <row r="142" spans="1:6" x14ac:dyDescent="0.2">
      <c r="A142" s="201" t="s">
        <v>367</v>
      </c>
      <c r="B142" s="201" t="s">
        <v>368</v>
      </c>
      <c r="C142" s="200">
        <f>VLOOKUP(A142, 'S07 Initial Parameters'!$A$2:$G$201, 3, FALSE)</f>
        <v>183</v>
      </c>
      <c r="D142" s="202">
        <f t="shared" si="7"/>
        <v>1456391</v>
      </c>
      <c r="E142" s="203">
        <f t="shared" si="6"/>
        <v>1.248797264929269E-4</v>
      </c>
      <c r="F142" s="204">
        <f t="shared" si="8"/>
        <v>0.99384540845224223</v>
      </c>
    </row>
    <row r="143" spans="1:6" x14ac:dyDescent="0.2">
      <c r="A143" s="201" t="s">
        <v>369</v>
      </c>
      <c r="B143" s="201" t="s">
        <v>370</v>
      </c>
      <c r="C143" s="200">
        <f>VLOOKUP(A143, 'S07 Initial Parameters'!$A$2:$G$201, 3, FALSE)</f>
        <v>182</v>
      </c>
      <c r="D143" s="202">
        <f t="shared" si="7"/>
        <v>1456573</v>
      </c>
      <c r="E143" s="203">
        <f t="shared" si="6"/>
        <v>1.2419732361591636E-4</v>
      </c>
      <c r="F143" s="204">
        <f t="shared" si="8"/>
        <v>0.99396960577585813</v>
      </c>
    </row>
    <row r="144" spans="1:6" x14ac:dyDescent="0.2">
      <c r="A144" s="201" t="s">
        <v>371</v>
      </c>
      <c r="B144" s="201" t="s">
        <v>372</v>
      </c>
      <c r="C144" s="200">
        <f>VLOOKUP(A144, 'S07 Initial Parameters'!$A$2:$G$201, 3, FALSE)</f>
        <v>181</v>
      </c>
      <c r="D144" s="202">
        <f t="shared" si="7"/>
        <v>1456754</v>
      </c>
      <c r="E144" s="203">
        <f t="shared" si="6"/>
        <v>1.2351492073890582E-4</v>
      </c>
      <c r="F144" s="204">
        <f t="shared" si="8"/>
        <v>0.99409312069659705</v>
      </c>
    </row>
    <row r="145" spans="1:6" x14ac:dyDescent="0.2">
      <c r="A145" s="201" t="s">
        <v>239</v>
      </c>
      <c r="B145" s="201" t="s">
        <v>240</v>
      </c>
      <c r="C145" s="200">
        <f>VLOOKUP(A145, 'S07 Initial Parameters'!$A$2:$G$201, 3, FALSE)</f>
        <v>180</v>
      </c>
      <c r="D145" s="202">
        <f t="shared" si="7"/>
        <v>1456934</v>
      </c>
      <c r="E145" s="203">
        <f t="shared" si="6"/>
        <v>1.2283251786189531E-4</v>
      </c>
      <c r="F145" s="204">
        <f t="shared" si="8"/>
        <v>0.99421595321445899</v>
      </c>
    </row>
    <row r="146" spans="1:6" x14ac:dyDescent="0.2">
      <c r="A146" s="201" t="s">
        <v>373</v>
      </c>
      <c r="B146" s="201" t="s">
        <v>374</v>
      </c>
      <c r="C146" s="200">
        <f>VLOOKUP(A146, 'S07 Initial Parameters'!$A$2:$G$201, 3, FALSE)</f>
        <v>180</v>
      </c>
      <c r="D146" s="202">
        <f t="shared" si="7"/>
        <v>1457114</v>
      </c>
      <c r="E146" s="203">
        <f t="shared" si="6"/>
        <v>1.2283251786189531E-4</v>
      </c>
      <c r="F146" s="204">
        <f t="shared" si="8"/>
        <v>0.99433878573232093</v>
      </c>
    </row>
    <row r="147" spans="1:6" x14ac:dyDescent="0.2">
      <c r="A147" s="201" t="s">
        <v>375</v>
      </c>
      <c r="B147" s="201" t="s">
        <v>376</v>
      </c>
      <c r="C147" s="200">
        <f>VLOOKUP(A147, 'S07 Initial Parameters'!$A$2:$G$201, 3, FALSE)</f>
        <v>179</v>
      </c>
      <c r="D147" s="202">
        <f t="shared" si="7"/>
        <v>1457293</v>
      </c>
      <c r="E147" s="203">
        <f t="shared" si="6"/>
        <v>1.2215011498488477E-4</v>
      </c>
      <c r="F147" s="204">
        <f t="shared" si="8"/>
        <v>0.99446093584730577</v>
      </c>
    </row>
    <row r="148" spans="1:6" x14ac:dyDescent="0.2">
      <c r="A148" s="201" t="s">
        <v>377</v>
      </c>
      <c r="B148" s="201" t="s">
        <v>378</v>
      </c>
      <c r="C148" s="200">
        <f>VLOOKUP(A148, 'S07 Initial Parameters'!$A$2:$G$201, 3, FALSE)</f>
        <v>178</v>
      </c>
      <c r="D148" s="202">
        <f t="shared" si="7"/>
        <v>1457471</v>
      </c>
      <c r="E148" s="203">
        <f t="shared" si="6"/>
        <v>1.2146771210787425E-4</v>
      </c>
      <c r="F148" s="204">
        <f t="shared" si="8"/>
        <v>0.99458240355941363</v>
      </c>
    </row>
    <row r="149" spans="1:6" x14ac:dyDescent="0.2">
      <c r="A149" s="201" t="s">
        <v>379</v>
      </c>
      <c r="B149" s="201" t="s">
        <v>380</v>
      </c>
      <c r="C149" s="200">
        <f>VLOOKUP(A149, 'S07 Initial Parameters'!$A$2:$G$201, 3, FALSE)</f>
        <v>177</v>
      </c>
      <c r="D149" s="202">
        <f t="shared" si="7"/>
        <v>1457648</v>
      </c>
      <c r="E149" s="203">
        <f t="shared" si="6"/>
        <v>1.2078530923086372E-4</v>
      </c>
      <c r="F149" s="204">
        <f t="shared" si="8"/>
        <v>0.99470318886864451</v>
      </c>
    </row>
    <row r="150" spans="1:6" x14ac:dyDescent="0.2">
      <c r="A150" s="201" t="s">
        <v>381</v>
      </c>
      <c r="B150" s="201" t="s">
        <v>382</v>
      </c>
      <c r="C150" s="200">
        <f>VLOOKUP(A150, 'S07 Initial Parameters'!$A$2:$G$201, 3, FALSE)</f>
        <v>176</v>
      </c>
      <c r="D150" s="202">
        <f t="shared" si="7"/>
        <v>1457824</v>
      </c>
      <c r="E150" s="203">
        <f t="shared" si="6"/>
        <v>1.2010290635385319E-4</v>
      </c>
      <c r="F150" s="204">
        <f t="shared" si="8"/>
        <v>0.9948232917749984</v>
      </c>
    </row>
    <row r="151" spans="1:6" x14ac:dyDescent="0.2">
      <c r="A151" s="201" t="s">
        <v>383</v>
      </c>
      <c r="B151" s="201" t="s">
        <v>384</v>
      </c>
      <c r="C151" s="200">
        <f>VLOOKUP(A151, 'S07 Initial Parameters'!$A$2:$G$201, 3, FALSE)</f>
        <v>175</v>
      </c>
      <c r="D151" s="202">
        <f t="shared" si="7"/>
        <v>1457999</v>
      </c>
      <c r="E151" s="203">
        <f t="shared" si="6"/>
        <v>1.1942050347684266E-4</v>
      </c>
      <c r="F151" s="204">
        <f t="shared" si="8"/>
        <v>0.99494271227847519</v>
      </c>
    </row>
    <row r="152" spans="1:6" x14ac:dyDescent="0.2">
      <c r="A152" s="201" t="s">
        <v>385</v>
      </c>
      <c r="B152" s="201" t="s">
        <v>386</v>
      </c>
      <c r="C152" s="200">
        <f>VLOOKUP(A152, 'S07 Initial Parameters'!$A$2:$G$201, 3, FALSE)</f>
        <v>174</v>
      </c>
      <c r="D152" s="202">
        <f t="shared" si="7"/>
        <v>1458173</v>
      </c>
      <c r="E152" s="203">
        <f t="shared" si="6"/>
        <v>1.1873810059983214E-4</v>
      </c>
      <c r="F152" s="204">
        <f t="shared" si="8"/>
        <v>0.99506145037907501</v>
      </c>
    </row>
    <row r="153" spans="1:6" x14ac:dyDescent="0.2">
      <c r="A153" s="201" t="s">
        <v>387</v>
      </c>
      <c r="B153" s="201" t="s">
        <v>388</v>
      </c>
      <c r="C153" s="200">
        <f>VLOOKUP(A153, 'S07 Initial Parameters'!$A$2:$G$201, 3, FALSE)</f>
        <v>173</v>
      </c>
      <c r="D153" s="202">
        <f t="shared" si="7"/>
        <v>1458346</v>
      </c>
      <c r="E153" s="203">
        <f t="shared" si="6"/>
        <v>1.180556977228216E-4</v>
      </c>
      <c r="F153" s="204">
        <f t="shared" si="8"/>
        <v>0.99517950607679784</v>
      </c>
    </row>
    <row r="154" spans="1:6" x14ac:dyDescent="0.2">
      <c r="A154" s="201" t="s">
        <v>389</v>
      </c>
      <c r="B154" s="201" t="s">
        <v>390</v>
      </c>
      <c r="C154" s="200">
        <f>VLOOKUP(A154, 'S07 Initial Parameters'!$A$2:$G$201, 3, FALSE)</f>
        <v>172</v>
      </c>
      <c r="D154" s="202">
        <f t="shared" si="7"/>
        <v>1458518</v>
      </c>
      <c r="E154" s="203">
        <f t="shared" si="6"/>
        <v>1.1737329484581107E-4</v>
      </c>
      <c r="F154" s="204">
        <f t="shared" si="8"/>
        <v>0.99529687937164368</v>
      </c>
    </row>
    <row r="155" spans="1:6" x14ac:dyDescent="0.2">
      <c r="A155" s="201" t="s">
        <v>391</v>
      </c>
      <c r="B155" s="201" t="s">
        <v>392</v>
      </c>
      <c r="C155" s="200">
        <f>VLOOKUP(A155, 'S07 Initial Parameters'!$A$2:$G$201, 3, FALSE)</f>
        <v>171</v>
      </c>
      <c r="D155" s="202">
        <f t="shared" si="7"/>
        <v>1458689</v>
      </c>
      <c r="E155" s="203">
        <f t="shared" si="6"/>
        <v>1.1669089196880055E-4</v>
      </c>
      <c r="F155" s="204">
        <f t="shared" si="8"/>
        <v>0.99541357026361243</v>
      </c>
    </row>
    <row r="156" spans="1:6" x14ac:dyDescent="0.2">
      <c r="A156" s="201" t="s">
        <v>393</v>
      </c>
      <c r="B156" s="201" t="s">
        <v>394</v>
      </c>
      <c r="C156" s="200">
        <f>VLOOKUP(A156, 'S07 Initial Parameters'!$A$2:$G$201, 3, FALSE)</f>
        <v>170</v>
      </c>
      <c r="D156" s="202">
        <f t="shared" si="7"/>
        <v>1458859</v>
      </c>
      <c r="E156" s="203">
        <f t="shared" si="6"/>
        <v>1.1600848909179001E-4</v>
      </c>
      <c r="F156" s="204">
        <f t="shared" si="8"/>
        <v>0.9955295787527042</v>
      </c>
    </row>
    <row r="157" spans="1:6" x14ac:dyDescent="0.2">
      <c r="A157" s="201" t="s">
        <v>241</v>
      </c>
      <c r="B157" s="201" t="s">
        <v>242</v>
      </c>
      <c r="C157" s="200">
        <f>VLOOKUP(A157, 'S07 Initial Parameters'!$A$2:$G$201, 3, FALSE)</f>
        <v>169</v>
      </c>
      <c r="D157" s="202">
        <f t="shared" si="7"/>
        <v>1459028</v>
      </c>
      <c r="E157" s="203">
        <f t="shared" si="6"/>
        <v>1.1532608621477948E-4</v>
      </c>
      <c r="F157" s="204">
        <f t="shared" si="8"/>
        <v>0.99564490483891899</v>
      </c>
    </row>
    <row r="158" spans="1:6" x14ac:dyDescent="0.2">
      <c r="A158" s="201" t="s">
        <v>395</v>
      </c>
      <c r="B158" s="201" t="s">
        <v>396</v>
      </c>
      <c r="C158" s="200">
        <f>VLOOKUP(A158, 'S07 Initial Parameters'!$A$2:$G$201, 3, FALSE)</f>
        <v>169</v>
      </c>
      <c r="D158" s="202">
        <f t="shared" si="7"/>
        <v>1459197</v>
      </c>
      <c r="E158" s="203">
        <f t="shared" si="6"/>
        <v>1.1532608621477948E-4</v>
      </c>
      <c r="F158" s="204">
        <f t="shared" si="8"/>
        <v>0.99576023092513377</v>
      </c>
    </row>
    <row r="159" spans="1:6" x14ac:dyDescent="0.2">
      <c r="A159" s="201" t="s">
        <v>397</v>
      </c>
      <c r="B159" s="201" t="s">
        <v>398</v>
      </c>
      <c r="C159" s="200">
        <f>VLOOKUP(A159, 'S07 Initial Parameters'!$A$2:$G$201, 3, FALSE)</f>
        <v>168</v>
      </c>
      <c r="D159" s="202">
        <f t="shared" si="7"/>
        <v>1459365</v>
      </c>
      <c r="E159" s="203">
        <f t="shared" si="6"/>
        <v>1.1464368333776896E-4</v>
      </c>
      <c r="F159" s="204">
        <f t="shared" si="8"/>
        <v>0.99587487460847157</v>
      </c>
    </row>
    <row r="160" spans="1:6" x14ac:dyDescent="0.2">
      <c r="A160" s="201" t="s">
        <v>399</v>
      </c>
      <c r="B160" s="201" t="s">
        <v>400</v>
      </c>
      <c r="C160" s="200">
        <f>VLOOKUP(A160, 'S07 Initial Parameters'!$A$2:$G$201, 3, FALSE)</f>
        <v>167</v>
      </c>
      <c r="D160" s="202">
        <f t="shared" si="7"/>
        <v>1459532</v>
      </c>
      <c r="E160" s="203">
        <f t="shared" si="6"/>
        <v>1.1396128046075842E-4</v>
      </c>
      <c r="F160" s="204">
        <f t="shared" si="8"/>
        <v>0.99598883588893228</v>
      </c>
    </row>
    <row r="161" spans="1:6" x14ac:dyDescent="0.2">
      <c r="A161" s="201" t="s">
        <v>401</v>
      </c>
      <c r="B161" s="201" t="s">
        <v>402</v>
      </c>
      <c r="C161" s="200">
        <f>VLOOKUP(A161, 'S07 Initial Parameters'!$A$2:$G$201, 3, FALSE)</f>
        <v>166</v>
      </c>
      <c r="D161" s="202">
        <f t="shared" si="7"/>
        <v>1459698</v>
      </c>
      <c r="E161" s="203">
        <f t="shared" si="6"/>
        <v>1.1327887758374789E-4</v>
      </c>
      <c r="F161" s="204">
        <f t="shared" si="8"/>
        <v>0.996102114766516</v>
      </c>
    </row>
    <row r="162" spans="1:6" x14ac:dyDescent="0.2">
      <c r="A162" s="201" t="s">
        <v>403</v>
      </c>
      <c r="B162" s="201" t="s">
        <v>404</v>
      </c>
      <c r="C162" s="200">
        <f>VLOOKUP(A162, 'S07 Initial Parameters'!$A$2:$G$201, 3, FALSE)</f>
        <v>165</v>
      </c>
      <c r="D162" s="202">
        <f t="shared" si="7"/>
        <v>1459863</v>
      </c>
      <c r="E162" s="203">
        <f t="shared" si="6"/>
        <v>1.1259647470673737E-4</v>
      </c>
      <c r="F162" s="204">
        <f t="shared" si="8"/>
        <v>0.99621471124122274</v>
      </c>
    </row>
    <row r="163" spans="1:6" x14ac:dyDescent="0.2">
      <c r="A163" s="201" t="s">
        <v>405</v>
      </c>
      <c r="B163" s="201" t="s">
        <v>406</v>
      </c>
      <c r="C163" s="200">
        <f>VLOOKUP(A163, 'S07 Initial Parameters'!$A$2:$G$201, 3, FALSE)</f>
        <v>164</v>
      </c>
      <c r="D163" s="202">
        <f t="shared" si="7"/>
        <v>1460027</v>
      </c>
      <c r="E163" s="203">
        <f t="shared" si="6"/>
        <v>1.1191407182972683E-4</v>
      </c>
      <c r="F163" s="204">
        <f t="shared" si="8"/>
        <v>0.99632662531305249</v>
      </c>
    </row>
    <row r="164" spans="1:6" x14ac:dyDescent="0.2">
      <c r="A164" s="201" t="s">
        <v>407</v>
      </c>
      <c r="B164" s="201" t="s">
        <v>408</v>
      </c>
      <c r="C164" s="200">
        <f>VLOOKUP(A164, 'S07 Initial Parameters'!$A$2:$G$201, 3, FALSE)</f>
        <v>163</v>
      </c>
      <c r="D164" s="202">
        <f t="shared" si="7"/>
        <v>1460190</v>
      </c>
      <c r="E164" s="203">
        <f t="shared" si="6"/>
        <v>1.1123166895271631E-4</v>
      </c>
      <c r="F164" s="204">
        <f t="shared" si="8"/>
        <v>0.99643785698200527</v>
      </c>
    </row>
    <row r="165" spans="1:6" x14ac:dyDescent="0.2">
      <c r="A165" s="201" t="s">
        <v>409</v>
      </c>
      <c r="B165" s="201" t="s">
        <v>410</v>
      </c>
      <c r="C165" s="200">
        <f>VLOOKUP(A165, 'S07 Initial Parameters'!$A$2:$G$201, 3, FALSE)</f>
        <v>162</v>
      </c>
      <c r="D165" s="202">
        <f t="shared" si="7"/>
        <v>1460352</v>
      </c>
      <c r="E165" s="203">
        <f t="shared" si="6"/>
        <v>1.1054926607570578E-4</v>
      </c>
      <c r="F165" s="204">
        <f t="shared" si="8"/>
        <v>0.99654840624808094</v>
      </c>
    </row>
    <row r="166" spans="1:6" x14ac:dyDescent="0.2">
      <c r="A166" s="201" t="s">
        <v>411</v>
      </c>
      <c r="B166" s="201" t="s">
        <v>412</v>
      </c>
      <c r="C166" s="200">
        <f>VLOOKUP(A166, 'S07 Initial Parameters'!$A$2:$G$201, 3, FALSE)</f>
        <v>161</v>
      </c>
      <c r="D166" s="202">
        <f t="shared" si="7"/>
        <v>1460513</v>
      </c>
      <c r="E166" s="203">
        <f t="shared" si="6"/>
        <v>1.0986686319869524E-4</v>
      </c>
      <c r="F166" s="204">
        <f t="shared" si="8"/>
        <v>0.99665827311127964</v>
      </c>
    </row>
    <row r="167" spans="1:6" x14ac:dyDescent="0.2">
      <c r="A167" s="201" t="s">
        <v>413</v>
      </c>
      <c r="B167" s="201" t="s">
        <v>414</v>
      </c>
      <c r="C167" s="200">
        <f>VLOOKUP(A167, 'S07 Initial Parameters'!$A$2:$G$201, 3, FALSE)</f>
        <v>160</v>
      </c>
      <c r="D167" s="202">
        <f t="shared" si="7"/>
        <v>1460673</v>
      </c>
      <c r="E167" s="203">
        <f t="shared" si="6"/>
        <v>1.0918446032168472E-4</v>
      </c>
      <c r="F167" s="204">
        <f t="shared" si="8"/>
        <v>0.99676745757160135</v>
      </c>
    </row>
    <row r="168" spans="1:6" x14ac:dyDescent="0.2">
      <c r="A168" s="201" t="s">
        <v>243</v>
      </c>
      <c r="B168" s="201" t="s">
        <v>244</v>
      </c>
      <c r="C168" s="200">
        <f>VLOOKUP(A168, 'S07 Initial Parameters'!$A$2:$G$201, 3, FALSE)</f>
        <v>159</v>
      </c>
      <c r="D168" s="202">
        <f t="shared" si="7"/>
        <v>1460832</v>
      </c>
      <c r="E168" s="203">
        <f t="shared" si="6"/>
        <v>1.0850205744467419E-4</v>
      </c>
      <c r="F168" s="204">
        <f t="shared" si="8"/>
        <v>0.99687595962904607</v>
      </c>
    </row>
    <row r="169" spans="1:6" x14ac:dyDescent="0.2">
      <c r="A169" s="201" t="s">
        <v>415</v>
      </c>
      <c r="B169" s="201" t="s">
        <v>416</v>
      </c>
      <c r="C169" s="200">
        <f>VLOOKUP(A169, 'S07 Initial Parameters'!$A$2:$G$201, 3, FALSE)</f>
        <v>159</v>
      </c>
      <c r="D169" s="202">
        <f t="shared" si="7"/>
        <v>1460991</v>
      </c>
      <c r="E169" s="203">
        <f t="shared" si="6"/>
        <v>1.0850205744467419E-4</v>
      </c>
      <c r="F169" s="204">
        <f t="shared" si="8"/>
        <v>0.9969844616864908</v>
      </c>
    </row>
    <row r="170" spans="1:6" x14ac:dyDescent="0.2">
      <c r="A170" s="201" t="s">
        <v>417</v>
      </c>
      <c r="B170" s="201" t="s">
        <v>418</v>
      </c>
      <c r="C170" s="200">
        <f>VLOOKUP(A170, 'S07 Initial Parameters'!$A$2:$G$201, 3, FALSE)</f>
        <v>158</v>
      </c>
      <c r="D170" s="202">
        <f t="shared" si="7"/>
        <v>1461149</v>
      </c>
      <c r="E170" s="203">
        <f t="shared" si="6"/>
        <v>1.0781965456766365E-4</v>
      </c>
      <c r="F170" s="204">
        <f t="shared" si="8"/>
        <v>0.99709228134105843</v>
      </c>
    </row>
    <row r="171" spans="1:6" x14ac:dyDescent="0.2">
      <c r="A171" s="201" t="s">
        <v>419</v>
      </c>
      <c r="B171" s="201" t="s">
        <v>420</v>
      </c>
      <c r="C171" s="200">
        <f>VLOOKUP(A171, 'S07 Initial Parameters'!$A$2:$G$201, 3, FALSE)</f>
        <v>157</v>
      </c>
      <c r="D171" s="202">
        <f t="shared" si="7"/>
        <v>1461306</v>
      </c>
      <c r="E171" s="203">
        <f t="shared" si="6"/>
        <v>1.0713725169065313E-4</v>
      </c>
      <c r="F171" s="204">
        <f t="shared" si="8"/>
        <v>0.99719941859274908</v>
      </c>
    </row>
    <row r="172" spans="1:6" x14ac:dyDescent="0.2">
      <c r="A172" s="201" t="s">
        <v>421</v>
      </c>
      <c r="B172" s="201" t="s">
        <v>422</v>
      </c>
      <c r="C172" s="200">
        <f>VLOOKUP(A172, 'S07 Initial Parameters'!$A$2:$G$201, 3, FALSE)</f>
        <v>156</v>
      </c>
      <c r="D172" s="202">
        <f t="shared" si="7"/>
        <v>1461462</v>
      </c>
      <c r="E172" s="203">
        <f t="shared" si="6"/>
        <v>1.064548488136426E-4</v>
      </c>
      <c r="F172" s="204">
        <f t="shared" si="8"/>
        <v>0.99730587344156274</v>
      </c>
    </row>
    <row r="173" spans="1:6" x14ac:dyDescent="0.2">
      <c r="A173" s="201" t="s">
        <v>423</v>
      </c>
      <c r="B173" s="201" t="s">
        <v>424</v>
      </c>
      <c r="C173" s="200">
        <f>VLOOKUP(A173, 'S07 Initial Parameters'!$A$2:$G$201, 3, FALSE)</f>
        <v>155</v>
      </c>
      <c r="D173" s="202">
        <f t="shared" si="7"/>
        <v>1461617</v>
      </c>
      <c r="E173" s="203">
        <f t="shared" si="6"/>
        <v>1.0577244593663207E-4</v>
      </c>
      <c r="F173" s="204">
        <f t="shared" si="8"/>
        <v>0.99741164588749942</v>
      </c>
    </row>
    <row r="174" spans="1:6" x14ac:dyDescent="0.2">
      <c r="A174" s="201" t="s">
        <v>425</v>
      </c>
      <c r="B174" s="201" t="s">
        <v>426</v>
      </c>
      <c r="C174" s="200">
        <f>VLOOKUP(A174, 'S07 Initial Parameters'!$A$2:$G$201, 3, FALSE)</f>
        <v>154</v>
      </c>
      <c r="D174" s="202">
        <f t="shared" si="7"/>
        <v>1461771</v>
      </c>
      <c r="E174" s="203">
        <f t="shared" si="6"/>
        <v>1.0509004305962154E-4</v>
      </c>
      <c r="F174" s="204">
        <f t="shared" si="8"/>
        <v>0.99751673593055901</v>
      </c>
    </row>
    <row r="175" spans="1:6" x14ac:dyDescent="0.2">
      <c r="A175" s="201" t="s">
        <v>427</v>
      </c>
      <c r="B175" s="201" t="s">
        <v>428</v>
      </c>
      <c r="C175" s="200">
        <f>VLOOKUP(A175, 'S07 Initial Parameters'!$A$2:$G$201, 3, FALSE)</f>
        <v>153</v>
      </c>
      <c r="D175" s="202">
        <f t="shared" si="7"/>
        <v>1461924</v>
      </c>
      <c r="E175" s="203">
        <f t="shared" si="6"/>
        <v>1.0440764018261102E-4</v>
      </c>
      <c r="F175" s="204">
        <f t="shared" si="8"/>
        <v>0.99762114357074161</v>
      </c>
    </row>
    <row r="176" spans="1:6" x14ac:dyDescent="0.2">
      <c r="A176" s="201" t="s">
        <v>429</v>
      </c>
      <c r="B176" s="201" t="s">
        <v>430</v>
      </c>
      <c r="C176" s="200">
        <f>VLOOKUP(A176, 'S07 Initial Parameters'!$A$2:$G$201, 3, FALSE)</f>
        <v>152</v>
      </c>
      <c r="D176" s="202">
        <f t="shared" si="7"/>
        <v>1462076</v>
      </c>
      <c r="E176" s="203">
        <f t="shared" si="6"/>
        <v>1.0372523730560048E-4</v>
      </c>
      <c r="F176" s="204">
        <f t="shared" si="8"/>
        <v>0.99772486880804723</v>
      </c>
    </row>
    <row r="177" spans="1:6" x14ac:dyDescent="0.2">
      <c r="A177" s="201" t="s">
        <v>431</v>
      </c>
      <c r="B177" s="201" t="s">
        <v>432</v>
      </c>
      <c r="C177" s="200">
        <f>VLOOKUP(A177, 'S07 Initial Parameters'!$A$2:$G$201, 3, FALSE)</f>
        <v>151</v>
      </c>
      <c r="D177" s="202">
        <f t="shared" si="7"/>
        <v>1462227</v>
      </c>
      <c r="E177" s="203">
        <f t="shared" si="6"/>
        <v>1.0304283442858995E-4</v>
      </c>
      <c r="F177" s="204">
        <f t="shared" si="8"/>
        <v>0.99782791164247586</v>
      </c>
    </row>
    <row r="178" spans="1:6" x14ac:dyDescent="0.2">
      <c r="A178" s="201" t="s">
        <v>433</v>
      </c>
      <c r="B178" s="201" t="s">
        <v>434</v>
      </c>
      <c r="C178" s="200">
        <f>VLOOKUP(A178, 'S07 Initial Parameters'!$A$2:$G$201, 3, FALSE)</f>
        <v>150</v>
      </c>
      <c r="D178" s="202">
        <f t="shared" si="7"/>
        <v>1462377</v>
      </c>
      <c r="E178" s="203">
        <f t="shared" si="6"/>
        <v>1.0236043155157943E-4</v>
      </c>
      <c r="F178" s="204">
        <f t="shared" si="8"/>
        <v>0.9979302720740274</v>
      </c>
    </row>
    <row r="179" spans="1:6" x14ac:dyDescent="0.2">
      <c r="A179" s="201" t="s">
        <v>435</v>
      </c>
      <c r="B179" s="201" t="s">
        <v>436</v>
      </c>
      <c r="C179" s="200">
        <f>VLOOKUP(A179, 'S07 Initial Parameters'!$A$2:$G$201, 3, FALSE)</f>
        <v>149</v>
      </c>
      <c r="D179" s="202">
        <f t="shared" si="7"/>
        <v>1462526</v>
      </c>
      <c r="E179" s="203">
        <f t="shared" si="6"/>
        <v>1.0167802867456889E-4</v>
      </c>
      <c r="F179" s="204">
        <f t="shared" si="8"/>
        <v>0.99803195010270196</v>
      </c>
    </row>
    <row r="180" spans="1:6" x14ac:dyDescent="0.2">
      <c r="A180" s="201" t="s">
        <v>245</v>
      </c>
      <c r="B180" s="201" t="s">
        <v>246</v>
      </c>
      <c r="C180" s="200">
        <f>VLOOKUP(A180, 'S07 Initial Parameters'!$A$2:$G$201, 3, FALSE)</f>
        <v>148</v>
      </c>
      <c r="D180" s="202">
        <f t="shared" si="7"/>
        <v>1462674</v>
      </c>
      <c r="E180" s="203">
        <f t="shared" si="6"/>
        <v>1.0099562579755836E-4</v>
      </c>
      <c r="F180" s="204">
        <f t="shared" si="8"/>
        <v>0.99813294572849953</v>
      </c>
    </row>
    <row r="181" spans="1:6" x14ac:dyDescent="0.2">
      <c r="A181" s="201" t="s">
        <v>437</v>
      </c>
      <c r="B181" s="201" t="s">
        <v>438</v>
      </c>
      <c r="C181" s="200">
        <f>VLOOKUP(A181, 'S07 Initial Parameters'!$A$2:$G$201, 3, FALSE)</f>
        <v>148</v>
      </c>
      <c r="D181" s="202">
        <f t="shared" si="7"/>
        <v>1462822</v>
      </c>
      <c r="E181" s="203">
        <f t="shared" si="6"/>
        <v>1.0099562579755836E-4</v>
      </c>
      <c r="F181" s="204">
        <f t="shared" si="8"/>
        <v>0.99823394135429711</v>
      </c>
    </row>
    <row r="182" spans="1:6" x14ac:dyDescent="0.2">
      <c r="A182" s="201" t="s">
        <v>439</v>
      </c>
      <c r="B182" s="201" t="s">
        <v>440</v>
      </c>
      <c r="C182" s="200">
        <f>VLOOKUP(A182, 'S07 Initial Parameters'!$A$2:$G$201, 3, FALSE)</f>
        <v>147</v>
      </c>
      <c r="D182" s="202">
        <f t="shared" si="7"/>
        <v>1462969</v>
      </c>
      <c r="E182" s="203">
        <f t="shared" si="6"/>
        <v>1.0031322292054784E-4</v>
      </c>
      <c r="F182" s="204">
        <f t="shared" si="8"/>
        <v>0.99833425457721769</v>
      </c>
    </row>
    <row r="183" spans="1:6" x14ac:dyDescent="0.2">
      <c r="A183" s="201" t="s">
        <v>441</v>
      </c>
      <c r="B183" s="201" t="s">
        <v>442</v>
      </c>
      <c r="C183" s="200">
        <f>VLOOKUP(A183, 'S07 Initial Parameters'!$A$2:$G$201, 3, FALSE)</f>
        <v>146</v>
      </c>
      <c r="D183" s="202">
        <f t="shared" si="7"/>
        <v>1463115</v>
      </c>
      <c r="E183" s="203">
        <f t="shared" si="6"/>
        <v>9.96308200435373E-5</v>
      </c>
      <c r="F183" s="204">
        <f t="shared" si="8"/>
        <v>0.99843388539726119</v>
      </c>
    </row>
    <row r="184" spans="1:6" x14ac:dyDescent="0.2">
      <c r="A184" s="201" t="s">
        <v>443</v>
      </c>
      <c r="B184" s="201" t="s">
        <v>444</v>
      </c>
      <c r="C184" s="200">
        <f>VLOOKUP(A184, 'S07 Initial Parameters'!$A$2:$G$201, 3, FALSE)</f>
        <v>145</v>
      </c>
      <c r="D184" s="202">
        <f t="shared" si="7"/>
        <v>1463260</v>
      </c>
      <c r="E184" s="203">
        <f t="shared" si="6"/>
        <v>9.8948417166526775E-5</v>
      </c>
      <c r="F184" s="204">
        <f t="shared" si="8"/>
        <v>0.9985328338144277</v>
      </c>
    </row>
    <row r="185" spans="1:6" x14ac:dyDescent="0.2">
      <c r="A185" s="201" t="s">
        <v>445</v>
      </c>
      <c r="B185" s="201" t="s">
        <v>446</v>
      </c>
      <c r="C185" s="200">
        <f>VLOOKUP(A185, 'S07 Initial Parameters'!$A$2:$G$201, 3, FALSE)</f>
        <v>144</v>
      </c>
      <c r="D185" s="202">
        <f t="shared" si="7"/>
        <v>1463404</v>
      </c>
      <c r="E185" s="203">
        <f t="shared" si="6"/>
        <v>9.826601428951625E-5</v>
      </c>
      <c r="F185" s="204">
        <f t="shared" si="8"/>
        <v>0.99863109982871723</v>
      </c>
    </row>
    <row r="186" spans="1:6" x14ac:dyDescent="0.2">
      <c r="A186" s="201" t="s">
        <v>447</v>
      </c>
      <c r="B186" s="201" t="s">
        <v>448</v>
      </c>
      <c r="C186" s="200">
        <f>VLOOKUP(A186, 'S07 Initial Parameters'!$A$2:$G$201, 3, FALSE)</f>
        <v>143</v>
      </c>
      <c r="D186" s="202">
        <f t="shared" si="7"/>
        <v>1463547</v>
      </c>
      <c r="E186" s="203">
        <f t="shared" si="6"/>
        <v>9.7583611412505711E-5</v>
      </c>
      <c r="F186" s="204">
        <f t="shared" si="8"/>
        <v>0.99872868344012977</v>
      </c>
    </row>
    <row r="187" spans="1:6" x14ac:dyDescent="0.2">
      <c r="A187" s="201" t="s">
        <v>449</v>
      </c>
      <c r="B187" s="201" t="s">
        <v>450</v>
      </c>
      <c r="C187" s="200">
        <f>VLOOKUP(A187, 'S07 Initial Parameters'!$A$2:$G$201, 3, FALSE)</f>
        <v>142</v>
      </c>
      <c r="D187" s="202">
        <f t="shared" si="7"/>
        <v>1463689</v>
      </c>
      <c r="E187" s="203">
        <f t="shared" si="6"/>
        <v>9.6901208535495186E-5</v>
      </c>
      <c r="F187" s="204">
        <f t="shared" si="8"/>
        <v>0.99882558464866522</v>
      </c>
    </row>
    <row r="188" spans="1:6" x14ac:dyDescent="0.2">
      <c r="A188" s="201" t="s">
        <v>451</v>
      </c>
      <c r="B188" s="201" t="s">
        <v>452</v>
      </c>
      <c r="C188" s="200">
        <f>VLOOKUP(A188, 'S07 Initial Parameters'!$A$2:$G$201, 3, FALSE)</f>
        <v>141</v>
      </c>
      <c r="D188" s="202">
        <f t="shared" si="7"/>
        <v>1463830</v>
      </c>
      <c r="E188" s="203">
        <f t="shared" si="6"/>
        <v>9.6218805658484661E-5</v>
      </c>
      <c r="F188" s="204">
        <f t="shared" si="8"/>
        <v>0.99892180345432369</v>
      </c>
    </row>
    <row r="189" spans="1:6" x14ac:dyDescent="0.2">
      <c r="A189" s="201" t="s">
        <v>453</v>
      </c>
      <c r="B189" s="201" t="s">
        <v>454</v>
      </c>
      <c r="C189" s="200">
        <f>VLOOKUP(A189, 'S07 Initial Parameters'!$A$2:$G$201, 3, FALSE)</f>
        <v>140</v>
      </c>
      <c r="D189" s="202">
        <f t="shared" si="7"/>
        <v>1463970</v>
      </c>
      <c r="E189" s="203">
        <f t="shared" si="6"/>
        <v>9.5536402781474123E-5</v>
      </c>
      <c r="F189" s="204">
        <f t="shared" si="8"/>
        <v>0.99901733985710517</v>
      </c>
    </row>
    <row r="190" spans="1:6" x14ac:dyDescent="0.2">
      <c r="A190" s="201" t="s">
        <v>455</v>
      </c>
      <c r="B190" s="201" t="s">
        <v>456</v>
      </c>
      <c r="C190" s="200">
        <f>VLOOKUP(A190, 'S07 Initial Parameters'!$A$2:$G$201, 3, FALSE)</f>
        <v>139</v>
      </c>
      <c r="D190" s="202">
        <f t="shared" si="7"/>
        <v>1464109</v>
      </c>
      <c r="E190" s="203">
        <f t="shared" si="6"/>
        <v>9.4853999904463598E-5</v>
      </c>
      <c r="F190" s="204">
        <f t="shared" si="8"/>
        <v>0.99911219385700967</v>
      </c>
    </row>
    <row r="191" spans="1:6" x14ac:dyDescent="0.2">
      <c r="A191" s="201" t="s">
        <v>457</v>
      </c>
      <c r="B191" s="201" t="s">
        <v>458</v>
      </c>
      <c r="C191" s="200">
        <f>VLOOKUP(A191, 'S07 Initial Parameters'!$A$2:$G$201, 3, FALSE)</f>
        <v>138</v>
      </c>
      <c r="D191" s="202">
        <f t="shared" si="7"/>
        <v>1464247</v>
      </c>
      <c r="E191" s="203">
        <f t="shared" si="6"/>
        <v>9.4171597027453073E-5</v>
      </c>
      <c r="F191" s="204">
        <f t="shared" si="8"/>
        <v>0.99920636545403707</v>
      </c>
    </row>
    <row r="192" spans="1:6" x14ac:dyDescent="0.2">
      <c r="A192" s="201" t="s">
        <v>247</v>
      </c>
      <c r="B192" s="201" t="s">
        <v>248</v>
      </c>
      <c r="C192" s="200">
        <f>VLOOKUP(A192, 'S07 Initial Parameters'!$A$2:$G$201, 3, FALSE)</f>
        <v>137</v>
      </c>
      <c r="D192" s="202">
        <f t="shared" si="7"/>
        <v>1464384</v>
      </c>
      <c r="E192" s="203">
        <f t="shared" si="6"/>
        <v>9.3489194150442534E-5</v>
      </c>
      <c r="F192" s="204">
        <f t="shared" si="8"/>
        <v>0.99929985464818749</v>
      </c>
    </row>
    <row r="193" spans="1:6" x14ac:dyDescent="0.2">
      <c r="A193" s="201" t="s">
        <v>249</v>
      </c>
      <c r="B193" s="201" t="s">
        <v>250</v>
      </c>
      <c r="C193" s="200">
        <f>VLOOKUP(A193, 'S07 Initial Parameters'!$A$2:$G$201, 3, FALSE)</f>
        <v>126</v>
      </c>
      <c r="D193" s="202">
        <f t="shared" si="7"/>
        <v>1464510</v>
      </c>
      <c r="E193" s="203">
        <f t="shared" si="6"/>
        <v>8.5982762503326719E-5</v>
      </c>
      <c r="F193" s="204">
        <f t="shared" si="8"/>
        <v>0.99938583741069087</v>
      </c>
    </row>
    <row r="194" spans="1:6" x14ac:dyDescent="0.2">
      <c r="A194" s="201" t="s">
        <v>251</v>
      </c>
      <c r="B194" s="201" t="s">
        <v>252</v>
      </c>
      <c r="C194" s="200">
        <f>VLOOKUP(A194, 'S07 Initial Parameters'!$A$2:$G$201, 3, FALSE)</f>
        <v>115</v>
      </c>
      <c r="D194" s="202">
        <f t="shared" si="7"/>
        <v>1464625</v>
      </c>
      <c r="E194" s="203">
        <f t="shared" si="6"/>
        <v>7.847633085621089E-5</v>
      </c>
      <c r="F194" s="204">
        <f t="shared" si="8"/>
        <v>0.99946431374154709</v>
      </c>
    </row>
    <row r="195" spans="1:6" x14ac:dyDescent="0.2">
      <c r="A195" s="201" t="s">
        <v>225</v>
      </c>
      <c r="B195" s="201" t="s">
        <v>226</v>
      </c>
      <c r="C195" s="200">
        <f>VLOOKUP(A195, 'S07 Initial Parameters'!$A$2:$G$201, 3, FALSE)</f>
        <v>104</v>
      </c>
      <c r="D195" s="202">
        <f t="shared" si="7"/>
        <v>1464729</v>
      </c>
      <c r="E195" s="203">
        <f t="shared" si="6"/>
        <v>7.096989920909506E-5</v>
      </c>
      <c r="F195" s="204">
        <f t="shared" si="8"/>
        <v>0.99953528364075617</v>
      </c>
    </row>
    <row r="196" spans="1:6" x14ac:dyDescent="0.2">
      <c r="A196" s="201" t="s">
        <v>253</v>
      </c>
      <c r="B196" s="201" t="s">
        <v>254</v>
      </c>
      <c r="C196" s="200">
        <f>VLOOKUP(A196, 'S07 Initial Parameters'!$A$2:$G$201, 3, FALSE)</f>
        <v>104</v>
      </c>
      <c r="D196" s="202">
        <f t="shared" si="7"/>
        <v>1464833</v>
      </c>
      <c r="E196" s="203">
        <f t="shared" ref="E196:E202" si="9">C196/SUM($C$3:$C$202)</f>
        <v>7.096989920909506E-5</v>
      </c>
      <c r="F196" s="204">
        <f t="shared" si="8"/>
        <v>0.99960625353996524</v>
      </c>
    </row>
    <row r="197" spans="1:6" x14ac:dyDescent="0.2">
      <c r="A197" s="201" t="s">
        <v>255</v>
      </c>
      <c r="B197" s="201" t="s">
        <v>256</v>
      </c>
      <c r="C197" s="200">
        <f>VLOOKUP(A197, 'S07 Initial Parameters'!$A$2:$G$201, 3, FALSE)</f>
        <v>103</v>
      </c>
      <c r="D197" s="202">
        <f t="shared" ref="D197:D202" si="10">C197+D196</f>
        <v>1464936</v>
      </c>
      <c r="E197" s="203">
        <f t="shared" si="9"/>
        <v>7.0287496332084535E-5</v>
      </c>
      <c r="F197" s="204">
        <f t="shared" ref="F197:F202" si="11">E197+F196</f>
        <v>0.99967654103629733</v>
      </c>
    </row>
    <row r="198" spans="1:6" x14ac:dyDescent="0.2">
      <c r="A198" s="201" t="s">
        <v>257</v>
      </c>
      <c r="B198" s="201" t="s">
        <v>258</v>
      </c>
      <c r="C198" s="200">
        <f>VLOOKUP(A198, 'S07 Initial Parameters'!$A$2:$G$201, 3, FALSE)</f>
        <v>102</v>
      </c>
      <c r="D198" s="202">
        <f t="shared" si="10"/>
        <v>1465038</v>
      </c>
      <c r="E198" s="203">
        <f t="shared" si="9"/>
        <v>6.960509345507401E-5</v>
      </c>
      <c r="F198" s="204">
        <f t="shared" si="11"/>
        <v>0.99974614612975243</v>
      </c>
    </row>
    <row r="199" spans="1:6" x14ac:dyDescent="0.2">
      <c r="A199" s="201" t="s">
        <v>259</v>
      </c>
      <c r="B199" s="201" t="s">
        <v>260</v>
      </c>
      <c r="C199" s="200">
        <f>VLOOKUP(A199, 'S07 Initial Parameters'!$A$2:$G$201, 3, FALSE)</f>
        <v>102</v>
      </c>
      <c r="D199" s="202">
        <f t="shared" si="10"/>
        <v>1465140</v>
      </c>
      <c r="E199" s="203">
        <f t="shared" si="9"/>
        <v>6.960509345507401E-5</v>
      </c>
      <c r="F199" s="204">
        <f t="shared" si="11"/>
        <v>0.99981575122320754</v>
      </c>
    </row>
    <row r="200" spans="1:6" x14ac:dyDescent="0.2">
      <c r="A200" s="201" t="s">
        <v>261</v>
      </c>
      <c r="B200" s="201" t="s">
        <v>262</v>
      </c>
      <c r="C200" s="200">
        <f>VLOOKUP(A200, 'S07 Initial Parameters'!$A$2:$G$201, 3, FALSE)</f>
        <v>101</v>
      </c>
      <c r="D200" s="202">
        <f t="shared" si="10"/>
        <v>1465241</v>
      </c>
      <c r="E200" s="203">
        <f t="shared" si="9"/>
        <v>6.8922690578063472E-5</v>
      </c>
      <c r="F200" s="204">
        <f t="shared" si="11"/>
        <v>0.99988467391378555</v>
      </c>
    </row>
    <row r="201" spans="1:6" x14ac:dyDescent="0.2">
      <c r="A201" s="201" t="s">
        <v>263</v>
      </c>
      <c r="B201" s="201" t="s">
        <v>264</v>
      </c>
      <c r="C201" s="200">
        <f>VLOOKUP(A201, 'S07 Initial Parameters'!$A$2:$G$201, 3, FALSE)</f>
        <v>100</v>
      </c>
      <c r="D201" s="202">
        <f t="shared" si="10"/>
        <v>1465341</v>
      </c>
      <c r="E201" s="203">
        <f t="shared" si="9"/>
        <v>6.8240287701052947E-5</v>
      </c>
      <c r="F201" s="204">
        <f t="shared" si="11"/>
        <v>0.99995291420148658</v>
      </c>
    </row>
    <row r="202" spans="1:6" x14ac:dyDescent="0.2">
      <c r="A202" s="201" t="s">
        <v>564</v>
      </c>
      <c r="B202" s="201" t="s">
        <v>832</v>
      </c>
      <c r="C202" s="200">
        <f>VLOOKUP(A202, 'S07 Initial Parameters'!$A$2:$G$201, 3, FALSE)</f>
        <v>69</v>
      </c>
      <c r="D202" s="202">
        <f t="shared" si="10"/>
        <v>1465410</v>
      </c>
      <c r="E202" s="203">
        <f t="shared" si="9"/>
        <v>4.7085798513726536E-5</v>
      </c>
      <c r="F202" s="204">
        <f t="shared" si="11"/>
        <v>1.0000000000000002</v>
      </c>
    </row>
  </sheetData>
  <autoFilter ref="A2:F202" xr:uid="{3BB14687-D928-9641-8775-4D0CF07C5EAF}">
    <sortState xmlns:xlrd2="http://schemas.microsoft.com/office/spreadsheetml/2017/richdata2" ref="A3:F202">
      <sortCondition descending="1" ref="C2:C202"/>
    </sortState>
  </autoFilter>
  <pageMargins left="0.7" right="0.7" top="0.75" bottom="0.75" header="0.3" footer="0.3"/>
  <pageSetup orientation="portrait" horizontalDpi="4294967293" verticalDpi="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5C2AC6-3541-4045-874F-84ECB1AB6A89}">
  <sheetPr codeName="Sheet9"/>
  <dimension ref="A1:AF62"/>
  <sheetViews>
    <sheetView zoomScale="69" workbookViewId="0">
      <selection activeCell="AE1" sqref="AE1"/>
    </sheetView>
  </sheetViews>
  <sheetFormatPr baseColWidth="10" defaultRowHeight="16" x14ac:dyDescent="0.2"/>
  <cols>
    <col min="1" max="1" width="7.33203125" customWidth="1"/>
    <col min="2" max="10" width="9.5" customWidth="1"/>
    <col min="11" max="11" width="12.1640625" customWidth="1"/>
    <col min="12" max="12" width="15.6640625" customWidth="1"/>
    <col min="13" max="13" width="22.6640625" bestFit="1" customWidth="1"/>
    <col min="14" max="14" width="9.1640625" bestFit="1" customWidth="1"/>
    <col min="15" max="15" width="9.33203125" bestFit="1" customWidth="1"/>
    <col min="16" max="16" width="12.5" bestFit="1" customWidth="1"/>
    <col min="17" max="17" width="12.33203125" bestFit="1" customWidth="1"/>
    <col min="18" max="18" width="9.6640625" bestFit="1" customWidth="1"/>
    <col min="19" max="19" width="13.33203125" bestFit="1" customWidth="1"/>
    <col min="20" max="20" width="16.6640625" bestFit="1" customWidth="1"/>
    <col min="21" max="21" width="10" bestFit="1" customWidth="1"/>
    <col min="22" max="22" width="23.33203125" customWidth="1"/>
    <col min="23" max="23" width="11.1640625" bestFit="1" customWidth="1"/>
    <col min="24" max="24" width="13.1640625" customWidth="1"/>
    <col min="25" max="27" width="7.33203125" customWidth="1"/>
    <col min="28" max="28" width="11.33203125" bestFit="1" customWidth="1"/>
    <col min="29" max="29" width="14.1640625" bestFit="1" customWidth="1"/>
    <col min="30" max="30" width="10.1640625" bestFit="1" customWidth="1"/>
    <col min="31" max="31" width="7.6640625" bestFit="1" customWidth="1"/>
    <col min="32" max="32" width="9.1640625" bestFit="1" customWidth="1"/>
  </cols>
  <sheetData>
    <row r="1" spans="1:32" ht="18" thickTop="1" thickBot="1" x14ac:dyDescent="0.25">
      <c r="B1" s="68"/>
      <c r="C1" s="68"/>
      <c r="D1" s="68"/>
      <c r="E1" s="68"/>
      <c r="F1" s="68"/>
      <c r="G1" s="68"/>
      <c r="H1" s="68"/>
      <c r="I1" s="68"/>
      <c r="J1" s="68"/>
      <c r="K1" s="68"/>
      <c r="L1" s="69" t="s">
        <v>934</v>
      </c>
      <c r="M1" s="70">
        <v>1000</v>
      </c>
      <c r="P1" s="69" t="s">
        <v>622</v>
      </c>
      <c r="Q1" s="70" t="s">
        <v>936</v>
      </c>
      <c r="AB1" s="71" t="s">
        <v>624</v>
      </c>
      <c r="AC1" s="72" t="s">
        <v>625</v>
      </c>
      <c r="AD1" s="72" t="s">
        <v>626</v>
      </c>
      <c r="AE1" s="73" t="s">
        <v>627</v>
      </c>
      <c r="AF1" s="74" t="s">
        <v>628</v>
      </c>
    </row>
    <row r="2" spans="1:32" ht="17" thickTop="1" x14ac:dyDescent="0.2">
      <c r="A2" s="218"/>
      <c r="L2" s="69" t="s">
        <v>935</v>
      </c>
      <c r="M2" s="70" t="s">
        <v>629</v>
      </c>
      <c r="P2" s="69" t="s">
        <v>630</v>
      </c>
      <c r="Q2" s="75">
        <v>43490</v>
      </c>
      <c r="AB2" s="76" t="s">
        <v>631</v>
      </c>
      <c r="AC2" s="77" t="s">
        <v>632</v>
      </c>
      <c r="AD2" s="78">
        <v>0</v>
      </c>
      <c r="AE2" s="79" t="s">
        <v>633</v>
      </c>
      <c r="AF2" s="80" t="s">
        <v>634</v>
      </c>
    </row>
    <row r="3" spans="1:32" ht="17" thickBot="1" x14ac:dyDescent="0.25">
      <c r="A3" s="81"/>
      <c r="L3" s="69" t="s">
        <v>635</v>
      </c>
      <c r="M3" s="70" t="s">
        <v>633</v>
      </c>
      <c r="P3" s="69" t="s">
        <v>636</v>
      </c>
      <c r="Q3" s="70" t="s">
        <v>623</v>
      </c>
      <c r="AB3" s="82" t="s">
        <v>637</v>
      </c>
      <c r="AC3" s="77" t="s">
        <v>638</v>
      </c>
      <c r="AD3" s="78">
        <v>1</v>
      </c>
      <c r="AE3" s="77" t="s">
        <v>639</v>
      </c>
      <c r="AF3" s="83" t="s">
        <v>640</v>
      </c>
    </row>
    <row r="4" spans="1:32" ht="17" thickBot="1" x14ac:dyDescent="0.25">
      <c r="A4" s="84"/>
      <c r="B4" s="85"/>
      <c r="C4" s="85"/>
      <c r="D4" s="85"/>
      <c r="E4" s="85"/>
      <c r="F4" s="85"/>
      <c r="G4" s="85"/>
      <c r="H4" s="85"/>
      <c r="I4" s="85"/>
      <c r="J4" s="85"/>
      <c r="K4" s="85"/>
      <c r="AC4" s="77" t="s">
        <v>641</v>
      </c>
      <c r="AD4" s="78">
        <v>2</v>
      </c>
      <c r="AE4" s="77" t="s">
        <v>642</v>
      </c>
    </row>
    <row r="5" spans="1:32" ht="18" thickTop="1" thickBot="1" x14ac:dyDescent="0.25">
      <c r="A5" s="326" t="s">
        <v>643</v>
      </c>
      <c r="B5" s="327"/>
      <c r="C5" s="327"/>
      <c r="D5" s="327"/>
      <c r="E5" s="327"/>
      <c r="F5" s="327"/>
      <c r="G5" s="327"/>
      <c r="H5" s="327"/>
      <c r="I5" s="327"/>
      <c r="J5" s="328"/>
      <c r="K5" s="86"/>
      <c r="AC5" s="77" t="s">
        <v>644</v>
      </c>
      <c r="AD5" s="78">
        <v>3</v>
      </c>
      <c r="AE5" s="77" t="s">
        <v>645</v>
      </c>
    </row>
    <row r="6" spans="1:32" ht="18" thickTop="1" thickBot="1" x14ac:dyDescent="0.25">
      <c r="A6" s="87" t="s">
        <v>646</v>
      </c>
      <c r="B6" s="88" t="s">
        <v>647</v>
      </c>
      <c r="C6" s="89" t="s">
        <v>648</v>
      </c>
      <c r="D6" s="89" t="s">
        <v>649</v>
      </c>
      <c r="E6" s="89" t="s">
        <v>650</v>
      </c>
      <c r="F6" s="89" t="s">
        <v>651</v>
      </c>
      <c r="G6" s="89" t="s">
        <v>652</v>
      </c>
      <c r="H6" s="90" t="s">
        <v>653</v>
      </c>
      <c r="I6" s="89" t="s">
        <v>654</v>
      </c>
      <c r="J6" s="91" t="s">
        <v>655</v>
      </c>
      <c r="K6" s="92" t="s">
        <v>656</v>
      </c>
      <c r="L6" s="93" t="s">
        <v>657</v>
      </c>
      <c r="M6" s="93" t="s">
        <v>658</v>
      </c>
      <c r="N6" s="93" t="s">
        <v>659</v>
      </c>
      <c r="O6" s="93" t="s">
        <v>660</v>
      </c>
      <c r="P6" s="93" t="s">
        <v>661</v>
      </c>
      <c r="Q6" s="92" t="s">
        <v>662</v>
      </c>
      <c r="R6" s="73" t="s">
        <v>663</v>
      </c>
      <c r="S6" s="93" t="s">
        <v>664</v>
      </c>
      <c r="T6" s="93" t="s">
        <v>665</v>
      </c>
      <c r="U6" s="93" t="s">
        <v>666</v>
      </c>
      <c r="V6" s="93" t="s">
        <v>667</v>
      </c>
      <c r="W6" s="93" t="s">
        <v>668</v>
      </c>
      <c r="X6" s="94" t="s">
        <v>669</v>
      </c>
      <c r="Y6" s="95"/>
      <c r="AC6" s="77" t="s">
        <v>670</v>
      </c>
      <c r="AD6" s="78">
        <v>4</v>
      </c>
      <c r="AE6" s="77" t="s">
        <v>671</v>
      </c>
    </row>
    <row r="7" spans="1:32" ht="18" thickTop="1" x14ac:dyDescent="0.2">
      <c r="A7" s="96">
        <v>0</v>
      </c>
      <c r="B7" s="97" t="str">
        <f t="shared" ref="B7:B62" si="0">IF($A7=0, $AB$2,"")</f>
        <v>•</v>
      </c>
      <c r="C7" s="97" t="str">
        <f t="shared" ref="C7:C62" si="1">IF($A7=1, $AB$2,"")</f>
        <v/>
      </c>
      <c r="D7" s="97" t="str">
        <f t="shared" ref="D7:D62" si="2">IF($A7=3, $AB$2,"")</f>
        <v/>
      </c>
      <c r="E7" s="97" t="str">
        <f t="shared" ref="E7:E62" si="3">IF($A7=4, $AB$2,"")</f>
        <v/>
      </c>
      <c r="F7" s="97" t="str">
        <f t="shared" ref="F7:F62" si="4">IF($A7=5, $AB$2,"")</f>
        <v/>
      </c>
      <c r="G7" s="97" t="str">
        <f t="shared" ref="G7:G62" si="5">IF($A7=6, $AB$2,"")</f>
        <v/>
      </c>
      <c r="H7" s="97" t="str">
        <f t="shared" ref="H7:H62" si="6">IF($A7=7, $AB$2,"")</f>
        <v/>
      </c>
      <c r="I7" s="97" t="str">
        <f t="shared" ref="I7:I62" si="7">IF($A7=8, $AB$2,"")</f>
        <v/>
      </c>
      <c r="J7" s="97" t="str">
        <f t="shared" ref="J7:J62" si="8">IF($A7=9, $AB$2,"")</f>
        <v/>
      </c>
      <c r="K7" s="98">
        <v>1</v>
      </c>
      <c r="L7" s="98">
        <f>M1</f>
        <v>1000</v>
      </c>
      <c r="M7" s="99" t="str">
        <f>M2</f>
        <v>VERTAXIS 2.5 kW</v>
      </c>
      <c r="N7" s="98" t="str">
        <f>M3</f>
        <v>A</v>
      </c>
      <c r="O7" s="98">
        <v>1</v>
      </c>
      <c r="P7" s="98"/>
      <c r="Q7" s="100"/>
      <c r="R7" s="99"/>
      <c r="S7" s="99" t="s">
        <v>672</v>
      </c>
      <c r="T7" s="99"/>
      <c r="U7" s="101">
        <f>SUM(U8:U28)*0.9</f>
        <v>4077</v>
      </c>
      <c r="V7" s="99"/>
      <c r="W7" s="99"/>
      <c r="X7" s="99"/>
      <c r="AC7" s="77" t="s">
        <v>673</v>
      </c>
      <c r="AD7" s="78">
        <v>5</v>
      </c>
      <c r="AE7" s="77" t="s">
        <v>674</v>
      </c>
    </row>
    <row r="8" spans="1:32" ht="17" x14ac:dyDescent="0.2">
      <c r="A8" s="96">
        <v>1</v>
      </c>
      <c r="B8" s="102" t="str">
        <f t="shared" si="0"/>
        <v/>
      </c>
      <c r="C8" s="102" t="str">
        <f t="shared" si="1"/>
        <v>•</v>
      </c>
      <c r="D8" s="102" t="str">
        <f t="shared" si="2"/>
        <v/>
      </c>
      <c r="E8" s="102" t="str">
        <f t="shared" si="3"/>
        <v/>
      </c>
      <c r="F8" s="102" t="str">
        <f t="shared" si="4"/>
        <v/>
      </c>
      <c r="G8" s="102" t="str">
        <f t="shared" si="5"/>
        <v/>
      </c>
      <c r="H8" s="102" t="str">
        <f t="shared" si="6"/>
        <v/>
      </c>
      <c r="I8" s="102" t="str">
        <f t="shared" si="7"/>
        <v/>
      </c>
      <c r="J8" s="102" t="str">
        <f t="shared" si="8"/>
        <v/>
      </c>
      <c r="K8" s="103">
        <v>2</v>
      </c>
      <c r="L8" s="103"/>
      <c r="M8" s="104" t="s">
        <v>675</v>
      </c>
      <c r="N8" s="103"/>
      <c r="O8" s="103"/>
      <c r="P8" s="103"/>
      <c r="Q8" s="105"/>
      <c r="R8" s="104"/>
      <c r="S8" s="104" t="s">
        <v>672</v>
      </c>
      <c r="T8" s="104"/>
      <c r="U8" s="106"/>
      <c r="V8" s="106"/>
      <c r="W8" s="104"/>
      <c r="X8" s="106">
        <f>SUM(U10:U12)</f>
        <v>920</v>
      </c>
      <c r="AC8" s="77" t="s">
        <v>676</v>
      </c>
      <c r="AD8" s="78">
        <v>6</v>
      </c>
      <c r="AE8" s="77" t="s">
        <v>677</v>
      </c>
    </row>
    <row r="9" spans="1:32" ht="17" x14ac:dyDescent="0.2">
      <c r="A9" s="96">
        <v>2</v>
      </c>
      <c r="B9" s="102" t="str">
        <f t="shared" si="0"/>
        <v/>
      </c>
      <c r="C9" s="102" t="str">
        <f t="shared" si="1"/>
        <v/>
      </c>
      <c r="D9" s="102" t="str">
        <f t="shared" si="2"/>
        <v/>
      </c>
      <c r="E9" s="102" t="str">
        <f t="shared" si="3"/>
        <v/>
      </c>
      <c r="F9" s="102" t="str">
        <f t="shared" si="4"/>
        <v/>
      </c>
      <c r="G9" s="102" t="str">
        <f t="shared" si="5"/>
        <v/>
      </c>
      <c r="H9" s="102" t="str">
        <f t="shared" si="6"/>
        <v/>
      </c>
      <c r="I9" s="102" t="str">
        <f t="shared" si="7"/>
        <v/>
      </c>
      <c r="J9" s="102" t="str">
        <f t="shared" si="8"/>
        <v/>
      </c>
      <c r="K9" s="103">
        <v>3</v>
      </c>
      <c r="L9" s="103" t="s">
        <v>937</v>
      </c>
      <c r="M9" s="104" t="s">
        <v>678</v>
      </c>
      <c r="N9" s="103"/>
      <c r="O9" s="103">
        <v>1</v>
      </c>
      <c r="P9" s="103"/>
      <c r="Q9" s="105"/>
      <c r="R9" s="104"/>
      <c r="S9" s="104" t="s">
        <v>672</v>
      </c>
      <c r="T9" s="104"/>
      <c r="U9" s="106"/>
      <c r="V9" s="106" t="s">
        <v>938</v>
      </c>
      <c r="W9" s="104"/>
      <c r="X9" s="104"/>
      <c r="AC9" s="77" t="s">
        <v>679</v>
      </c>
      <c r="AD9" s="78">
        <v>7</v>
      </c>
      <c r="AE9" s="77" t="s">
        <v>680</v>
      </c>
    </row>
    <row r="10" spans="1:32" ht="17" x14ac:dyDescent="0.2">
      <c r="A10" s="96">
        <v>3</v>
      </c>
      <c r="B10" s="102" t="str">
        <f t="shared" si="0"/>
        <v/>
      </c>
      <c r="C10" s="102" t="str">
        <f t="shared" si="1"/>
        <v/>
      </c>
      <c r="D10" s="102" t="str">
        <f t="shared" si="2"/>
        <v>•</v>
      </c>
      <c r="E10" s="102" t="str">
        <f t="shared" si="3"/>
        <v/>
      </c>
      <c r="F10" s="102" t="str">
        <f t="shared" si="4"/>
        <v/>
      </c>
      <c r="G10" s="102" t="str">
        <f t="shared" si="5"/>
        <v/>
      </c>
      <c r="H10" s="102" t="str">
        <f t="shared" si="6"/>
        <v/>
      </c>
      <c r="I10" s="102" t="str">
        <f t="shared" si="7"/>
        <v/>
      </c>
      <c r="J10" s="102" t="str">
        <f t="shared" si="8"/>
        <v/>
      </c>
      <c r="K10" s="103">
        <v>4</v>
      </c>
      <c r="L10" s="103"/>
      <c r="M10" s="104" t="s">
        <v>681</v>
      </c>
      <c r="N10" s="103"/>
      <c r="O10" s="103">
        <v>1</v>
      </c>
      <c r="P10" s="103"/>
      <c r="Q10" s="105"/>
      <c r="R10" s="104"/>
      <c r="S10" s="104" t="s">
        <v>672</v>
      </c>
      <c r="T10" s="104"/>
      <c r="U10" s="106">
        <v>120</v>
      </c>
      <c r="V10" s="104" t="s">
        <v>682</v>
      </c>
      <c r="W10" s="104"/>
      <c r="X10" s="106"/>
      <c r="AC10" s="77" t="s">
        <v>683</v>
      </c>
      <c r="AD10" s="78">
        <v>8</v>
      </c>
      <c r="AE10" s="77" t="s">
        <v>684</v>
      </c>
    </row>
    <row r="11" spans="1:32" ht="18" thickBot="1" x14ac:dyDescent="0.25">
      <c r="A11" s="96">
        <v>3</v>
      </c>
      <c r="B11" s="102" t="str">
        <f t="shared" si="0"/>
        <v/>
      </c>
      <c r="C11" s="102" t="str">
        <f t="shared" si="1"/>
        <v/>
      </c>
      <c r="D11" s="102" t="str">
        <f t="shared" si="2"/>
        <v>•</v>
      </c>
      <c r="E11" s="102" t="str">
        <f t="shared" si="3"/>
        <v/>
      </c>
      <c r="F11" s="102" t="str">
        <f t="shared" si="4"/>
        <v/>
      </c>
      <c r="G11" s="102" t="str">
        <f t="shared" si="5"/>
        <v/>
      </c>
      <c r="H11" s="102" t="str">
        <f t="shared" si="6"/>
        <v/>
      </c>
      <c r="I11" s="102" t="str">
        <f t="shared" si="7"/>
        <v/>
      </c>
      <c r="J11" s="102" t="str">
        <f t="shared" si="8"/>
        <v/>
      </c>
      <c r="K11" s="103">
        <v>5</v>
      </c>
      <c r="L11" s="103"/>
      <c r="M11" s="104" t="s">
        <v>685</v>
      </c>
      <c r="N11" s="103"/>
      <c r="O11" s="103">
        <v>3</v>
      </c>
      <c r="P11" s="103"/>
      <c r="Q11" s="105"/>
      <c r="R11" s="104"/>
      <c r="S11" s="104" t="s">
        <v>672</v>
      </c>
      <c r="T11" s="104"/>
      <c r="U11" s="106">
        <v>50</v>
      </c>
      <c r="V11" s="104" t="s">
        <v>686</v>
      </c>
      <c r="W11" s="104"/>
      <c r="X11" s="106"/>
      <c r="AC11" s="77" t="s">
        <v>687</v>
      </c>
      <c r="AD11" s="82" t="s">
        <v>637</v>
      </c>
      <c r="AE11" s="77" t="s">
        <v>688</v>
      </c>
    </row>
    <row r="12" spans="1:32" ht="17" x14ac:dyDescent="0.2">
      <c r="A12" s="96">
        <v>2</v>
      </c>
      <c r="B12" s="102" t="str">
        <f t="shared" si="0"/>
        <v/>
      </c>
      <c r="C12" s="102" t="str">
        <f t="shared" si="1"/>
        <v/>
      </c>
      <c r="D12" s="102" t="str">
        <f t="shared" si="2"/>
        <v/>
      </c>
      <c r="E12" s="102" t="str">
        <f t="shared" si="3"/>
        <v/>
      </c>
      <c r="F12" s="102" t="str">
        <f t="shared" si="4"/>
        <v/>
      </c>
      <c r="G12" s="102" t="str">
        <f t="shared" si="5"/>
        <v/>
      </c>
      <c r="H12" s="102" t="str">
        <f t="shared" si="6"/>
        <v/>
      </c>
      <c r="I12" s="102" t="str">
        <f t="shared" si="7"/>
        <v/>
      </c>
      <c r="J12" s="102" t="str">
        <f t="shared" si="8"/>
        <v/>
      </c>
      <c r="K12" s="103">
        <v>6</v>
      </c>
      <c r="L12" s="103"/>
      <c r="M12" s="104" t="s">
        <v>689</v>
      </c>
      <c r="N12" s="103"/>
      <c r="O12" s="103">
        <v>4</v>
      </c>
      <c r="P12" s="103"/>
      <c r="Q12" s="105"/>
      <c r="R12" s="104"/>
      <c r="S12" s="104" t="s">
        <v>672</v>
      </c>
      <c r="T12" s="104"/>
      <c r="U12" s="106">
        <v>750</v>
      </c>
      <c r="V12" s="104" t="s">
        <v>690</v>
      </c>
      <c r="W12" s="104"/>
      <c r="X12" s="106"/>
      <c r="AC12" s="77" t="s">
        <v>691</v>
      </c>
      <c r="AE12" s="77" t="s">
        <v>683</v>
      </c>
    </row>
    <row r="13" spans="1:32" ht="17" x14ac:dyDescent="0.2">
      <c r="A13" s="96">
        <v>1</v>
      </c>
      <c r="B13" s="102" t="str">
        <f t="shared" si="0"/>
        <v/>
      </c>
      <c r="C13" s="102" t="str">
        <f t="shared" si="1"/>
        <v>•</v>
      </c>
      <c r="D13" s="102" t="str">
        <f t="shared" si="2"/>
        <v/>
      </c>
      <c r="E13" s="102" t="str">
        <f t="shared" si="3"/>
        <v/>
      </c>
      <c r="F13" s="102" t="str">
        <f t="shared" si="4"/>
        <v/>
      </c>
      <c r="G13" s="102" t="str">
        <f t="shared" si="5"/>
        <v/>
      </c>
      <c r="H13" s="102" t="str">
        <f t="shared" si="6"/>
        <v/>
      </c>
      <c r="I13" s="102" t="str">
        <f t="shared" si="7"/>
        <v/>
      </c>
      <c r="J13" s="102" t="str">
        <f t="shared" si="8"/>
        <v/>
      </c>
      <c r="K13" s="103">
        <v>8</v>
      </c>
      <c r="L13" s="103"/>
      <c r="M13" s="104" t="s">
        <v>692</v>
      </c>
      <c r="N13" s="103"/>
      <c r="O13" s="103">
        <v>3</v>
      </c>
      <c r="P13" s="103"/>
      <c r="Q13" s="105"/>
      <c r="R13" s="104"/>
      <c r="S13" s="104" t="s">
        <v>672</v>
      </c>
      <c r="T13" s="104"/>
      <c r="U13" s="106"/>
      <c r="V13" s="106"/>
      <c r="W13" s="104"/>
      <c r="X13" s="106">
        <f>SUM(U14:U18)</f>
        <v>400</v>
      </c>
      <c r="AC13" s="77" t="s">
        <v>693</v>
      </c>
      <c r="AE13" s="77" t="s">
        <v>687</v>
      </c>
    </row>
    <row r="14" spans="1:32" ht="17" x14ac:dyDescent="0.2">
      <c r="A14" s="96">
        <v>2</v>
      </c>
      <c r="B14" s="102" t="str">
        <f t="shared" si="0"/>
        <v/>
      </c>
      <c r="C14" s="102" t="str">
        <f t="shared" si="1"/>
        <v/>
      </c>
      <c r="D14" s="102" t="str">
        <f t="shared" si="2"/>
        <v/>
      </c>
      <c r="E14" s="102" t="str">
        <f t="shared" si="3"/>
        <v/>
      </c>
      <c r="F14" s="102" t="str">
        <f t="shared" si="4"/>
        <v/>
      </c>
      <c r="G14" s="102" t="str">
        <f t="shared" si="5"/>
        <v/>
      </c>
      <c r="H14" s="102" t="str">
        <f t="shared" si="6"/>
        <v/>
      </c>
      <c r="I14" s="102" t="str">
        <f t="shared" si="7"/>
        <v/>
      </c>
      <c r="J14" s="102" t="str">
        <f t="shared" si="8"/>
        <v/>
      </c>
      <c r="K14" s="103">
        <v>9</v>
      </c>
      <c r="L14" s="103"/>
      <c r="M14" s="104" t="s">
        <v>694</v>
      </c>
      <c r="N14" s="103"/>
      <c r="O14" s="103">
        <v>1</v>
      </c>
      <c r="P14" s="103"/>
      <c r="Q14" s="105"/>
      <c r="R14" s="104"/>
      <c r="S14" s="104" t="s">
        <v>672</v>
      </c>
      <c r="T14" s="104"/>
      <c r="U14" s="106">
        <v>250</v>
      </c>
      <c r="V14" s="104" t="s">
        <v>695</v>
      </c>
      <c r="W14" s="104"/>
      <c r="X14" s="106"/>
      <c r="AC14" s="77" t="s">
        <v>696</v>
      </c>
      <c r="AE14" s="77" t="s">
        <v>697</v>
      </c>
    </row>
    <row r="15" spans="1:32" ht="18" thickBot="1" x14ac:dyDescent="0.25">
      <c r="A15" s="96">
        <v>2</v>
      </c>
      <c r="B15" s="102" t="str">
        <f t="shared" si="0"/>
        <v/>
      </c>
      <c r="C15" s="102" t="str">
        <f t="shared" si="1"/>
        <v/>
      </c>
      <c r="D15" s="102" t="str">
        <f t="shared" si="2"/>
        <v/>
      </c>
      <c r="E15" s="102" t="str">
        <f t="shared" si="3"/>
        <v/>
      </c>
      <c r="F15" s="102" t="str">
        <f t="shared" si="4"/>
        <v/>
      </c>
      <c r="G15" s="102" t="str">
        <f t="shared" si="5"/>
        <v/>
      </c>
      <c r="H15" s="102" t="str">
        <f t="shared" si="6"/>
        <v/>
      </c>
      <c r="I15" s="102" t="str">
        <f t="shared" si="7"/>
        <v/>
      </c>
      <c r="J15" s="102" t="str">
        <f t="shared" si="8"/>
        <v/>
      </c>
      <c r="K15" s="103">
        <v>10</v>
      </c>
      <c r="L15" s="103"/>
      <c r="M15" s="104" t="s">
        <v>698</v>
      </c>
      <c r="N15" s="103"/>
      <c r="O15" s="103">
        <v>1</v>
      </c>
      <c r="P15" s="103"/>
      <c r="Q15" s="105"/>
      <c r="R15" s="104"/>
      <c r="S15" s="104" t="s">
        <v>672</v>
      </c>
      <c r="T15" s="104"/>
      <c r="U15" s="106">
        <v>40</v>
      </c>
      <c r="V15" s="104" t="s">
        <v>690</v>
      </c>
      <c r="W15" s="104"/>
      <c r="X15" s="106"/>
      <c r="AC15" s="107" t="s">
        <v>699</v>
      </c>
      <c r="AE15" s="77" t="s">
        <v>700</v>
      </c>
    </row>
    <row r="16" spans="1:32" ht="17" x14ac:dyDescent="0.2">
      <c r="A16" s="96">
        <v>3</v>
      </c>
      <c r="B16" s="102" t="str">
        <f t="shared" si="0"/>
        <v/>
      </c>
      <c r="C16" s="102" t="str">
        <f t="shared" si="1"/>
        <v/>
      </c>
      <c r="D16" s="102" t="str">
        <f t="shared" si="2"/>
        <v>•</v>
      </c>
      <c r="E16" s="102" t="str">
        <f t="shared" si="3"/>
        <v/>
      </c>
      <c r="F16" s="102" t="str">
        <f t="shared" si="4"/>
        <v/>
      </c>
      <c r="G16" s="102" t="str">
        <f t="shared" si="5"/>
        <v/>
      </c>
      <c r="H16" s="102" t="str">
        <f t="shared" si="6"/>
        <v/>
      </c>
      <c r="I16" s="102" t="str">
        <f t="shared" si="7"/>
        <v/>
      </c>
      <c r="J16" s="102" t="str">
        <f t="shared" si="8"/>
        <v/>
      </c>
      <c r="K16" s="103">
        <v>11</v>
      </c>
      <c r="L16" s="103"/>
      <c r="M16" s="104" t="s">
        <v>701</v>
      </c>
      <c r="N16" s="103"/>
      <c r="O16" s="103">
        <v>3</v>
      </c>
      <c r="P16" s="103"/>
      <c r="Q16" s="105"/>
      <c r="R16" s="104"/>
      <c r="S16" s="104" t="s">
        <v>672</v>
      </c>
      <c r="T16" s="104"/>
      <c r="U16" s="106">
        <v>35</v>
      </c>
      <c r="V16" s="104" t="s">
        <v>702</v>
      </c>
      <c r="W16" s="104"/>
      <c r="X16" s="106"/>
      <c r="AC16" s="96"/>
      <c r="AE16" s="77" t="s">
        <v>703</v>
      </c>
    </row>
    <row r="17" spans="1:31" ht="17" x14ac:dyDescent="0.2">
      <c r="A17" s="96">
        <v>2</v>
      </c>
      <c r="B17" s="102" t="str">
        <f t="shared" si="0"/>
        <v/>
      </c>
      <c r="C17" s="102" t="str">
        <f t="shared" si="1"/>
        <v/>
      </c>
      <c r="D17" s="102" t="str">
        <f t="shared" si="2"/>
        <v/>
      </c>
      <c r="E17" s="102" t="str">
        <f t="shared" si="3"/>
        <v/>
      </c>
      <c r="F17" s="102" t="str">
        <f t="shared" si="4"/>
        <v/>
      </c>
      <c r="G17" s="102" t="str">
        <f t="shared" si="5"/>
        <v/>
      </c>
      <c r="H17" s="102" t="str">
        <f t="shared" si="6"/>
        <v/>
      </c>
      <c r="I17" s="102" t="str">
        <f t="shared" si="7"/>
        <v/>
      </c>
      <c r="J17" s="102" t="str">
        <f t="shared" si="8"/>
        <v/>
      </c>
      <c r="K17" s="103">
        <v>12</v>
      </c>
      <c r="L17" s="103"/>
      <c r="M17" s="104" t="s">
        <v>704</v>
      </c>
      <c r="N17" s="103"/>
      <c r="O17" s="103">
        <v>1</v>
      </c>
      <c r="P17" s="103"/>
      <c r="Q17" s="105"/>
      <c r="R17" s="104"/>
      <c r="S17" s="104" t="s">
        <v>672</v>
      </c>
      <c r="T17" s="104"/>
      <c r="U17" s="106">
        <v>40</v>
      </c>
      <c r="V17" s="104" t="s">
        <v>690</v>
      </c>
      <c r="W17" s="104"/>
      <c r="X17" s="106"/>
      <c r="AE17" s="77" t="s">
        <v>705</v>
      </c>
    </row>
    <row r="18" spans="1:31" ht="17" x14ac:dyDescent="0.2">
      <c r="A18" s="96">
        <v>3</v>
      </c>
      <c r="B18" s="102" t="str">
        <f t="shared" si="0"/>
        <v/>
      </c>
      <c r="C18" s="102" t="str">
        <f t="shared" si="1"/>
        <v/>
      </c>
      <c r="D18" s="102" t="str">
        <f t="shared" si="2"/>
        <v>•</v>
      </c>
      <c r="E18" s="102" t="str">
        <f t="shared" si="3"/>
        <v/>
      </c>
      <c r="F18" s="102" t="str">
        <f t="shared" si="4"/>
        <v/>
      </c>
      <c r="G18" s="102" t="str">
        <f t="shared" si="5"/>
        <v/>
      </c>
      <c r="H18" s="102" t="str">
        <f t="shared" si="6"/>
        <v/>
      </c>
      <c r="I18" s="102" t="str">
        <f t="shared" si="7"/>
        <v/>
      </c>
      <c r="J18" s="102" t="str">
        <f t="shared" si="8"/>
        <v/>
      </c>
      <c r="K18" s="103">
        <v>13</v>
      </c>
      <c r="L18" s="103"/>
      <c r="M18" s="104" t="s">
        <v>706</v>
      </c>
      <c r="N18" s="103"/>
      <c r="O18" s="103">
        <v>3</v>
      </c>
      <c r="P18" s="103"/>
      <c r="Q18" s="105"/>
      <c r="R18" s="104"/>
      <c r="S18" s="104" t="s">
        <v>672</v>
      </c>
      <c r="T18" s="104"/>
      <c r="U18" s="106">
        <v>35</v>
      </c>
      <c r="V18" s="104" t="s">
        <v>702</v>
      </c>
      <c r="W18" s="104"/>
      <c r="X18" s="106"/>
      <c r="AE18" s="77" t="s">
        <v>707</v>
      </c>
    </row>
    <row r="19" spans="1:31" ht="17" x14ac:dyDescent="0.2">
      <c r="A19" s="96">
        <v>1</v>
      </c>
      <c r="B19" s="102" t="str">
        <f t="shared" si="0"/>
        <v/>
      </c>
      <c r="C19" s="102" t="str">
        <f t="shared" si="1"/>
        <v>•</v>
      </c>
      <c r="D19" s="102" t="str">
        <f t="shared" si="2"/>
        <v/>
      </c>
      <c r="E19" s="102" t="str">
        <f t="shared" si="3"/>
        <v/>
      </c>
      <c r="F19" s="102" t="str">
        <f t="shared" si="4"/>
        <v/>
      </c>
      <c r="G19" s="102" t="str">
        <f t="shared" si="5"/>
        <v/>
      </c>
      <c r="H19" s="102" t="str">
        <f t="shared" si="6"/>
        <v/>
      </c>
      <c r="I19" s="102" t="str">
        <f t="shared" si="7"/>
        <v/>
      </c>
      <c r="J19" s="102" t="str">
        <f t="shared" si="8"/>
        <v/>
      </c>
      <c r="K19" s="103">
        <v>14</v>
      </c>
      <c r="L19" s="103"/>
      <c r="M19" s="104" t="s">
        <v>708</v>
      </c>
      <c r="N19" s="103"/>
      <c r="O19" s="103">
        <v>1</v>
      </c>
      <c r="P19" s="103"/>
      <c r="Q19" s="105"/>
      <c r="R19" s="104"/>
      <c r="S19" s="104" t="s">
        <v>709</v>
      </c>
      <c r="T19" s="104"/>
      <c r="U19" s="106"/>
      <c r="V19" s="106"/>
      <c r="W19" s="104"/>
      <c r="X19" s="106">
        <f>SUM(U20:U23)</f>
        <v>260</v>
      </c>
      <c r="AE19" s="77" t="s">
        <v>710</v>
      </c>
    </row>
    <row r="20" spans="1:31" ht="17" x14ac:dyDescent="0.2">
      <c r="A20" s="96">
        <v>2</v>
      </c>
      <c r="B20" s="102" t="str">
        <f t="shared" si="0"/>
        <v/>
      </c>
      <c r="C20" s="102" t="str">
        <f t="shared" si="1"/>
        <v/>
      </c>
      <c r="D20" s="102" t="str">
        <f t="shared" si="2"/>
        <v/>
      </c>
      <c r="E20" s="102" t="str">
        <f t="shared" si="3"/>
        <v/>
      </c>
      <c r="F20" s="102" t="str">
        <f t="shared" si="4"/>
        <v/>
      </c>
      <c r="G20" s="102" t="str">
        <f t="shared" si="5"/>
        <v/>
      </c>
      <c r="H20" s="102" t="str">
        <f t="shared" si="6"/>
        <v/>
      </c>
      <c r="I20" s="102" t="str">
        <f t="shared" si="7"/>
        <v/>
      </c>
      <c r="J20" s="102" t="str">
        <f t="shared" si="8"/>
        <v/>
      </c>
      <c r="K20" s="103">
        <v>15</v>
      </c>
      <c r="L20" s="103"/>
      <c r="M20" s="104" t="s">
        <v>711</v>
      </c>
      <c r="N20" s="103"/>
      <c r="O20" s="103">
        <v>1</v>
      </c>
      <c r="P20" s="103"/>
      <c r="Q20" s="105"/>
      <c r="R20" s="104"/>
      <c r="S20" s="104" t="s">
        <v>709</v>
      </c>
      <c r="T20" s="104"/>
      <c r="U20" s="106">
        <v>25</v>
      </c>
      <c r="V20" s="104" t="s">
        <v>712</v>
      </c>
      <c r="W20" s="104"/>
      <c r="X20" s="106"/>
      <c r="AE20" s="77" t="s">
        <v>713</v>
      </c>
    </row>
    <row r="21" spans="1:31" ht="17" x14ac:dyDescent="0.2">
      <c r="A21" s="96">
        <v>3</v>
      </c>
      <c r="B21" s="102" t="str">
        <f t="shared" si="0"/>
        <v/>
      </c>
      <c r="C21" s="102" t="str">
        <f t="shared" si="1"/>
        <v/>
      </c>
      <c r="D21" s="102" t="str">
        <f t="shared" si="2"/>
        <v>•</v>
      </c>
      <c r="E21" s="102" t="str">
        <f t="shared" si="3"/>
        <v/>
      </c>
      <c r="F21" s="102" t="str">
        <f t="shared" si="4"/>
        <v/>
      </c>
      <c r="G21" s="102" t="str">
        <f t="shared" si="5"/>
        <v/>
      </c>
      <c r="H21" s="102" t="str">
        <f t="shared" si="6"/>
        <v/>
      </c>
      <c r="I21" s="102" t="str">
        <f t="shared" si="7"/>
        <v/>
      </c>
      <c r="J21" s="102" t="str">
        <f t="shared" si="8"/>
        <v/>
      </c>
      <c r="K21" s="103">
        <v>17</v>
      </c>
      <c r="L21" s="103"/>
      <c r="M21" s="104" t="s">
        <v>714</v>
      </c>
      <c r="N21" s="103"/>
      <c r="O21" s="103">
        <v>1</v>
      </c>
      <c r="P21" s="103"/>
      <c r="Q21" s="105"/>
      <c r="R21" s="104"/>
      <c r="S21" s="104" t="s">
        <v>709</v>
      </c>
      <c r="T21" s="104"/>
      <c r="U21" s="106">
        <v>130</v>
      </c>
      <c r="V21" s="104" t="s">
        <v>715</v>
      </c>
      <c r="W21" s="104"/>
      <c r="X21" s="106"/>
      <c r="AE21" s="77" t="s">
        <v>716</v>
      </c>
    </row>
    <row r="22" spans="1:31" ht="17" x14ac:dyDescent="0.2">
      <c r="A22" s="96">
        <v>2</v>
      </c>
      <c r="B22" s="102" t="str">
        <f t="shared" si="0"/>
        <v/>
      </c>
      <c r="C22" s="102" t="str">
        <f t="shared" si="1"/>
        <v/>
      </c>
      <c r="D22" s="102" t="str">
        <f t="shared" si="2"/>
        <v/>
      </c>
      <c r="E22" s="102" t="str">
        <f t="shared" si="3"/>
        <v/>
      </c>
      <c r="F22" s="102" t="str">
        <f t="shared" si="4"/>
        <v/>
      </c>
      <c r="G22" s="102" t="str">
        <f t="shared" si="5"/>
        <v/>
      </c>
      <c r="H22" s="102" t="str">
        <f t="shared" si="6"/>
        <v/>
      </c>
      <c r="I22" s="102" t="str">
        <f t="shared" si="7"/>
        <v/>
      </c>
      <c r="J22" s="102" t="str">
        <f t="shared" si="8"/>
        <v/>
      </c>
      <c r="K22" s="103">
        <v>18</v>
      </c>
      <c r="L22" s="103"/>
      <c r="M22" s="104" t="s">
        <v>717</v>
      </c>
      <c r="N22" s="103"/>
      <c r="O22" s="103">
        <v>1</v>
      </c>
      <c r="P22" s="103"/>
      <c r="Q22" s="105"/>
      <c r="R22" s="104"/>
      <c r="S22" s="104" t="s">
        <v>709</v>
      </c>
      <c r="T22" s="104"/>
      <c r="U22" s="106">
        <v>25</v>
      </c>
      <c r="V22" s="104" t="s">
        <v>712</v>
      </c>
      <c r="W22" s="104"/>
      <c r="X22" s="106"/>
      <c r="AE22" s="77" t="s">
        <v>718</v>
      </c>
    </row>
    <row r="23" spans="1:31" ht="17" x14ac:dyDescent="0.2">
      <c r="A23" s="96">
        <v>3</v>
      </c>
      <c r="B23" s="102" t="str">
        <f t="shared" si="0"/>
        <v/>
      </c>
      <c r="C23" s="102" t="str">
        <f t="shared" si="1"/>
        <v/>
      </c>
      <c r="D23" s="102" t="str">
        <f t="shared" si="2"/>
        <v>•</v>
      </c>
      <c r="E23" s="102" t="str">
        <f t="shared" si="3"/>
        <v/>
      </c>
      <c r="F23" s="102" t="str">
        <f t="shared" si="4"/>
        <v/>
      </c>
      <c r="G23" s="102" t="str">
        <f t="shared" si="5"/>
        <v/>
      </c>
      <c r="H23" s="102" t="str">
        <f t="shared" si="6"/>
        <v/>
      </c>
      <c r="I23" s="102" t="str">
        <f t="shared" si="7"/>
        <v/>
      </c>
      <c r="J23" s="102" t="str">
        <f t="shared" si="8"/>
        <v/>
      </c>
      <c r="K23" s="103">
        <v>21</v>
      </c>
      <c r="L23" s="103"/>
      <c r="M23" s="104" t="s">
        <v>719</v>
      </c>
      <c r="N23" s="103"/>
      <c r="O23" s="103">
        <v>1</v>
      </c>
      <c r="P23" s="103"/>
      <c r="Q23" s="105"/>
      <c r="R23" s="104"/>
      <c r="S23" s="104" t="s">
        <v>709</v>
      </c>
      <c r="T23" s="104"/>
      <c r="U23" s="106">
        <v>80</v>
      </c>
      <c r="V23" s="104" t="s">
        <v>720</v>
      </c>
      <c r="W23" s="104"/>
      <c r="X23" s="106"/>
      <c r="AE23" s="77" t="s">
        <v>721</v>
      </c>
    </row>
    <row r="24" spans="1:31" ht="17" x14ac:dyDescent="0.2">
      <c r="A24" s="96">
        <v>1</v>
      </c>
      <c r="B24" s="102" t="str">
        <f t="shared" si="0"/>
        <v/>
      </c>
      <c r="C24" s="102" t="str">
        <f t="shared" si="1"/>
        <v>•</v>
      </c>
      <c r="D24" s="102" t="str">
        <f t="shared" si="2"/>
        <v/>
      </c>
      <c r="E24" s="102" t="str">
        <f t="shared" si="3"/>
        <v/>
      </c>
      <c r="F24" s="102" t="str">
        <f t="shared" si="4"/>
        <v/>
      </c>
      <c r="G24" s="102" t="str">
        <f t="shared" si="5"/>
        <v/>
      </c>
      <c r="H24" s="102" t="str">
        <f t="shared" si="6"/>
        <v/>
      </c>
      <c r="I24" s="102" t="str">
        <f t="shared" si="7"/>
        <v/>
      </c>
      <c r="J24" s="102" t="str">
        <f t="shared" si="8"/>
        <v/>
      </c>
      <c r="K24" s="103">
        <v>22</v>
      </c>
      <c r="L24" s="103"/>
      <c r="M24" s="104" t="s">
        <v>722</v>
      </c>
      <c r="N24" s="103"/>
      <c r="O24" s="103">
        <v>1</v>
      </c>
      <c r="P24" s="103"/>
      <c r="Q24" s="105"/>
      <c r="R24" s="104"/>
      <c r="S24" s="104" t="s">
        <v>709</v>
      </c>
      <c r="T24" s="104" t="s">
        <v>723</v>
      </c>
      <c r="U24" s="106">
        <v>500</v>
      </c>
      <c r="V24" s="104"/>
      <c r="W24" s="104"/>
      <c r="X24" s="106"/>
      <c r="AE24" s="77" t="s">
        <v>724</v>
      </c>
    </row>
    <row r="25" spans="1:31" ht="17" x14ac:dyDescent="0.2">
      <c r="A25" s="96">
        <v>1</v>
      </c>
      <c r="B25" s="102" t="str">
        <f t="shared" si="0"/>
        <v/>
      </c>
      <c r="C25" s="102" t="str">
        <f t="shared" si="1"/>
        <v>•</v>
      </c>
      <c r="D25" s="102" t="str">
        <f t="shared" si="2"/>
        <v/>
      </c>
      <c r="E25" s="102" t="str">
        <f t="shared" si="3"/>
        <v/>
      </c>
      <c r="F25" s="102" t="str">
        <f t="shared" si="4"/>
        <v/>
      </c>
      <c r="G25" s="102" t="str">
        <f t="shared" si="5"/>
        <v/>
      </c>
      <c r="H25" s="102" t="str">
        <f t="shared" si="6"/>
        <v/>
      </c>
      <c r="I25" s="102" t="str">
        <f t="shared" si="7"/>
        <v/>
      </c>
      <c r="J25" s="102" t="str">
        <f t="shared" si="8"/>
        <v/>
      </c>
      <c r="K25" s="103">
        <v>23</v>
      </c>
      <c r="L25" s="103"/>
      <c r="M25" s="104" t="s">
        <v>725</v>
      </c>
      <c r="N25" s="103"/>
      <c r="O25" s="103">
        <v>1</v>
      </c>
      <c r="P25" s="103"/>
      <c r="Q25" s="105"/>
      <c r="R25" s="104"/>
      <c r="S25" s="104" t="s">
        <v>709</v>
      </c>
      <c r="T25" s="104" t="s">
        <v>723</v>
      </c>
      <c r="U25" s="106">
        <v>200</v>
      </c>
      <c r="V25" s="104"/>
      <c r="W25" s="104"/>
      <c r="X25" s="106"/>
      <c r="AE25" s="77" t="s">
        <v>726</v>
      </c>
    </row>
    <row r="26" spans="1:31" ht="17" x14ac:dyDescent="0.2">
      <c r="A26" s="96">
        <v>1</v>
      </c>
      <c r="B26" s="102" t="str">
        <f t="shared" si="0"/>
        <v/>
      </c>
      <c r="C26" s="102" t="str">
        <f t="shared" si="1"/>
        <v>•</v>
      </c>
      <c r="D26" s="102" t="str">
        <f t="shared" si="2"/>
        <v/>
      </c>
      <c r="E26" s="102" t="str">
        <f t="shared" si="3"/>
        <v/>
      </c>
      <c r="F26" s="102" t="str">
        <f t="shared" si="4"/>
        <v/>
      </c>
      <c r="G26" s="102" t="str">
        <f t="shared" si="5"/>
        <v/>
      </c>
      <c r="H26" s="102" t="str">
        <f t="shared" si="6"/>
        <v/>
      </c>
      <c r="I26" s="102" t="str">
        <f t="shared" si="7"/>
        <v/>
      </c>
      <c r="J26" s="102" t="str">
        <f t="shared" si="8"/>
        <v/>
      </c>
      <c r="K26" s="103">
        <v>24</v>
      </c>
      <c r="L26" s="103"/>
      <c r="M26" s="104" t="s">
        <v>727</v>
      </c>
      <c r="N26" s="103"/>
      <c r="O26" s="103">
        <v>1</v>
      </c>
      <c r="P26" s="103"/>
      <c r="Q26" s="105"/>
      <c r="R26" s="104"/>
      <c r="S26" s="104" t="s">
        <v>709</v>
      </c>
      <c r="T26" s="104" t="s">
        <v>723</v>
      </c>
      <c r="U26" s="106">
        <v>2000</v>
      </c>
      <c r="V26" s="104"/>
      <c r="W26" s="104"/>
      <c r="X26" s="106"/>
      <c r="AE26" s="77" t="s">
        <v>728</v>
      </c>
    </row>
    <row r="27" spans="1:31" ht="17" x14ac:dyDescent="0.2">
      <c r="A27" s="96">
        <v>1</v>
      </c>
      <c r="B27" s="102" t="str">
        <f t="shared" si="0"/>
        <v/>
      </c>
      <c r="C27" s="102" t="str">
        <f t="shared" si="1"/>
        <v>•</v>
      </c>
      <c r="D27" s="102" t="str">
        <f t="shared" si="2"/>
        <v/>
      </c>
      <c r="E27" s="102" t="str">
        <f t="shared" si="3"/>
        <v/>
      </c>
      <c r="F27" s="102" t="str">
        <f t="shared" si="4"/>
        <v/>
      </c>
      <c r="G27" s="102" t="str">
        <f t="shared" si="5"/>
        <v/>
      </c>
      <c r="H27" s="102" t="str">
        <f t="shared" si="6"/>
        <v/>
      </c>
      <c r="I27" s="102" t="str">
        <f t="shared" si="7"/>
        <v/>
      </c>
      <c r="J27" s="102" t="str">
        <f t="shared" si="8"/>
        <v/>
      </c>
      <c r="K27" s="103">
        <v>25</v>
      </c>
      <c r="L27" s="103"/>
      <c r="M27" s="104" t="s">
        <v>729</v>
      </c>
      <c r="N27" s="103"/>
      <c r="O27" s="103">
        <v>1</v>
      </c>
      <c r="P27" s="103"/>
      <c r="Q27" s="105"/>
      <c r="R27" s="104"/>
      <c r="S27" s="104" t="s">
        <v>709</v>
      </c>
      <c r="T27" s="104" t="s">
        <v>723</v>
      </c>
      <c r="U27" s="106">
        <v>200</v>
      </c>
      <c r="V27" s="104"/>
      <c r="W27" s="104"/>
      <c r="X27" s="106"/>
      <c r="AE27" s="77" t="s">
        <v>730</v>
      </c>
    </row>
    <row r="28" spans="1:31" ht="17" x14ac:dyDescent="0.2">
      <c r="A28" s="96">
        <v>1</v>
      </c>
      <c r="B28" s="102" t="str">
        <f t="shared" si="0"/>
        <v/>
      </c>
      <c r="C28" s="102" t="str">
        <f t="shared" si="1"/>
        <v>•</v>
      </c>
      <c r="D28" s="102" t="str">
        <f t="shared" si="2"/>
        <v/>
      </c>
      <c r="E28" s="102" t="str">
        <f t="shared" si="3"/>
        <v/>
      </c>
      <c r="F28" s="102" t="str">
        <f t="shared" si="4"/>
        <v/>
      </c>
      <c r="G28" s="102" t="str">
        <f t="shared" si="5"/>
        <v/>
      </c>
      <c r="H28" s="102" t="str">
        <f t="shared" si="6"/>
        <v/>
      </c>
      <c r="I28" s="102" t="str">
        <f t="shared" si="7"/>
        <v/>
      </c>
      <c r="J28" s="102" t="str">
        <f t="shared" si="8"/>
        <v/>
      </c>
      <c r="K28" s="103">
        <v>26</v>
      </c>
      <c r="L28" s="103"/>
      <c r="M28" s="104" t="s">
        <v>731</v>
      </c>
      <c r="N28" s="103"/>
      <c r="O28" s="103">
        <v>2</v>
      </c>
      <c r="P28" s="103"/>
      <c r="Q28" s="105"/>
      <c r="R28" s="104"/>
      <c r="S28" s="104" t="s">
        <v>709</v>
      </c>
      <c r="T28" s="104" t="s">
        <v>723</v>
      </c>
      <c r="U28" s="106">
        <v>50</v>
      </c>
      <c r="V28" s="104"/>
      <c r="W28" s="104"/>
      <c r="X28" s="106"/>
      <c r="AE28" s="77" t="s">
        <v>732</v>
      </c>
    </row>
    <row r="29" spans="1:31" x14ac:dyDescent="0.2">
      <c r="A29" s="96">
        <v>1</v>
      </c>
      <c r="B29" s="102" t="str">
        <f t="shared" si="0"/>
        <v/>
      </c>
      <c r="C29" s="102" t="str">
        <f t="shared" si="1"/>
        <v>•</v>
      </c>
      <c r="D29" s="102" t="str">
        <f t="shared" si="2"/>
        <v/>
      </c>
      <c r="E29" s="102" t="str">
        <f t="shared" si="3"/>
        <v/>
      </c>
      <c r="F29" s="102" t="str">
        <f t="shared" si="4"/>
        <v/>
      </c>
      <c r="G29" s="102" t="str">
        <f t="shared" si="5"/>
        <v/>
      </c>
      <c r="H29" s="102" t="str">
        <f t="shared" si="6"/>
        <v/>
      </c>
      <c r="I29" s="102" t="str">
        <f t="shared" si="7"/>
        <v/>
      </c>
      <c r="J29" s="102" t="str">
        <f t="shared" si="8"/>
        <v/>
      </c>
      <c r="K29" s="103">
        <v>27</v>
      </c>
      <c r="L29" s="103"/>
      <c r="M29" s="104"/>
      <c r="N29" s="103"/>
      <c r="O29" s="103"/>
      <c r="P29" s="103"/>
      <c r="Q29" s="105"/>
      <c r="R29" s="104"/>
      <c r="S29" s="104"/>
      <c r="T29" s="104"/>
      <c r="U29" s="106"/>
      <c r="V29" s="104"/>
      <c r="W29" s="104"/>
      <c r="X29" s="104"/>
      <c r="AE29" s="77" t="s">
        <v>733</v>
      </c>
    </row>
    <row r="30" spans="1:31" x14ac:dyDescent="0.2">
      <c r="A30" s="96">
        <v>1</v>
      </c>
      <c r="B30" s="102" t="str">
        <f t="shared" si="0"/>
        <v/>
      </c>
      <c r="C30" s="102" t="str">
        <f t="shared" si="1"/>
        <v>•</v>
      </c>
      <c r="D30" s="102" t="str">
        <f t="shared" si="2"/>
        <v/>
      </c>
      <c r="E30" s="102" t="str">
        <f t="shared" si="3"/>
        <v/>
      </c>
      <c r="F30" s="102" t="str">
        <f t="shared" si="4"/>
        <v/>
      </c>
      <c r="G30" s="102" t="str">
        <f t="shared" si="5"/>
        <v/>
      </c>
      <c r="H30" s="102" t="str">
        <f t="shared" si="6"/>
        <v/>
      </c>
      <c r="I30" s="102" t="str">
        <f t="shared" si="7"/>
        <v/>
      </c>
      <c r="J30" s="102" t="str">
        <f t="shared" si="8"/>
        <v/>
      </c>
      <c r="K30" s="103">
        <v>28</v>
      </c>
      <c r="L30" s="103"/>
      <c r="M30" s="104"/>
      <c r="N30" s="103"/>
      <c r="O30" s="103"/>
      <c r="P30" s="103"/>
      <c r="Q30" s="105"/>
      <c r="R30" s="104"/>
      <c r="S30" s="104"/>
      <c r="T30" s="104"/>
      <c r="U30" s="106"/>
      <c r="V30" s="104"/>
      <c r="W30" s="104"/>
      <c r="X30" s="104"/>
      <c r="AE30" s="77" t="s">
        <v>734</v>
      </c>
    </row>
    <row r="31" spans="1:31" x14ac:dyDescent="0.2">
      <c r="A31" s="96">
        <v>1</v>
      </c>
      <c r="B31" s="102" t="str">
        <f t="shared" si="0"/>
        <v/>
      </c>
      <c r="C31" s="102" t="str">
        <f t="shared" si="1"/>
        <v>•</v>
      </c>
      <c r="D31" s="102" t="str">
        <f t="shared" si="2"/>
        <v/>
      </c>
      <c r="E31" s="102" t="str">
        <f t="shared" si="3"/>
        <v/>
      </c>
      <c r="F31" s="102" t="str">
        <f t="shared" si="4"/>
        <v/>
      </c>
      <c r="G31" s="102" t="str">
        <f t="shared" si="5"/>
        <v/>
      </c>
      <c r="H31" s="102" t="str">
        <f t="shared" si="6"/>
        <v/>
      </c>
      <c r="I31" s="102" t="str">
        <f t="shared" si="7"/>
        <v/>
      </c>
      <c r="J31" s="102" t="str">
        <f t="shared" si="8"/>
        <v/>
      </c>
      <c r="K31" s="103">
        <v>29</v>
      </c>
      <c r="L31" s="103"/>
      <c r="M31" s="104"/>
      <c r="N31" s="103"/>
      <c r="O31" s="103"/>
      <c r="P31" s="103"/>
      <c r="Q31" s="105"/>
      <c r="R31" s="104"/>
      <c r="S31" s="104"/>
      <c r="T31" s="104"/>
      <c r="U31" s="106"/>
      <c r="V31" s="104"/>
      <c r="W31" s="104"/>
      <c r="X31" s="104"/>
      <c r="AE31" s="77" t="s">
        <v>735</v>
      </c>
    </row>
    <row r="32" spans="1:31" x14ac:dyDescent="0.2">
      <c r="A32" s="96">
        <v>1</v>
      </c>
      <c r="B32" s="102" t="str">
        <f t="shared" si="0"/>
        <v/>
      </c>
      <c r="C32" s="102" t="str">
        <f t="shared" si="1"/>
        <v>•</v>
      </c>
      <c r="D32" s="102" t="str">
        <f t="shared" si="2"/>
        <v/>
      </c>
      <c r="E32" s="102" t="str">
        <f t="shared" si="3"/>
        <v/>
      </c>
      <c r="F32" s="102" t="str">
        <f t="shared" si="4"/>
        <v/>
      </c>
      <c r="G32" s="102" t="str">
        <f t="shared" si="5"/>
        <v/>
      </c>
      <c r="H32" s="102" t="str">
        <f t="shared" si="6"/>
        <v/>
      </c>
      <c r="I32" s="102" t="str">
        <f t="shared" si="7"/>
        <v/>
      </c>
      <c r="J32" s="102" t="str">
        <f t="shared" si="8"/>
        <v/>
      </c>
      <c r="K32" s="103">
        <v>30</v>
      </c>
      <c r="L32" s="103"/>
      <c r="M32" s="104"/>
      <c r="N32" s="103"/>
      <c r="O32" s="103"/>
      <c r="P32" s="103"/>
      <c r="Q32" s="105"/>
      <c r="R32" s="104"/>
      <c r="S32" s="104"/>
      <c r="T32" s="104"/>
      <c r="U32" s="106"/>
      <c r="V32" s="104"/>
      <c r="W32" s="104"/>
      <c r="X32" s="104"/>
      <c r="AE32" s="77" t="s">
        <v>736</v>
      </c>
    </row>
    <row r="33" spans="1:31" x14ac:dyDescent="0.2">
      <c r="A33" s="96">
        <v>1</v>
      </c>
      <c r="B33" s="102" t="str">
        <f t="shared" si="0"/>
        <v/>
      </c>
      <c r="C33" s="102" t="str">
        <f t="shared" si="1"/>
        <v>•</v>
      </c>
      <c r="D33" s="102" t="str">
        <f t="shared" si="2"/>
        <v/>
      </c>
      <c r="E33" s="102" t="str">
        <f t="shared" si="3"/>
        <v/>
      </c>
      <c r="F33" s="102" t="str">
        <f t="shared" si="4"/>
        <v/>
      </c>
      <c r="G33" s="102" t="str">
        <f t="shared" si="5"/>
        <v/>
      </c>
      <c r="H33" s="102" t="str">
        <f t="shared" si="6"/>
        <v/>
      </c>
      <c r="I33" s="102" t="str">
        <f t="shared" si="7"/>
        <v/>
      </c>
      <c r="J33" s="102" t="str">
        <f t="shared" si="8"/>
        <v/>
      </c>
      <c r="K33" s="103">
        <v>31</v>
      </c>
      <c r="L33" s="103"/>
      <c r="M33" s="104"/>
      <c r="N33" s="103"/>
      <c r="O33" s="103"/>
      <c r="P33" s="103"/>
      <c r="Q33" s="105"/>
      <c r="R33" s="104"/>
      <c r="S33" s="104"/>
      <c r="T33" s="104"/>
      <c r="U33" s="106"/>
      <c r="V33" s="104"/>
      <c r="W33" s="104"/>
      <c r="X33" s="104"/>
      <c r="AE33" s="77" t="s">
        <v>737</v>
      </c>
    </row>
    <row r="34" spans="1:31" x14ac:dyDescent="0.2">
      <c r="A34" s="96">
        <v>1</v>
      </c>
      <c r="B34" s="102" t="str">
        <f t="shared" si="0"/>
        <v/>
      </c>
      <c r="C34" s="102" t="str">
        <f t="shared" si="1"/>
        <v>•</v>
      </c>
      <c r="D34" s="102" t="str">
        <f t="shared" si="2"/>
        <v/>
      </c>
      <c r="E34" s="102" t="str">
        <f t="shared" si="3"/>
        <v/>
      </c>
      <c r="F34" s="102" t="str">
        <f t="shared" si="4"/>
        <v/>
      </c>
      <c r="G34" s="102" t="str">
        <f t="shared" si="5"/>
        <v/>
      </c>
      <c r="H34" s="102" t="str">
        <f t="shared" si="6"/>
        <v/>
      </c>
      <c r="I34" s="102" t="str">
        <f t="shared" si="7"/>
        <v/>
      </c>
      <c r="J34" s="102" t="str">
        <f t="shared" si="8"/>
        <v/>
      </c>
      <c r="K34" s="103">
        <v>32</v>
      </c>
      <c r="L34" s="103"/>
      <c r="M34" s="104"/>
      <c r="N34" s="103"/>
      <c r="O34" s="103"/>
      <c r="P34" s="103"/>
      <c r="Q34" s="105"/>
      <c r="R34" s="104"/>
      <c r="S34" s="104"/>
      <c r="T34" s="104"/>
      <c r="U34" s="106"/>
      <c r="V34" s="104"/>
      <c r="W34" s="104"/>
      <c r="X34" s="104"/>
      <c r="AE34" s="77" t="s">
        <v>738</v>
      </c>
    </row>
    <row r="35" spans="1:31" x14ac:dyDescent="0.2">
      <c r="A35" s="96">
        <v>1</v>
      </c>
      <c r="B35" s="102" t="str">
        <f t="shared" si="0"/>
        <v/>
      </c>
      <c r="C35" s="102" t="str">
        <f t="shared" si="1"/>
        <v>•</v>
      </c>
      <c r="D35" s="102" t="str">
        <f t="shared" si="2"/>
        <v/>
      </c>
      <c r="E35" s="102" t="str">
        <f t="shared" si="3"/>
        <v/>
      </c>
      <c r="F35" s="102" t="str">
        <f t="shared" si="4"/>
        <v/>
      </c>
      <c r="G35" s="102" t="str">
        <f t="shared" si="5"/>
        <v/>
      </c>
      <c r="H35" s="102" t="str">
        <f t="shared" si="6"/>
        <v/>
      </c>
      <c r="I35" s="102" t="str">
        <f t="shared" si="7"/>
        <v/>
      </c>
      <c r="J35" s="102" t="str">
        <f t="shared" si="8"/>
        <v/>
      </c>
      <c r="K35" s="103">
        <v>33</v>
      </c>
      <c r="L35" s="103"/>
      <c r="M35" s="104"/>
      <c r="N35" s="103"/>
      <c r="O35" s="103"/>
      <c r="P35" s="103"/>
      <c r="Q35" s="105"/>
      <c r="R35" s="104"/>
      <c r="S35" s="104"/>
      <c r="T35" s="104"/>
      <c r="U35" s="106"/>
      <c r="V35" s="104"/>
      <c r="W35" s="104"/>
      <c r="X35" s="104"/>
      <c r="AE35" s="77" t="s">
        <v>739</v>
      </c>
    </row>
    <row r="36" spans="1:31" ht="17" x14ac:dyDescent="0.2">
      <c r="A36" s="96">
        <v>1</v>
      </c>
      <c r="B36" s="102" t="str">
        <f t="shared" si="0"/>
        <v/>
      </c>
      <c r="C36" s="102" t="str">
        <f t="shared" si="1"/>
        <v>•</v>
      </c>
      <c r="D36" s="102" t="str">
        <f t="shared" si="2"/>
        <v/>
      </c>
      <c r="E36" s="102" t="str">
        <f t="shared" si="3"/>
        <v/>
      </c>
      <c r="F36" s="102" t="str">
        <f t="shared" si="4"/>
        <v/>
      </c>
      <c r="G36" s="102" t="str">
        <f t="shared" si="5"/>
        <v/>
      </c>
      <c r="H36" s="102" t="str">
        <f t="shared" si="6"/>
        <v/>
      </c>
      <c r="I36" s="102" t="str">
        <f t="shared" si="7"/>
        <v/>
      </c>
      <c r="J36" s="102" t="str">
        <f t="shared" si="8"/>
        <v/>
      </c>
      <c r="K36" s="103">
        <v>34</v>
      </c>
      <c r="L36" s="103"/>
      <c r="M36" s="104"/>
      <c r="N36" s="103"/>
      <c r="O36" s="103"/>
      <c r="P36" s="103"/>
      <c r="Q36" s="105"/>
      <c r="R36" s="104"/>
      <c r="S36" s="104"/>
      <c r="T36" s="104"/>
      <c r="U36" s="106"/>
      <c r="V36" s="104" t="s">
        <v>637</v>
      </c>
      <c r="W36" s="104"/>
      <c r="X36" s="104"/>
      <c r="AE36" s="77" t="s">
        <v>740</v>
      </c>
    </row>
    <row r="37" spans="1:31" x14ac:dyDescent="0.2">
      <c r="A37" s="96">
        <v>1</v>
      </c>
      <c r="B37" s="102" t="str">
        <f t="shared" si="0"/>
        <v/>
      </c>
      <c r="C37" s="102" t="str">
        <f t="shared" si="1"/>
        <v>•</v>
      </c>
      <c r="D37" s="102" t="str">
        <f t="shared" si="2"/>
        <v/>
      </c>
      <c r="E37" s="102" t="str">
        <f t="shared" si="3"/>
        <v/>
      </c>
      <c r="F37" s="102" t="str">
        <f t="shared" si="4"/>
        <v/>
      </c>
      <c r="G37" s="102" t="str">
        <f t="shared" si="5"/>
        <v/>
      </c>
      <c r="H37" s="102" t="str">
        <f t="shared" si="6"/>
        <v/>
      </c>
      <c r="I37" s="102" t="str">
        <f t="shared" si="7"/>
        <v/>
      </c>
      <c r="J37" s="102" t="str">
        <f t="shared" si="8"/>
        <v/>
      </c>
      <c r="K37" s="103">
        <v>35</v>
      </c>
      <c r="L37" s="103"/>
      <c r="M37" s="104"/>
      <c r="N37" s="103"/>
      <c r="O37" s="103"/>
      <c r="P37" s="103"/>
      <c r="Q37" s="105"/>
      <c r="R37" s="104"/>
      <c r="S37" s="104"/>
      <c r="T37" s="104"/>
      <c r="U37" s="106"/>
      <c r="V37" s="104"/>
      <c r="W37" s="104"/>
      <c r="X37" s="104"/>
      <c r="AE37" s="77" t="s">
        <v>741</v>
      </c>
    </row>
    <row r="38" spans="1:31" x14ac:dyDescent="0.2">
      <c r="A38" s="96">
        <v>1</v>
      </c>
      <c r="B38" s="102" t="str">
        <f t="shared" si="0"/>
        <v/>
      </c>
      <c r="C38" s="102" t="str">
        <f t="shared" si="1"/>
        <v>•</v>
      </c>
      <c r="D38" s="102" t="str">
        <f t="shared" si="2"/>
        <v/>
      </c>
      <c r="E38" s="102" t="str">
        <f t="shared" si="3"/>
        <v/>
      </c>
      <c r="F38" s="102" t="str">
        <f t="shared" si="4"/>
        <v/>
      </c>
      <c r="G38" s="102" t="str">
        <f t="shared" si="5"/>
        <v/>
      </c>
      <c r="H38" s="102" t="str">
        <f t="shared" si="6"/>
        <v/>
      </c>
      <c r="I38" s="102" t="str">
        <f t="shared" si="7"/>
        <v/>
      </c>
      <c r="J38" s="102" t="str">
        <f t="shared" si="8"/>
        <v/>
      </c>
      <c r="K38" s="103">
        <v>36</v>
      </c>
      <c r="L38" s="103"/>
      <c r="M38" s="104"/>
      <c r="N38" s="103"/>
      <c r="O38" s="103"/>
      <c r="P38" s="103"/>
      <c r="Q38" s="105"/>
      <c r="R38" s="104"/>
      <c r="S38" s="104"/>
      <c r="T38" s="104"/>
      <c r="U38" s="106"/>
      <c r="V38" s="104"/>
      <c r="W38" s="104"/>
      <c r="X38" s="104"/>
      <c r="AE38" s="77" t="s">
        <v>742</v>
      </c>
    </row>
    <row r="39" spans="1:31" x14ac:dyDescent="0.2">
      <c r="A39" s="96">
        <v>1</v>
      </c>
      <c r="B39" s="102" t="str">
        <f t="shared" si="0"/>
        <v/>
      </c>
      <c r="C39" s="102" t="str">
        <f t="shared" si="1"/>
        <v>•</v>
      </c>
      <c r="D39" s="102" t="str">
        <f t="shared" si="2"/>
        <v/>
      </c>
      <c r="E39" s="102" t="str">
        <f t="shared" si="3"/>
        <v/>
      </c>
      <c r="F39" s="102" t="str">
        <f t="shared" si="4"/>
        <v/>
      </c>
      <c r="G39" s="102" t="str">
        <f t="shared" si="5"/>
        <v/>
      </c>
      <c r="H39" s="102" t="str">
        <f t="shared" si="6"/>
        <v/>
      </c>
      <c r="I39" s="102" t="str">
        <f t="shared" si="7"/>
        <v/>
      </c>
      <c r="J39" s="102" t="str">
        <f t="shared" si="8"/>
        <v/>
      </c>
      <c r="K39" s="103">
        <v>37</v>
      </c>
      <c r="L39" s="103"/>
      <c r="M39" s="104"/>
      <c r="N39" s="103"/>
      <c r="O39" s="103"/>
      <c r="P39" s="103"/>
      <c r="Q39" s="105"/>
      <c r="R39" s="104"/>
      <c r="S39" s="104"/>
      <c r="T39" s="104"/>
      <c r="U39" s="106"/>
      <c r="V39" s="104"/>
      <c r="W39" s="104"/>
      <c r="X39" s="104"/>
      <c r="AE39" s="77" t="s">
        <v>743</v>
      </c>
    </row>
    <row r="40" spans="1:31" x14ac:dyDescent="0.2">
      <c r="A40" s="96">
        <v>1</v>
      </c>
      <c r="B40" s="102" t="str">
        <f t="shared" si="0"/>
        <v/>
      </c>
      <c r="C40" s="102" t="str">
        <f t="shared" si="1"/>
        <v>•</v>
      </c>
      <c r="D40" s="102" t="str">
        <f t="shared" si="2"/>
        <v/>
      </c>
      <c r="E40" s="102" t="str">
        <f t="shared" si="3"/>
        <v/>
      </c>
      <c r="F40" s="102" t="str">
        <f t="shared" si="4"/>
        <v/>
      </c>
      <c r="G40" s="102" t="str">
        <f t="shared" si="5"/>
        <v/>
      </c>
      <c r="H40" s="102" t="str">
        <f t="shared" si="6"/>
        <v/>
      </c>
      <c r="I40" s="102" t="str">
        <f t="shared" si="7"/>
        <v/>
      </c>
      <c r="J40" s="102" t="str">
        <f t="shared" si="8"/>
        <v/>
      </c>
      <c r="K40" s="103">
        <v>38</v>
      </c>
      <c r="L40" s="103"/>
      <c r="M40" s="104"/>
      <c r="N40" s="103"/>
      <c r="O40" s="103"/>
      <c r="P40" s="103"/>
      <c r="Q40" s="105"/>
      <c r="R40" s="104"/>
      <c r="S40" s="104"/>
      <c r="T40" s="104"/>
      <c r="U40" s="106"/>
      <c r="V40" s="104"/>
      <c r="W40" s="104"/>
      <c r="X40" s="104"/>
      <c r="AE40" s="77" t="s">
        <v>744</v>
      </c>
    </row>
    <row r="41" spans="1:31" ht="17" thickBot="1" x14ac:dyDescent="0.25">
      <c r="A41" s="96">
        <v>1</v>
      </c>
      <c r="B41" s="102" t="str">
        <f t="shared" si="0"/>
        <v/>
      </c>
      <c r="C41" s="102" t="str">
        <f t="shared" si="1"/>
        <v>•</v>
      </c>
      <c r="D41" s="102" t="str">
        <f t="shared" si="2"/>
        <v/>
      </c>
      <c r="E41" s="102" t="str">
        <f t="shared" si="3"/>
        <v/>
      </c>
      <c r="F41" s="102" t="str">
        <f t="shared" si="4"/>
        <v/>
      </c>
      <c r="G41" s="102" t="str">
        <f t="shared" si="5"/>
        <v/>
      </c>
      <c r="H41" s="102" t="str">
        <f t="shared" si="6"/>
        <v/>
      </c>
      <c r="I41" s="102" t="str">
        <f t="shared" si="7"/>
        <v/>
      </c>
      <c r="J41" s="102" t="str">
        <f t="shared" si="8"/>
        <v/>
      </c>
      <c r="K41" s="103">
        <v>39</v>
      </c>
      <c r="L41" s="103"/>
      <c r="M41" s="104"/>
      <c r="N41" s="103"/>
      <c r="O41" s="103"/>
      <c r="P41" s="103"/>
      <c r="Q41" s="105"/>
      <c r="R41" s="104"/>
      <c r="S41" s="104"/>
      <c r="T41" s="104"/>
      <c r="U41" s="106"/>
      <c r="V41" s="104"/>
      <c r="W41" s="104"/>
      <c r="X41" s="104"/>
      <c r="AE41" s="107" t="s">
        <v>745</v>
      </c>
    </row>
    <row r="42" spans="1:31" x14ac:dyDescent="0.2">
      <c r="A42" s="96">
        <v>1</v>
      </c>
      <c r="B42" s="102" t="str">
        <f t="shared" si="0"/>
        <v/>
      </c>
      <c r="C42" s="102" t="str">
        <f t="shared" si="1"/>
        <v>•</v>
      </c>
      <c r="D42" s="102" t="str">
        <f t="shared" si="2"/>
        <v/>
      </c>
      <c r="E42" s="102" t="str">
        <f t="shared" si="3"/>
        <v/>
      </c>
      <c r="F42" s="102" t="str">
        <f t="shared" si="4"/>
        <v/>
      </c>
      <c r="G42" s="102" t="str">
        <f t="shared" si="5"/>
        <v/>
      </c>
      <c r="H42" s="102" t="str">
        <f t="shared" si="6"/>
        <v/>
      </c>
      <c r="I42" s="102" t="str">
        <f t="shared" si="7"/>
        <v/>
      </c>
      <c r="J42" s="102" t="str">
        <f t="shared" si="8"/>
        <v/>
      </c>
      <c r="K42" s="103">
        <v>40</v>
      </c>
      <c r="L42" s="103"/>
      <c r="M42" s="104"/>
      <c r="N42" s="103"/>
      <c r="O42" s="103"/>
      <c r="P42" s="103"/>
      <c r="Q42" s="105"/>
      <c r="R42" s="104"/>
      <c r="S42" s="104"/>
      <c r="T42" s="104"/>
      <c r="U42" s="106"/>
      <c r="V42" s="104"/>
      <c r="W42" s="104"/>
      <c r="X42" s="104"/>
    </row>
    <row r="43" spans="1:31" x14ac:dyDescent="0.2">
      <c r="A43" s="96">
        <v>1</v>
      </c>
      <c r="B43" s="102" t="str">
        <f t="shared" si="0"/>
        <v/>
      </c>
      <c r="C43" s="102" t="str">
        <f t="shared" si="1"/>
        <v>•</v>
      </c>
      <c r="D43" s="102" t="str">
        <f t="shared" si="2"/>
        <v/>
      </c>
      <c r="E43" s="102" t="str">
        <f t="shared" si="3"/>
        <v/>
      </c>
      <c r="F43" s="102" t="str">
        <f t="shared" si="4"/>
        <v/>
      </c>
      <c r="G43" s="102" t="str">
        <f t="shared" si="5"/>
        <v/>
      </c>
      <c r="H43" s="102" t="str">
        <f t="shared" si="6"/>
        <v/>
      </c>
      <c r="I43" s="102" t="str">
        <f t="shared" si="7"/>
        <v/>
      </c>
      <c r="J43" s="102" t="str">
        <f t="shared" si="8"/>
        <v/>
      </c>
      <c r="K43" s="103">
        <v>41</v>
      </c>
      <c r="L43" s="103"/>
      <c r="M43" s="104"/>
      <c r="N43" s="103"/>
      <c r="O43" s="103"/>
      <c r="P43" s="103"/>
      <c r="Q43" s="105"/>
      <c r="R43" s="104"/>
      <c r="S43" s="104"/>
      <c r="T43" s="104"/>
      <c r="U43" s="106"/>
      <c r="V43" s="104"/>
      <c r="W43" s="104"/>
      <c r="X43" s="104"/>
    </row>
    <row r="44" spans="1:31" x14ac:dyDescent="0.2">
      <c r="A44" s="96">
        <v>1</v>
      </c>
      <c r="B44" s="102" t="str">
        <f t="shared" si="0"/>
        <v/>
      </c>
      <c r="C44" s="102" t="str">
        <f t="shared" si="1"/>
        <v>•</v>
      </c>
      <c r="D44" s="102" t="str">
        <f t="shared" si="2"/>
        <v/>
      </c>
      <c r="E44" s="102" t="str">
        <f t="shared" si="3"/>
        <v/>
      </c>
      <c r="F44" s="102" t="str">
        <f t="shared" si="4"/>
        <v/>
      </c>
      <c r="G44" s="102" t="str">
        <f t="shared" si="5"/>
        <v/>
      </c>
      <c r="H44" s="102" t="str">
        <f t="shared" si="6"/>
        <v/>
      </c>
      <c r="I44" s="102" t="str">
        <f t="shared" si="7"/>
        <v/>
      </c>
      <c r="J44" s="102" t="str">
        <f t="shared" si="8"/>
        <v/>
      </c>
      <c r="K44" s="103">
        <v>42</v>
      </c>
      <c r="L44" s="103"/>
      <c r="M44" s="104"/>
      <c r="N44" s="103"/>
      <c r="O44" s="103"/>
      <c r="P44" s="103"/>
      <c r="Q44" s="105"/>
      <c r="R44" s="104"/>
      <c r="S44" s="104"/>
      <c r="T44" s="104"/>
      <c r="U44" s="106"/>
      <c r="V44" s="104"/>
      <c r="W44" s="104"/>
      <c r="X44" s="104"/>
    </row>
    <row r="45" spans="1:31" x14ac:dyDescent="0.2">
      <c r="A45" s="96">
        <v>1</v>
      </c>
      <c r="B45" s="102" t="str">
        <f t="shared" si="0"/>
        <v/>
      </c>
      <c r="C45" s="102" t="str">
        <f t="shared" si="1"/>
        <v>•</v>
      </c>
      <c r="D45" s="102" t="str">
        <f t="shared" si="2"/>
        <v/>
      </c>
      <c r="E45" s="102" t="str">
        <f t="shared" si="3"/>
        <v/>
      </c>
      <c r="F45" s="102" t="str">
        <f t="shared" si="4"/>
        <v/>
      </c>
      <c r="G45" s="102" t="str">
        <f t="shared" si="5"/>
        <v/>
      </c>
      <c r="H45" s="102" t="str">
        <f t="shared" si="6"/>
        <v/>
      </c>
      <c r="I45" s="102" t="str">
        <f t="shared" si="7"/>
        <v/>
      </c>
      <c r="J45" s="102" t="str">
        <f t="shared" si="8"/>
        <v/>
      </c>
      <c r="K45" s="103">
        <v>43</v>
      </c>
      <c r="L45" s="103"/>
      <c r="M45" s="104"/>
      <c r="N45" s="103"/>
      <c r="O45" s="103"/>
      <c r="P45" s="103"/>
      <c r="Q45" s="105"/>
      <c r="R45" s="104"/>
      <c r="S45" s="104"/>
      <c r="T45" s="104"/>
      <c r="U45" s="106"/>
      <c r="V45" s="104"/>
      <c r="W45" s="104"/>
      <c r="X45" s="104"/>
    </row>
    <row r="46" spans="1:31" x14ac:dyDescent="0.2">
      <c r="A46" s="96">
        <v>1</v>
      </c>
      <c r="B46" s="102" t="str">
        <f t="shared" si="0"/>
        <v/>
      </c>
      <c r="C46" s="102" t="str">
        <f t="shared" si="1"/>
        <v>•</v>
      </c>
      <c r="D46" s="102" t="str">
        <f t="shared" si="2"/>
        <v/>
      </c>
      <c r="E46" s="102" t="str">
        <f t="shared" si="3"/>
        <v/>
      </c>
      <c r="F46" s="102" t="str">
        <f t="shared" si="4"/>
        <v/>
      </c>
      <c r="G46" s="102" t="str">
        <f t="shared" si="5"/>
        <v/>
      </c>
      <c r="H46" s="102" t="str">
        <f t="shared" si="6"/>
        <v/>
      </c>
      <c r="I46" s="102" t="str">
        <f t="shared" si="7"/>
        <v/>
      </c>
      <c r="J46" s="102" t="str">
        <f t="shared" si="8"/>
        <v/>
      </c>
      <c r="K46" s="103">
        <v>44</v>
      </c>
      <c r="L46" s="103"/>
      <c r="M46" s="104"/>
      <c r="N46" s="103"/>
      <c r="O46" s="103"/>
      <c r="P46" s="103"/>
      <c r="Q46" s="105"/>
      <c r="R46" s="104"/>
      <c r="S46" s="104"/>
      <c r="T46" s="104"/>
      <c r="U46" s="106"/>
      <c r="V46" s="104"/>
      <c r="W46" s="104"/>
      <c r="X46" s="105"/>
    </row>
    <row r="47" spans="1:31" x14ac:dyDescent="0.2">
      <c r="A47" s="96">
        <v>1</v>
      </c>
      <c r="B47" s="102" t="str">
        <f t="shared" si="0"/>
        <v/>
      </c>
      <c r="C47" s="102" t="str">
        <f t="shared" si="1"/>
        <v>•</v>
      </c>
      <c r="D47" s="102" t="str">
        <f t="shared" si="2"/>
        <v/>
      </c>
      <c r="E47" s="102" t="str">
        <f t="shared" si="3"/>
        <v/>
      </c>
      <c r="F47" s="102" t="str">
        <f t="shared" si="4"/>
        <v/>
      </c>
      <c r="G47" s="102" t="str">
        <f t="shared" si="5"/>
        <v/>
      </c>
      <c r="H47" s="102" t="str">
        <f t="shared" si="6"/>
        <v/>
      </c>
      <c r="I47" s="102" t="str">
        <f t="shared" si="7"/>
        <v/>
      </c>
      <c r="J47" s="102" t="str">
        <f t="shared" si="8"/>
        <v/>
      </c>
      <c r="K47" s="103">
        <v>45</v>
      </c>
      <c r="L47" s="103"/>
      <c r="M47" s="104"/>
      <c r="N47" s="103"/>
      <c r="O47" s="103"/>
      <c r="P47" s="103"/>
      <c r="Q47" s="105"/>
      <c r="R47" s="104"/>
      <c r="S47" s="104"/>
      <c r="T47" s="104"/>
      <c r="U47" s="106"/>
      <c r="V47" s="104"/>
      <c r="W47" s="104"/>
      <c r="X47" s="105"/>
    </row>
    <row r="48" spans="1:31" x14ac:dyDescent="0.2">
      <c r="A48" s="96">
        <v>1</v>
      </c>
      <c r="B48" s="102" t="str">
        <f t="shared" si="0"/>
        <v/>
      </c>
      <c r="C48" s="102" t="str">
        <f t="shared" si="1"/>
        <v>•</v>
      </c>
      <c r="D48" s="102" t="str">
        <f t="shared" si="2"/>
        <v/>
      </c>
      <c r="E48" s="102" t="str">
        <f t="shared" si="3"/>
        <v/>
      </c>
      <c r="F48" s="102" t="str">
        <f t="shared" si="4"/>
        <v/>
      </c>
      <c r="G48" s="102" t="str">
        <f t="shared" si="5"/>
        <v/>
      </c>
      <c r="H48" s="102" t="str">
        <f t="shared" si="6"/>
        <v/>
      </c>
      <c r="I48" s="102" t="str">
        <f t="shared" si="7"/>
        <v/>
      </c>
      <c r="J48" s="102" t="str">
        <f t="shared" si="8"/>
        <v/>
      </c>
      <c r="K48" s="103">
        <v>46</v>
      </c>
      <c r="L48" s="103"/>
      <c r="M48" s="104"/>
      <c r="N48" s="103"/>
      <c r="O48" s="103"/>
      <c r="P48" s="103"/>
      <c r="Q48" s="105"/>
      <c r="R48" s="104"/>
      <c r="S48" s="104"/>
      <c r="T48" s="104"/>
      <c r="U48" s="106"/>
      <c r="V48" s="104"/>
      <c r="W48" s="104"/>
      <c r="X48" s="105"/>
    </row>
    <row r="49" spans="1:24" x14ac:dyDescent="0.2">
      <c r="A49" s="96">
        <v>1</v>
      </c>
      <c r="B49" s="102" t="str">
        <f t="shared" si="0"/>
        <v/>
      </c>
      <c r="C49" s="102" t="str">
        <f t="shared" si="1"/>
        <v>•</v>
      </c>
      <c r="D49" s="102" t="str">
        <f t="shared" si="2"/>
        <v/>
      </c>
      <c r="E49" s="102" t="str">
        <f t="shared" si="3"/>
        <v/>
      </c>
      <c r="F49" s="102" t="str">
        <f t="shared" si="4"/>
        <v/>
      </c>
      <c r="G49" s="102" t="str">
        <f t="shared" si="5"/>
        <v/>
      </c>
      <c r="H49" s="102" t="str">
        <f t="shared" si="6"/>
        <v/>
      </c>
      <c r="I49" s="102" t="str">
        <f t="shared" si="7"/>
        <v/>
      </c>
      <c r="J49" s="102" t="str">
        <f t="shared" si="8"/>
        <v/>
      </c>
      <c r="K49" s="103">
        <v>47</v>
      </c>
      <c r="L49" s="103"/>
      <c r="M49" s="104"/>
      <c r="N49" s="103"/>
      <c r="O49" s="103"/>
      <c r="P49" s="103"/>
      <c r="Q49" s="105"/>
      <c r="R49" s="104"/>
      <c r="S49" s="104"/>
      <c r="T49" s="104"/>
      <c r="U49" s="106"/>
      <c r="V49" s="104"/>
      <c r="W49" s="104"/>
      <c r="X49" s="105"/>
    </row>
    <row r="50" spans="1:24" x14ac:dyDescent="0.2">
      <c r="A50" s="96">
        <v>1</v>
      </c>
      <c r="B50" s="102" t="str">
        <f t="shared" si="0"/>
        <v/>
      </c>
      <c r="C50" s="102" t="str">
        <f t="shared" si="1"/>
        <v>•</v>
      </c>
      <c r="D50" s="102" t="str">
        <f t="shared" si="2"/>
        <v/>
      </c>
      <c r="E50" s="102" t="str">
        <f t="shared" si="3"/>
        <v/>
      </c>
      <c r="F50" s="102" t="str">
        <f t="shared" si="4"/>
        <v/>
      </c>
      <c r="G50" s="102" t="str">
        <f t="shared" si="5"/>
        <v/>
      </c>
      <c r="H50" s="102" t="str">
        <f t="shared" si="6"/>
        <v/>
      </c>
      <c r="I50" s="102" t="str">
        <f t="shared" si="7"/>
        <v/>
      </c>
      <c r="J50" s="102" t="str">
        <f t="shared" si="8"/>
        <v/>
      </c>
      <c r="K50" s="103">
        <v>48</v>
      </c>
      <c r="L50" s="103"/>
      <c r="M50" s="104"/>
      <c r="N50" s="103"/>
      <c r="O50" s="103"/>
      <c r="P50" s="103"/>
      <c r="Q50" s="105"/>
      <c r="R50" s="104"/>
      <c r="S50" s="104"/>
      <c r="T50" s="104"/>
      <c r="U50" s="106"/>
      <c r="V50" s="104"/>
      <c r="W50" s="104"/>
      <c r="X50" s="105"/>
    </row>
    <row r="51" spans="1:24" x14ac:dyDescent="0.2">
      <c r="A51" s="96">
        <v>1</v>
      </c>
      <c r="B51" s="102" t="str">
        <f t="shared" si="0"/>
        <v/>
      </c>
      <c r="C51" s="102" t="str">
        <f t="shared" si="1"/>
        <v>•</v>
      </c>
      <c r="D51" s="102" t="str">
        <f t="shared" si="2"/>
        <v/>
      </c>
      <c r="E51" s="102" t="str">
        <f t="shared" si="3"/>
        <v/>
      </c>
      <c r="F51" s="102" t="str">
        <f t="shared" si="4"/>
        <v/>
      </c>
      <c r="G51" s="102" t="str">
        <f t="shared" si="5"/>
        <v/>
      </c>
      <c r="H51" s="102" t="str">
        <f t="shared" si="6"/>
        <v/>
      </c>
      <c r="I51" s="102" t="str">
        <f t="shared" si="7"/>
        <v/>
      </c>
      <c r="J51" s="102" t="str">
        <f t="shared" si="8"/>
        <v/>
      </c>
      <c r="K51" s="103">
        <v>49</v>
      </c>
      <c r="L51" s="103"/>
      <c r="M51" s="104"/>
      <c r="N51" s="103"/>
      <c r="O51" s="103"/>
      <c r="P51" s="103"/>
      <c r="Q51" s="105"/>
      <c r="R51" s="104"/>
      <c r="S51" s="104"/>
      <c r="T51" s="104"/>
      <c r="U51" s="106"/>
      <c r="V51" s="104"/>
      <c r="W51" s="104"/>
      <c r="X51" s="105"/>
    </row>
    <row r="52" spans="1:24" x14ac:dyDescent="0.2">
      <c r="A52" s="96">
        <v>1</v>
      </c>
      <c r="B52" s="102" t="str">
        <f t="shared" si="0"/>
        <v/>
      </c>
      <c r="C52" s="102" t="str">
        <f t="shared" si="1"/>
        <v>•</v>
      </c>
      <c r="D52" s="102" t="str">
        <f t="shared" si="2"/>
        <v/>
      </c>
      <c r="E52" s="102" t="str">
        <f t="shared" si="3"/>
        <v/>
      </c>
      <c r="F52" s="102" t="str">
        <f t="shared" si="4"/>
        <v/>
      </c>
      <c r="G52" s="102" t="str">
        <f t="shared" si="5"/>
        <v/>
      </c>
      <c r="H52" s="102" t="str">
        <f t="shared" si="6"/>
        <v/>
      </c>
      <c r="I52" s="102" t="str">
        <f t="shared" si="7"/>
        <v/>
      </c>
      <c r="J52" s="102" t="str">
        <f t="shared" si="8"/>
        <v/>
      </c>
      <c r="K52" s="103">
        <v>50</v>
      </c>
      <c r="L52" s="103"/>
      <c r="M52" s="104"/>
      <c r="N52" s="103"/>
      <c r="O52" s="103"/>
      <c r="P52" s="103"/>
      <c r="Q52" s="105"/>
      <c r="R52" s="104"/>
      <c r="S52" s="104"/>
      <c r="T52" s="104"/>
      <c r="U52" s="106"/>
      <c r="V52" s="104"/>
      <c r="W52" s="104"/>
      <c r="X52" s="105"/>
    </row>
    <row r="53" spans="1:24" x14ac:dyDescent="0.2">
      <c r="A53" s="96">
        <v>1</v>
      </c>
      <c r="B53" s="102" t="str">
        <f t="shared" si="0"/>
        <v/>
      </c>
      <c r="C53" s="102" t="str">
        <f t="shared" si="1"/>
        <v>•</v>
      </c>
      <c r="D53" s="102" t="str">
        <f t="shared" si="2"/>
        <v/>
      </c>
      <c r="E53" s="102" t="str">
        <f t="shared" si="3"/>
        <v/>
      </c>
      <c r="F53" s="102" t="str">
        <f t="shared" si="4"/>
        <v/>
      </c>
      <c r="G53" s="102" t="str">
        <f t="shared" si="5"/>
        <v/>
      </c>
      <c r="H53" s="102" t="str">
        <f t="shared" si="6"/>
        <v/>
      </c>
      <c r="I53" s="102" t="str">
        <f t="shared" si="7"/>
        <v/>
      </c>
      <c r="J53" s="102" t="str">
        <f t="shared" si="8"/>
        <v/>
      </c>
      <c r="K53" s="103">
        <v>51</v>
      </c>
      <c r="L53" s="103"/>
      <c r="M53" s="104"/>
      <c r="N53" s="103"/>
      <c r="O53" s="103"/>
      <c r="P53" s="103"/>
      <c r="Q53" s="105"/>
      <c r="R53" s="104"/>
      <c r="S53" s="104"/>
      <c r="T53" s="104"/>
      <c r="U53" s="106"/>
      <c r="V53" s="104"/>
      <c r="W53" s="104"/>
      <c r="X53" s="105"/>
    </row>
    <row r="54" spans="1:24" x14ac:dyDescent="0.2">
      <c r="A54" s="96">
        <v>1</v>
      </c>
      <c r="B54" s="102" t="str">
        <f t="shared" si="0"/>
        <v/>
      </c>
      <c r="C54" s="102" t="str">
        <f t="shared" si="1"/>
        <v>•</v>
      </c>
      <c r="D54" s="102" t="str">
        <f t="shared" si="2"/>
        <v/>
      </c>
      <c r="E54" s="102" t="str">
        <f t="shared" si="3"/>
        <v/>
      </c>
      <c r="F54" s="102" t="str">
        <f t="shared" si="4"/>
        <v/>
      </c>
      <c r="G54" s="102" t="str">
        <f t="shared" si="5"/>
        <v/>
      </c>
      <c r="H54" s="102" t="str">
        <f t="shared" si="6"/>
        <v/>
      </c>
      <c r="I54" s="102" t="str">
        <f t="shared" si="7"/>
        <v/>
      </c>
      <c r="J54" s="102" t="str">
        <f t="shared" si="8"/>
        <v/>
      </c>
      <c r="K54" s="103">
        <v>52</v>
      </c>
      <c r="L54" s="103"/>
      <c r="M54" s="104"/>
      <c r="N54" s="103"/>
      <c r="O54" s="103"/>
      <c r="P54" s="103"/>
      <c r="Q54" s="105"/>
      <c r="R54" s="104"/>
      <c r="S54" s="104"/>
      <c r="T54" s="104"/>
      <c r="U54" s="106"/>
      <c r="V54" s="104"/>
      <c r="W54" s="104"/>
      <c r="X54" s="105"/>
    </row>
    <row r="55" spans="1:24" x14ac:dyDescent="0.2">
      <c r="A55" s="96">
        <v>1</v>
      </c>
      <c r="B55" s="102" t="str">
        <f t="shared" si="0"/>
        <v/>
      </c>
      <c r="C55" s="102" t="str">
        <f t="shared" si="1"/>
        <v>•</v>
      </c>
      <c r="D55" s="102" t="str">
        <f t="shared" si="2"/>
        <v/>
      </c>
      <c r="E55" s="102" t="str">
        <f t="shared" si="3"/>
        <v/>
      </c>
      <c r="F55" s="102" t="str">
        <f t="shared" si="4"/>
        <v/>
      </c>
      <c r="G55" s="102" t="str">
        <f t="shared" si="5"/>
        <v/>
      </c>
      <c r="H55" s="102" t="str">
        <f t="shared" si="6"/>
        <v/>
      </c>
      <c r="I55" s="102" t="str">
        <f t="shared" si="7"/>
        <v/>
      </c>
      <c r="J55" s="102" t="str">
        <f t="shared" si="8"/>
        <v/>
      </c>
      <c r="K55" s="103">
        <v>53</v>
      </c>
      <c r="L55" s="103"/>
      <c r="M55" s="104"/>
      <c r="N55" s="103"/>
      <c r="O55" s="103"/>
      <c r="P55" s="103"/>
      <c r="Q55" s="105"/>
      <c r="R55" s="104"/>
      <c r="S55" s="104"/>
      <c r="T55" s="104"/>
      <c r="U55" s="106"/>
      <c r="V55" s="104"/>
      <c r="W55" s="104"/>
      <c r="X55" s="105"/>
    </row>
    <row r="56" spans="1:24" x14ac:dyDescent="0.2">
      <c r="A56" s="96">
        <v>1</v>
      </c>
      <c r="B56" s="102" t="str">
        <f t="shared" si="0"/>
        <v/>
      </c>
      <c r="C56" s="102" t="str">
        <f t="shared" si="1"/>
        <v>•</v>
      </c>
      <c r="D56" s="102" t="str">
        <f t="shared" si="2"/>
        <v/>
      </c>
      <c r="E56" s="102" t="str">
        <f t="shared" si="3"/>
        <v/>
      </c>
      <c r="F56" s="102" t="str">
        <f t="shared" si="4"/>
        <v/>
      </c>
      <c r="G56" s="102" t="str">
        <f t="shared" si="5"/>
        <v/>
      </c>
      <c r="H56" s="102" t="str">
        <f t="shared" si="6"/>
        <v/>
      </c>
      <c r="I56" s="102" t="str">
        <f t="shared" si="7"/>
        <v/>
      </c>
      <c r="J56" s="102" t="str">
        <f t="shared" si="8"/>
        <v/>
      </c>
      <c r="K56" s="103">
        <v>54</v>
      </c>
      <c r="L56" s="103"/>
      <c r="M56" s="104"/>
      <c r="N56" s="103"/>
      <c r="O56" s="103"/>
      <c r="P56" s="103"/>
      <c r="Q56" s="105"/>
      <c r="R56" s="104"/>
      <c r="S56" s="104"/>
      <c r="T56" s="104"/>
      <c r="U56" s="106"/>
      <c r="V56" s="104"/>
      <c r="W56" s="104"/>
      <c r="X56" s="105"/>
    </row>
    <row r="57" spans="1:24" x14ac:dyDescent="0.2">
      <c r="A57" s="96">
        <v>1</v>
      </c>
      <c r="B57" s="102" t="str">
        <f t="shared" si="0"/>
        <v/>
      </c>
      <c r="C57" s="102" t="str">
        <f t="shared" si="1"/>
        <v>•</v>
      </c>
      <c r="D57" s="102" t="str">
        <f t="shared" si="2"/>
        <v/>
      </c>
      <c r="E57" s="102" t="str">
        <f t="shared" si="3"/>
        <v/>
      </c>
      <c r="F57" s="102" t="str">
        <f t="shared" si="4"/>
        <v/>
      </c>
      <c r="G57" s="102" t="str">
        <f t="shared" si="5"/>
        <v/>
      </c>
      <c r="H57" s="102" t="str">
        <f t="shared" si="6"/>
        <v/>
      </c>
      <c r="I57" s="102" t="str">
        <f t="shared" si="7"/>
        <v/>
      </c>
      <c r="J57" s="102" t="str">
        <f t="shared" si="8"/>
        <v/>
      </c>
      <c r="K57" s="103">
        <v>55</v>
      </c>
      <c r="L57" s="103"/>
      <c r="M57" s="104"/>
      <c r="N57" s="103"/>
      <c r="O57" s="103"/>
      <c r="P57" s="103"/>
      <c r="Q57" s="105"/>
      <c r="R57" s="104"/>
      <c r="S57" s="104"/>
      <c r="T57" s="104"/>
      <c r="U57" s="106"/>
      <c r="V57" s="104"/>
      <c r="W57" s="104"/>
      <c r="X57" s="105"/>
    </row>
    <row r="58" spans="1:24" x14ac:dyDescent="0.2">
      <c r="A58" s="96">
        <v>1</v>
      </c>
      <c r="B58" s="102" t="str">
        <f t="shared" si="0"/>
        <v/>
      </c>
      <c r="C58" s="102" t="str">
        <f t="shared" si="1"/>
        <v>•</v>
      </c>
      <c r="D58" s="102" t="str">
        <f t="shared" si="2"/>
        <v/>
      </c>
      <c r="E58" s="102" t="str">
        <f t="shared" si="3"/>
        <v/>
      </c>
      <c r="F58" s="102" t="str">
        <f t="shared" si="4"/>
        <v/>
      </c>
      <c r="G58" s="102" t="str">
        <f t="shared" si="5"/>
        <v/>
      </c>
      <c r="H58" s="102" t="str">
        <f t="shared" si="6"/>
        <v/>
      </c>
      <c r="I58" s="102" t="str">
        <f t="shared" si="7"/>
        <v/>
      </c>
      <c r="J58" s="102" t="str">
        <f t="shared" si="8"/>
        <v/>
      </c>
      <c r="K58" s="103">
        <v>56</v>
      </c>
      <c r="L58" s="103"/>
      <c r="M58" s="104"/>
      <c r="N58" s="103"/>
      <c r="O58" s="103"/>
      <c r="P58" s="103"/>
      <c r="Q58" s="105"/>
      <c r="R58" s="104"/>
      <c r="S58" s="104"/>
      <c r="T58" s="104"/>
      <c r="U58" s="106"/>
      <c r="V58" s="104"/>
      <c r="W58" s="104"/>
      <c r="X58" s="105"/>
    </row>
    <row r="59" spans="1:24" x14ac:dyDescent="0.2">
      <c r="A59" s="96">
        <v>1</v>
      </c>
      <c r="B59" s="102" t="str">
        <f t="shared" si="0"/>
        <v/>
      </c>
      <c r="C59" s="102" t="str">
        <f t="shared" si="1"/>
        <v>•</v>
      </c>
      <c r="D59" s="102" t="str">
        <f t="shared" si="2"/>
        <v/>
      </c>
      <c r="E59" s="102" t="str">
        <f t="shared" si="3"/>
        <v/>
      </c>
      <c r="F59" s="102" t="str">
        <f t="shared" si="4"/>
        <v/>
      </c>
      <c r="G59" s="102" t="str">
        <f t="shared" si="5"/>
        <v/>
      </c>
      <c r="H59" s="102" t="str">
        <f t="shared" si="6"/>
        <v/>
      </c>
      <c r="I59" s="102" t="str">
        <f t="shared" si="7"/>
        <v/>
      </c>
      <c r="J59" s="102" t="str">
        <f t="shared" si="8"/>
        <v/>
      </c>
      <c r="K59" s="103">
        <v>57</v>
      </c>
      <c r="L59" s="103"/>
      <c r="M59" s="104"/>
      <c r="N59" s="103"/>
      <c r="O59" s="103"/>
      <c r="P59" s="103"/>
      <c r="Q59" s="105"/>
      <c r="R59" s="104"/>
      <c r="S59" s="104"/>
      <c r="T59" s="104"/>
      <c r="U59" s="106"/>
      <c r="V59" s="104"/>
      <c r="W59" s="104"/>
      <c r="X59" s="105"/>
    </row>
    <row r="60" spans="1:24" x14ac:dyDescent="0.2">
      <c r="A60" s="96">
        <v>1</v>
      </c>
      <c r="B60" s="102" t="str">
        <f t="shared" si="0"/>
        <v/>
      </c>
      <c r="C60" s="102" t="str">
        <f t="shared" si="1"/>
        <v>•</v>
      </c>
      <c r="D60" s="102" t="str">
        <f t="shared" si="2"/>
        <v/>
      </c>
      <c r="E60" s="102" t="str">
        <f t="shared" si="3"/>
        <v/>
      </c>
      <c r="F60" s="102" t="str">
        <f t="shared" si="4"/>
        <v/>
      </c>
      <c r="G60" s="102" t="str">
        <f t="shared" si="5"/>
        <v/>
      </c>
      <c r="H60" s="102" t="str">
        <f t="shared" si="6"/>
        <v/>
      </c>
      <c r="I60" s="102" t="str">
        <f t="shared" si="7"/>
        <v/>
      </c>
      <c r="J60" s="102" t="str">
        <f t="shared" si="8"/>
        <v/>
      </c>
      <c r="K60" s="103">
        <v>58</v>
      </c>
      <c r="L60" s="103"/>
      <c r="M60" s="104"/>
      <c r="N60" s="103"/>
      <c r="O60" s="103"/>
      <c r="P60" s="103"/>
      <c r="Q60" s="105"/>
      <c r="R60" s="104"/>
      <c r="S60" s="104"/>
      <c r="T60" s="104"/>
      <c r="U60" s="106"/>
      <c r="V60" s="104"/>
      <c r="W60" s="104"/>
      <c r="X60" s="105"/>
    </row>
    <row r="61" spans="1:24" x14ac:dyDescent="0.2">
      <c r="A61" s="96">
        <v>1</v>
      </c>
      <c r="B61" s="102" t="str">
        <f t="shared" si="0"/>
        <v/>
      </c>
      <c r="C61" s="102" t="str">
        <f t="shared" si="1"/>
        <v>•</v>
      </c>
      <c r="D61" s="102" t="str">
        <f t="shared" si="2"/>
        <v/>
      </c>
      <c r="E61" s="102" t="str">
        <f t="shared" si="3"/>
        <v/>
      </c>
      <c r="F61" s="102" t="str">
        <f t="shared" si="4"/>
        <v/>
      </c>
      <c r="G61" s="102" t="str">
        <f t="shared" si="5"/>
        <v/>
      </c>
      <c r="H61" s="102" t="str">
        <f t="shared" si="6"/>
        <v/>
      </c>
      <c r="I61" s="102" t="str">
        <f t="shared" si="7"/>
        <v/>
      </c>
      <c r="J61" s="102" t="str">
        <f t="shared" si="8"/>
        <v/>
      </c>
      <c r="K61" s="103">
        <v>59</v>
      </c>
      <c r="L61" s="103"/>
      <c r="M61" s="104"/>
      <c r="N61" s="103"/>
      <c r="O61" s="103"/>
      <c r="P61" s="103"/>
      <c r="Q61" s="105"/>
      <c r="R61" s="104"/>
      <c r="S61" s="104"/>
      <c r="T61" s="104"/>
      <c r="U61" s="106"/>
      <c r="V61" s="104"/>
      <c r="W61" s="104"/>
      <c r="X61" s="105"/>
    </row>
    <row r="62" spans="1:24" x14ac:dyDescent="0.2">
      <c r="A62" s="96">
        <v>1</v>
      </c>
      <c r="B62" s="102" t="str">
        <f t="shared" si="0"/>
        <v/>
      </c>
      <c r="C62" s="102" t="str">
        <f t="shared" si="1"/>
        <v>•</v>
      </c>
      <c r="D62" s="102" t="str">
        <f t="shared" si="2"/>
        <v/>
      </c>
      <c r="E62" s="102" t="str">
        <f t="shared" si="3"/>
        <v/>
      </c>
      <c r="F62" s="102" t="str">
        <f t="shared" si="4"/>
        <v/>
      </c>
      <c r="G62" s="102" t="str">
        <f t="shared" si="5"/>
        <v/>
      </c>
      <c r="H62" s="102" t="str">
        <f t="shared" si="6"/>
        <v/>
      </c>
      <c r="I62" s="102" t="str">
        <f t="shared" si="7"/>
        <v/>
      </c>
      <c r="J62" s="102" t="str">
        <f t="shared" si="8"/>
        <v/>
      </c>
      <c r="K62" s="103">
        <v>60</v>
      </c>
      <c r="L62" s="103"/>
      <c r="M62" s="104"/>
      <c r="N62" s="103"/>
      <c r="O62" s="103"/>
      <c r="P62" s="103"/>
      <c r="Q62" s="105"/>
      <c r="R62" s="104"/>
      <c r="S62" s="104"/>
      <c r="T62" s="104"/>
      <c r="U62" s="106"/>
      <c r="V62" s="104"/>
      <c r="W62" s="104"/>
      <c r="X62" s="105"/>
    </row>
  </sheetData>
  <mergeCells count="1">
    <mergeCell ref="A5:J5"/>
  </mergeCells>
  <dataValidations count="4">
    <dataValidation type="list" allowBlank="1" showInputMessage="1" showErrorMessage="1" sqref="M3 N7:N62" xr:uid="{46A4E334-2C8B-0C41-8062-F4891323C701}">
      <formula1>Revision</formula1>
    </dataValidation>
    <dataValidation type="list" allowBlank="1" showInputMessage="1" showErrorMessage="1" sqref="A7:A62" xr:uid="{79ED1565-4334-0847-A52D-9A311ADE2712}">
      <formula1>BOM_Levels</formula1>
    </dataValidation>
    <dataValidation type="list" allowBlank="1" showInputMessage="1" showErrorMessage="1" sqref="P7:P62" xr:uid="{07A4945A-4D01-ED48-A17B-EEEA5D3598D8}">
      <formula1>UOM</formula1>
    </dataValidation>
    <dataValidation type="list" allowBlank="1" showInputMessage="1" showErrorMessage="1" sqref="R7:R62" xr:uid="{3F040764-B7CA-6B42-8289-DC0C4AF1CF50}">
      <formula1>MakeBuy</formula1>
    </dataValidation>
  </dataValidations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AAA719-F45A-6F4B-A901-DAF3E9A4B755}">
  <sheetPr codeName="Sheet10"/>
  <dimension ref="A2:I12"/>
  <sheetViews>
    <sheetView zoomScale="159" workbookViewId="0">
      <selection activeCell="B2" sqref="B2"/>
    </sheetView>
  </sheetViews>
  <sheetFormatPr baseColWidth="10" defaultColWidth="11" defaultRowHeight="16" x14ac:dyDescent="0.2"/>
  <cols>
    <col min="1" max="1" width="14.5" customWidth="1"/>
    <col min="2" max="2" width="23" customWidth="1"/>
    <col min="3" max="3" width="22.1640625" bestFit="1" customWidth="1"/>
    <col min="4" max="4" width="11.5" bestFit="1" customWidth="1"/>
    <col min="5" max="5" width="11" bestFit="1" customWidth="1"/>
    <col min="6" max="6" width="13.5" customWidth="1"/>
    <col min="7" max="7" width="16.33203125" bestFit="1" customWidth="1"/>
    <col min="8" max="8" width="13.5" customWidth="1"/>
  </cols>
  <sheetData>
    <row r="2" spans="1:9" x14ac:dyDescent="0.2">
      <c r="A2" s="5" t="s">
        <v>746</v>
      </c>
      <c r="B2" s="5" t="str">
        <f>'S09 BOM'!L9</f>
        <v>I-1001</v>
      </c>
      <c r="C2" s="5" t="str">
        <f>'S09 BOM'!M9</f>
        <v>Axis</v>
      </c>
      <c r="D2" s="5"/>
      <c r="E2" s="5"/>
      <c r="F2" s="5"/>
      <c r="G2" s="5"/>
      <c r="H2" s="5"/>
      <c r="I2" s="5"/>
    </row>
    <row r="3" spans="1:9" x14ac:dyDescent="0.2">
      <c r="A3" s="5" t="s">
        <v>747</v>
      </c>
      <c r="B3" s="5" t="str">
        <f>'S09 BOM'!V9</f>
        <v>Stainless Steel X12Cr13</v>
      </c>
      <c r="C3" s="5"/>
      <c r="D3" s="5"/>
      <c r="E3" s="5"/>
      <c r="F3" s="5"/>
      <c r="G3" s="5"/>
      <c r="H3" s="5"/>
      <c r="I3" s="5"/>
    </row>
    <row r="4" spans="1:9" x14ac:dyDescent="0.2">
      <c r="A4" s="108" t="s">
        <v>0</v>
      </c>
      <c r="B4" s="5" t="s">
        <v>748</v>
      </c>
      <c r="C4" s="5" t="s">
        <v>573</v>
      </c>
      <c r="D4" s="5" t="s">
        <v>749</v>
      </c>
      <c r="E4" s="5" t="s">
        <v>750</v>
      </c>
      <c r="F4" s="5" t="s">
        <v>751</v>
      </c>
      <c r="G4" s="5" t="s">
        <v>752</v>
      </c>
      <c r="H4" s="5" t="s">
        <v>753</v>
      </c>
      <c r="I4" s="5" t="s">
        <v>754</v>
      </c>
    </row>
    <row r="5" spans="1:9" x14ac:dyDescent="0.2">
      <c r="A5" s="3">
        <v>10</v>
      </c>
      <c r="B5" s="3" t="s">
        <v>755</v>
      </c>
      <c r="C5" s="3" t="s">
        <v>619</v>
      </c>
      <c r="D5" s="3"/>
      <c r="E5" s="3"/>
      <c r="F5" s="3"/>
      <c r="G5" s="3"/>
      <c r="H5" s="3">
        <v>200</v>
      </c>
      <c r="I5" s="3"/>
    </row>
    <row r="6" spans="1:9" x14ac:dyDescent="0.2">
      <c r="A6" s="3">
        <v>20</v>
      </c>
      <c r="B6" s="3" t="s">
        <v>756</v>
      </c>
      <c r="C6" s="3" t="s">
        <v>498</v>
      </c>
      <c r="D6" s="3">
        <v>750</v>
      </c>
      <c r="E6" s="3">
        <v>250</v>
      </c>
      <c r="F6" s="3"/>
      <c r="G6" s="3">
        <v>120</v>
      </c>
      <c r="H6" s="3">
        <v>200</v>
      </c>
      <c r="I6" s="3"/>
    </row>
    <row r="7" spans="1:9" x14ac:dyDescent="0.2">
      <c r="A7" s="3">
        <v>30</v>
      </c>
      <c r="B7" s="3" t="s">
        <v>757</v>
      </c>
      <c r="C7" s="3" t="s">
        <v>470</v>
      </c>
      <c r="D7" s="3"/>
      <c r="E7" s="3"/>
      <c r="F7" s="3"/>
      <c r="G7" s="3">
        <v>600</v>
      </c>
      <c r="H7" s="3">
        <v>200</v>
      </c>
      <c r="I7" s="3"/>
    </row>
    <row r="8" spans="1:9" x14ac:dyDescent="0.2">
      <c r="A8" s="3">
        <v>40</v>
      </c>
      <c r="B8" s="3" t="s">
        <v>758</v>
      </c>
      <c r="C8" s="3" t="s">
        <v>482</v>
      </c>
      <c r="D8" s="3"/>
      <c r="E8" s="3"/>
      <c r="F8" s="3"/>
      <c r="G8" s="3">
        <v>480</v>
      </c>
      <c r="H8" s="3">
        <v>200</v>
      </c>
      <c r="I8" s="3"/>
    </row>
    <row r="9" spans="1:9" x14ac:dyDescent="0.2">
      <c r="A9" s="3">
        <v>50</v>
      </c>
      <c r="B9" s="3" t="s">
        <v>759</v>
      </c>
      <c r="C9" s="3" t="s">
        <v>488</v>
      </c>
      <c r="D9" s="3"/>
      <c r="E9" s="3"/>
      <c r="F9" s="3"/>
      <c r="G9" s="3">
        <v>180</v>
      </c>
      <c r="H9" s="3">
        <v>200</v>
      </c>
      <c r="I9" s="3" t="s">
        <v>760</v>
      </c>
    </row>
    <row r="10" spans="1:9" x14ac:dyDescent="0.2">
      <c r="A10" s="3">
        <v>60</v>
      </c>
      <c r="B10" s="3" t="s">
        <v>761</v>
      </c>
      <c r="C10" s="3" t="s">
        <v>494</v>
      </c>
      <c r="D10" s="3">
        <v>10</v>
      </c>
      <c r="E10" s="3">
        <v>250</v>
      </c>
      <c r="F10" s="3"/>
      <c r="G10" s="3">
        <v>720</v>
      </c>
      <c r="H10" s="3">
        <v>200</v>
      </c>
      <c r="I10" s="3"/>
    </row>
    <row r="11" spans="1:9" x14ac:dyDescent="0.2">
      <c r="A11" s="3">
        <v>70</v>
      </c>
      <c r="B11" s="3" t="s">
        <v>762</v>
      </c>
      <c r="C11" s="3" t="s">
        <v>618</v>
      </c>
      <c r="D11" s="3"/>
      <c r="E11" s="3"/>
      <c r="F11" s="3"/>
      <c r="G11" s="3">
        <v>300</v>
      </c>
      <c r="H11" s="3">
        <v>200</v>
      </c>
      <c r="I11" s="3"/>
    </row>
    <row r="12" spans="1:9" x14ac:dyDescent="0.2">
      <c r="A12" s="3">
        <v>80</v>
      </c>
      <c r="B12" s="3" t="s">
        <v>763</v>
      </c>
      <c r="C12" s="3" t="s">
        <v>620</v>
      </c>
      <c r="D12" s="3"/>
      <c r="E12" s="3"/>
      <c r="F12" s="3"/>
      <c r="G12" s="3"/>
      <c r="H12" s="3">
        <v>200</v>
      </c>
      <c r="I12" s="3"/>
    </row>
  </sheetData>
  <pageMargins left="0.7" right="0.7" top="0.75" bottom="0.75" header="0.3" footer="0.3"/>
  <pageSetup orientation="portrait" horizontalDpi="4294967293" verticalDpi="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6B2534-572F-2443-B600-9196DCDB48D1}">
  <sheetPr codeName="Sheet11"/>
  <dimension ref="A1:F45"/>
  <sheetViews>
    <sheetView zoomScale="200" workbookViewId="0">
      <selection activeCell="A2" sqref="A2:B14"/>
    </sheetView>
  </sheetViews>
  <sheetFormatPr baseColWidth="10" defaultColWidth="11" defaultRowHeight="16" x14ac:dyDescent="0.2"/>
  <cols>
    <col min="1" max="1" width="17.33203125" customWidth="1"/>
    <col min="2" max="2" width="24.5" customWidth="1"/>
    <col min="3" max="3" width="20.6640625" customWidth="1"/>
    <col min="4" max="4" width="16.33203125" customWidth="1"/>
    <col min="5" max="5" width="13.5" customWidth="1"/>
    <col min="6" max="6" width="15.33203125" customWidth="1"/>
  </cols>
  <sheetData>
    <row r="1" spans="1:6" ht="17" x14ac:dyDescent="0.2">
      <c r="A1" s="2" t="s">
        <v>573</v>
      </c>
      <c r="B1" s="2" t="s">
        <v>621</v>
      </c>
      <c r="C1" s="1" t="s">
        <v>459</v>
      </c>
      <c r="D1" s="1" t="s">
        <v>460</v>
      </c>
      <c r="E1" s="32" t="s">
        <v>461</v>
      </c>
      <c r="F1" s="32" t="s">
        <v>462</v>
      </c>
    </row>
    <row r="2" spans="1:6" x14ac:dyDescent="0.2">
      <c r="A2" s="37" t="s">
        <v>574</v>
      </c>
      <c r="B2" s="39" t="s">
        <v>463</v>
      </c>
      <c r="C2" s="40">
        <v>30</v>
      </c>
      <c r="D2" s="40">
        <v>1600</v>
      </c>
      <c r="E2" s="41">
        <v>2000</v>
      </c>
      <c r="F2" s="41">
        <v>1000</v>
      </c>
    </row>
    <row r="3" spans="1:6" x14ac:dyDescent="0.2">
      <c r="A3" s="37" t="s">
        <v>575</v>
      </c>
      <c r="B3" s="39" t="s">
        <v>464</v>
      </c>
      <c r="C3" s="40">
        <v>30</v>
      </c>
      <c r="D3" s="40">
        <v>1600</v>
      </c>
      <c r="E3" s="41">
        <v>2000</v>
      </c>
      <c r="F3" s="41">
        <v>1200</v>
      </c>
    </row>
    <row r="4" spans="1:6" x14ac:dyDescent="0.2">
      <c r="A4" s="37" t="s">
        <v>576</v>
      </c>
      <c r="B4" s="39" t="s">
        <v>465</v>
      </c>
      <c r="C4" s="40">
        <v>30</v>
      </c>
      <c r="D4" s="40">
        <v>1600</v>
      </c>
      <c r="E4" s="41">
        <v>2500</v>
      </c>
      <c r="F4" s="41">
        <v>1000</v>
      </c>
    </row>
    <row r="5" spans="1:6" x14ac:dyDescent="0.2">
      <c r="A5" s="37" t="s">
        <v>577</v>
      </c>
      <c r="B5" s="39" t="s">
        <v>466</v>
      </c>
      <c r="C5" s="40">
        <v>40</v>
      </c>
      <c r="D5" s="40">
        <v>1600</v>
      </c>
      <c r="E5" s="41">
        <v>3000</v>
      </c>
      <c r="F5" s="41">
        <v>1200</v>
      </c>
    </row>
    <row r="6" spans="1:6" x14ac:dyDescent="0.2">
      <c r="A6" s="37" t="s">
        <v>578</v>
      </c>
      <c r="B6" s="39" t="s">
        <v>467</v>
      </c>
      <c r="C6" s="40">
        <v>30</v>
      </c>
      <c r="D6" s="40">
        <v>1600</v>
      </c>
      <c r="E6" s="41">
        <v>2200</v>
      </c>
      <c r="F6" s="41">
        <v>1400</v>
      </c>
    </row>
    <row r="7" spans="1:6" x14ac:dyDescent="0.2">
      <c r="A7" s="37" t="s">
        <v>579</v>
      </c>
      <c r="B7" s="39" t="s">
        <v>468</v>
      </c>
      <c r="C7" s="40">
        <v>40</v>
      </c>
      <c r="D7" s="40">
        <v>1600</v>
      </c>
      <c r="E7" s="41">
        <v>2200</v>
      </c>
      <c r="F7" s="41">
        <v>1400</v>
      </c>
    </row>
    <row r="8" spans="1:6" x14ac:dyDescent="0.2">
      <c r="A8" s="37" t="s">
        <v>580</v>
      </c>
      <c r="B8" s="39" t="s">
        <v>469</v>
      </c>
      <c r="C8" s="40">
        <v>35</v>
      </c>
      <c r="D8" s="40">
        <v>1600</v>
      </c>
      <c r="E8" s="41">
        <v>2600</v>
      </c>
      <c r="F8" s="41">
        <v>1500</v>
      </c>
    </row>
    <row r="9" spans="1:6" x14ac:dyDescent="0.2">
      <c r="A9" s="37" t="s">
        <v>581</v>
      </c>
      <c r="B9" s="39" t="s">
        <v>470</v>
      </c>
      <c r="C9" s="40">
        <v>30</v>
      </c>
      <c r="D9" s="40">
        <v>1600</v>
      </c>
      <c r="E9" s="41">
        <v>2000</v>
      </c>
      <c r="F9" s="41">
        <v>900</v>
      </c>
    </row>
    <row r="10" spans="1:6" x14ac:dyDescent="0.2">
      <c r="A10" s="37" t="s">
        <v>582</v>
      </c>
      <c r="B10" s="39" t="s">
        <v>471</v>
      </c>
      <c r="C10" s="40">
        <v>30</v>
      </c>
      <c r="D10" s="40">
        <v>1600</v>
      </c>
      <c r="E10" s="41">
        <v>2000</v>
      </c>
      <c r="F10" s="41">
        <v>1000</v>
      </c>
    </row>
    <row r="11" spans="1:6" x14ac:dyDescent="0.2">
      <c r="A11" s="37" t="s">
        <v>583</v>
      </c>
      <c r="B11" s="39" t="s">
        <v>472</v>
      </c>
      <c r="C11" s="40">
        <v>45</v>
      </c>
      <c r="D11" s="40">
        <v>1600</v>
      </c>
      <c r="E11" s="41">
        <v>1500</v>
      </c>
      <c r="F11" s="41">
        <v>1000</v>
      </c>
    </row>
    <row r="12" spans="1:6" x14ac:dyDescent="0.2">
      <c r="A12" s="37" t="s">
        <v>584</v>
      </c>
      <c r="B12" s="39" t="s">
        <v>473</v>
      </c>
      <c r="C12" s="40">
        <v>20</v>
      </c>
      <c r="D12" s="40">
        <v>1600</v>
      </c>
      <c r="E12" s="41">
        <v>1500</v>
      </c>
      <c r="F12" s="41">
        <v>1800</v>
      </c>
    </row>
    <row r="13" spans="1:6" x14ac:dyDescent="0.2">
      <c r="A13" s="37" t="s">
        <v>585</v>
      </c>
      <c r="B13" s="39" t="s">
        <v>474</v>
      </c>
      <c r="C13" s="40">
        <v>25</v>
      </c>
      <c r="D13" s="40">
        <v>1600</v>
      </c>
      <c r="E13" s="41">
        <v>1850</v>
      </c>
      <c r="F13" s="41">
        <v>1650</v>
      </c>
    </row>
    <row r="14" spans="1:6" x14ac:dyDescent="0.2">
      <c r="A14" s="37" t="s">
        <v>586</v>
      </c>
      <c r="B14" s="39" t="s">
        <v>475</v>
      </c>
      <c r="C14" s="40">
        <v>20</v>
      </c>
      <c r="D14" s="40">
        <v>1600</v>
      </c>
      <c r="E14" s="41">
        <v>3000</v>
      </c>
      <c r="F14" s="41">
        <v>1200</v>
      </c>
    </row>
    <row r="15" spans="1:6" x14ac:dyDescent="0.2">
      <c r="A15" s="37" t="s">
        <v>587</v>
      </c>
      <c r="B15" s="39" t="s">
        <v>476</v>
      </c>
      <c r="C15" s="40">
        <v>30</v>
      </c>
      <c r="D15" s="40">
        <v>1600</v>
      </c>
      <c r="E15" s="41">
        <v>2500</v>
      </c>
      <c r="F15" s="41">
        <v>2000</v>
      </c>
    </row>
    <row r="16" spans="1:6" x14ac:dyDescent="0.2">
      <c r="A16" s="37" t="s">
        <v>588</v>
      </c>
      <c r="B16" s="39" t="s">
        <v>477</v>
      </c>
      <c r="C16" s="40">
        <v>40</v>
      </c>
      <c r="D16" s="40">
        <v>1600</v>
      </c>
      <c r="E16" s="41">
        <v>3000</v>
      </c>
      <c r="F16" s="41">
        <v>1400</v>
      </c>
    </row>
    <row r="17" spans="1:6" x14ac:dyDescent="0.2">
      <c r="A17" s="37" t="s">
        <v>589</v>
      </c>
      <c r="B17" s="39" t="s">
        <v>478</v>
      </c>
      <c r="C17" s="40">
        <v>30</v>
      </c>
      <c r="D17" s="40">
        <v>1600</v>
      </c>
      <c r="E17" s="41">
        <v>2800</v>
      </c>
      <c r="F17" s="41">
        <v>1500</v>
      </c>
    </row>
    <row r="18" spans="1:6" x14ac:dyDescent="0.2">
      <c r="A18" s="37" t="s">
        <v>590</v>
      </c>
      <c r="B18" s="39" t="s">
        <v>479</v>
      </c>
      <c r="C18" s="40">
        <v>30</v>
      </c>
      <c r="D18" s="40">
        <v>1600</v>
      </c>
      <c r="E18" s="41">
        <v>2500</v>
      </c>
      <c r="F18" s="41">
        <v>1600</v>
      </c>
    </row>
    <row r="19" spans="1:6" x14ac:dyDescent="0.2">
      <c r="A19" s="37" t="s">
        <v>591</v>
      </c>
      <c r="B19" s="39" t="s">
        <v>480</v>
      </c>
      <c r="C19" s="40">
        <v>30</v>
      </c>
      <c r="D19" s="40">
        <v>1600</v>
      </c>
      <c r="E19" s="41">
        <v>2400</v>
      </c>
      <c r="F19" s="41">
        <v>1600</v>
      </c>
    </row>
    <row r="20" spans="1:6" x14ac:dyDescent="0.2">
      <c r="A20" s="37" t="s">
        <v>592</v>
      </c>
      <c r="B20" s="39" t="s">
        <v>481</v>
      </c>
      <c r="C20" s="40">
        <v>30</v>
      </c>
      <c r="D20" s="40">
        <v>1600</v>
      </c>
      <c r="E20" s="41">
        <v>2400</v>
      </c>
      <c r="F20" s="41">
        <v>1600</v>
      </c>
    </row>
    <row r="21" spans="1:6" x14ac:dyDescent="0.2">
      <c r="A21" s="37" t="s">
        <v>593</v>
      </c>
      <c r="B21" s="39" t="s">
        <v>482</v>
      </c>
      <c r="C21" s="40">
        <v>20</v>
      </c>
      <c r="D21" s="40">
        <v>1600</v>
      </c>
      <c r="E21" s="41">
        <v>3000</v>
      </c>
      <c r="F21" s="41">
        <v>2500</v>
      </c>
    </row>
    <row r="22" spans="1:6" x14ac:dyDescent="0.2">
      <c r="A22" s="37" t="s">
        <v>594</v>
      </c>
      <c r="B22" s="39" t="s">
        <v>483</v>
      </c>
      <c r="C22" s="40">
        <v>30</v>
      </c>
      <c r="D22" s="40">
        <v>1600</v>
      </c>
      <c r="E22" s="41">
        <v>3500</v>
      </c>
      <c r="F22" s="41">
        <v>2600</v>
      </c>
    </row>
    <row r="23" spans="1:6" x14ac:dyDescent="0.2">
      <c r="A23" s="37" t="s">
        <v>595</v>
      </c>
      <c r="B23" s="39" t="s">
        <v>484</v>
      </c>
      <c r="C23" s="40">
        <v>42</v>
      </c>
      <c r="D23" s="40">
        <v>1600</v>
      </c>
      <c r="E23" s="41">
        <v>3000</v>
      </c>
      <c r="F23" s="41">
        <v>2500</v>
      </c>
    </row>
    <row r="24" spans="1:6" x14ac:dyDescent="0.2">
      <c r="A24" s="37" t="s">
        <v>596</v>
      </c>
      <c r="B24" s="39" t="s">
        <v>485</v>
      </c>
      <c r="C24" s="40">
        <v>35</v>
      </c>
      <c r="D24" s="40">
        <v>1600</v>
      </c>
      <c r="E24" s="41">
        <v>2800</v>
      </c>
      <c r="F24" s="41">
        <v>2000</v>
      </c>
    </row>
    <row r="25" spans="1:6" x14ac:dyDescent="0.2">
      <c r="A25" s="37" t="s">
        <v>597</v>
      </c>
      <c r="B25" s="39" t="s">
        <v>486</v>
      </c>
      <c r="C25" s="40">
        <v>25</v>
      </c>
      <c r="D25" s="40">
        <v>1600</v>
      </c>
      <c r="E25" s="41">
        <v>3000</v>
      </c>
      <c r="F25" s="41">
        <v>2500</v>
      </c>
    </row>
    <row r="26" spans="1:6" x14ac:dyDescent="0.2">
      <c r="A26" s="37" t="s">
        <v>598</v>
      </c>
      <c r="B26" s="39" t="s">
        <v>487</v>
      </c>
      <c r="C26" s="40">
        <v>30</v>
      </c>
      <c r="D26" s="40">
        <v>1600</v>
      </c>
      <c r="E26" s="41">
        <v>2000</v>
      </c>
      <c r="F26" s="41">
        <v>2000</v>
      </c>
    </row>
    <row r="27" spans="1:6" x14ac:dyDescent="0.2">
      <c r="A27" s="37" t="s">
        <v>599</v>
      </c>
      <c r="B27" s="39" t="s">
        <v>488</v>
      </c>
      <c r="C27" s="40">
        <v>30</v>
      </c>
      <c r="D27" s="40">
        <v>1600</v>
      </c>
      <c r="E27" s="41">
        <v>1800</v>
      </c>
      <c r="F27" s="41">
        <v>1500</v>
      </c>
    </row>
    <row r="28" spans="1:6" x14ac:dyDescent="0.2">
      <c r="A28" s="37" t="s">
        <v>600</v>
      </c>
      <c r="B28" s="39" t="s">
        <v>489</v>
      </c>
      <c r="C28" s="40">
        <v>30</v>
      </c>
      <c r="D28" s="40">
        <v>1600</v>
      </c>
      <c r="E28" s="41">
        <v>1900</v>
      </c>
      <c r="F28" s="41">
        <v>2500</v>
      </c>
    </row>
    <row r="29" spans="1:6" x14ac:dyDescent="0.2">
      <c r="A29" s="37" t="s">
        <v>601</v>
      </c>
      <c r="B29" s="39" t="s">
        <v>490</v>
      </c>
      <c r="C29" s="40">
        <v>30</v>
      </c>
      <c r="D29" s="40">
        <v>1600</v>
      </c>
      <c r="E29" s="41">
        <v>2500</v>
      </c>
      <c r="F29" s="41">
        <v>2500</v>
      </c>
    </row>
    <row r="30" spans="1:6" x14ac:dyDescent="0.2">
      <c r="A30" s="37" t="s">
        <v>602</v>
      </c>
      <c r="B30" s="39" t="s">
        <v>491</v>
      </c>
      <c r="C30" s="40">
        <v>20</v>
      </c>
      <c r="D30" s="40">
        <v>1600</v>
      </c>
      <c r="E30" s="41">
        <v>2200</v>
      </c>
      <c r="F30" s="41">
        <v>2200</v>
      </c>
    </row>
    <row r="31" spans="1:6" x14ac:dyDescent="0.2">
      <c r="A31" s="37" t="s">
        <v>603</v>
      </c>
      <c r="B31" s="39" t="s">
        <v>492</v>
      </c>
      <c r="C31" s="40">
        <v>30</v>
      </c>
      <c r="D31" s="40">
        <v>1600</v>
      </c>
      <c r="E31" s="41">
        <v>2400</v>
      </c>
      <c r="F31" s="41">
        <v>2400</v>
      </c>
    </row>
    <row r="32" spans="1:6" x14ac:dyDescent="0.2">
      <c r="A32" s="37" t="s">
        <v>604</v>
      </c>
      <c r="B32" s="39" t="s">
        <v>493</v>
      </c>
      <c r="C32" s="40">
        <v>30</v>
      </c>
      <c r="D32" s="40">
        <v>1600</v>
      </c>
      <c r="E32" s="41">
        <v>2000</v>
      </c>
      <c r="F32" s="41">
        <v>2000</v>
      </c>
    </row>
    <row r="33" spans="1:6" x14ac:dyDescent="0.2">
      <c r="A33" s="37" t="s">
        <v>605</v>
      </c>
      <c r="B33" s="39" t="s">
        <v>494</v>
      </c>
      <c r="C33" s="40">
        <v>40</v>
      </c>
      <c r="D33" s="40">
        <v>1600</v>
      </c>
      <c r="E33" s="41">
        <v>3000</v>
      </c>
      <c r="F33" s="41">
        <v>2500</v>
      </c>
    </row>
    <row r="34" spans="1:6" x14ac:dyDescent="0.2">
      <c r="A34" s="37" t="s">
        <v>606</v>
      </c>
      <c r="B34" s="39" t="s">
        <v>495</v>
      </c>
      <c r="C34" s="40">
        <v>30</v>
      </c>
      <c r="D34" s="40">
        <v>1600</v>
      </c>
      <c r="E34" s="41">
        <v>3000</v>
      </c>
      <c r="F34" s="41">
        <v>2500</v>
      </c>
    </row>
    <row r="35" spans="1:6" x14ac:dyDescent="0.2">
      <c r="A35" s="37" t="s">
        <v>607</v>
      </c>
      <c r="B35" s="39" t="s">
        <v>496</v>
      </c>
      <c r="C35" s="40">
        <v>35</v>
      </c>
      <c r="D35" s="40">
        <v>1600</v>
      </c>
      <c r="E35" s="41">
        <v>3000</v>
      </c>
      <c r="F35" s="41">
        <v>2000</v>
      </c>
    </row>
    <row r="36" spans="1:6" x14ac:dyDescent="0.2">
      <c r="A36" s="37" t="s">
        <v>608</v>
      </c>
      <c r="B36" s="39" t="s">
        <v>497</v>
      </c>
      <c r="C36" s="40">
        <v>32</v>
      </c>
      <c r="D36" s="40">
        <v>1600</v>
      </c>
      <c r="E36" s="41">
        <v>2800</v>
      </c>
      <c r="F36" s="41">
        <v>2500</v>
      </c>
    </row>
    <row r="37" spans="1:6" x14ac:dyDescent="0.2">
      <c r="A37" s="37" t="s">
        <v>609</v>
      </c>
      <c r="B37" s="39" t="s">
        <v>498</v>
      </c>
      <c r="C37" s="40">
        <v>40</v>
      </c>
      <c r="D37" s="40">
        <v>1600</v>
      </c>
      <c r="E37" s="41">
        <v>1500</v>
      </c>
      <c r="F37" s="41">
        <v>1500</v>
      </c>
    </row>
    <row r="38" spans="1:6" x14ac:dyDescent="0.2">
      <c r="A38" s="37" t="s">
        <v>610</v>
      </c>
      <c r="B38" s="39" t="s">
        <v>499</v>
      </c>
      <c r="C38" s="40">
        <v>30</v>
      </c>
      <c r="D38" s="40">
        <v>1600</v>
      </c>
      <c r="E38" s="41">
        <v>1500</v>
      </c>
      <c r="F38" s="41">
        <v>1500</v>
      </c>
    </row>
    <row r="39" spans="1:6" x14ac:dyDescent="0.2">
      <c r="A39" s="37" t="s">
        <v>611</v>
      </c>
      <c r="B39" s="39" t="s">
        <v>500</v>
      </c>
      <c r="C39" s="40">
        <v>35</v>
      </c>
      <c r="D39" s="40">
        <v>1600</v>
      </c>
      <c r="E39" s="41">
        <v>1600</v>
      </c>
      <c r="F39" s="41">
        <v>1600</v>
      </c>
    </row>
    <row r="40" spans="1:6" x14ac:dyDescent="0.2">
      <c r="A40" s="37" t="s">
        <v>612</v>
      </c>
      <c r="B40" s="39" t="s">
        <v>501</v>
      </c>
      <c r="C40" s="40">
        <v>40</v>
      </c>
      <c r="D40" s="40">
        <v>1600</v>
      </c>
      <c r="E40" s="41">
        <v>1700</v>
      </c>
      <c r="F40" s="41">
        <v>1700</v>
      </c>
    </row>
    <row r="41" spans="1:6" x14ac:dyDescent="0.2">
      <c r="A41" s="37" t="s">
        <v>613</v>
      </c>
      <c r="B41" s="39" t="s">
        <v>502</v>
      </c>
      <c r="C41" s="40">
        <v>40</v>
      </c>
      <c r="D41" s="40">
        <v>1600</v>
      </c>
      <c r="E41" s="41">
        <v>1700</v>
      </c>
      <c r="F41" s="41">
        <v>1700</v>
      </c>
    </row>
    <row r="42" spans="1:6" x14ac:dyDescent="0.2">
      <c r="A42" s="37" t="s">
        <v>614</v>
      </c>
      <c r="B42" s="39" t="s">
        <v>503</v>
      </c>
      <c r="C42" s="40">
        <v>30</v>
      </c>
      <c r="D42" s="40">
        <v>1600</v>
      </c>
      <c r="E42" s="41">
        <v>1500</v>
      </c>
      <c r="F42" s="41">
        <v>1600</v>
      </c>
    </row>
    <row r="43" spans="1:6" x14ac:dyDescent="0.2">
      <c r="A43" s="37" t="s">
        <v>615</v>
      </c>
      <c r="B43" s="39" t="s">
        <v>618</v>
      </c>
      <c r="C43" s="40">
        <v>60</v>
      </c>
      <c r="D43" s="40">
        <v>1600</v>
      </c>
      <c r="E43" s="41">
        <v>9000</v>
      </c>
      <c r="F43" s="41">
        <v>9000</v>
      </c>
    </row>
    <row r="44" spans="1:6" x14ac:dyDescent="0.2">
      <c r="A44" s="37" t="s">
        <v>616</v>
      </c>
      <c r="B44" s="39" t="s">
        <v>619</v>
      </c>
      <c r="C44" s="40">
        <v>1</v>
      </c>
      <c r="D44" s="40">
        <v>1600</v>
      </c>
      <c r="E44" s="41">
        <v>15000</v>
      </c>
      <c r="F44" s="41">
        <v>25000</v>
      </c>
    </row>
    <row r="45" spans="1:6" x14ac:dyDescent="0.2">
      <c r="A45" s="37" t="s">
        <v>617</v>
      </c>
      <c r="B45" s="39" t="s">
        <v>620</v>
      </c>
      <c r="C45" s="40">
        <v>1</v>
      </c>
      <c r="D45" s="40">
        <v>1600</v>
      </c>
      <c r="E45" s="41">
        <v>15000</v>
      </c>
      <c r="F45" s="41">
        <v>25000</v>
      </c>
    </row>
  </sheetData>
  <pageMargins left="0.7" right="0.7" top="0.75" bottom="0.75" header="0.3" footer="0.3"/>
  <pageSetup orientation="portrait" horizontalDpi="4294967293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983E17-0E9A-DC46-AB9E-9866803D37A8}">
  <sheetPr codeName="Sheet12"/>
  <dimension ref="A1:H533"/>
  <sheetViews>
    <sheetView zoomScale="187" workbookViewId="0">
      <pane ySplit="1" topLeftCell="A511" activePane="bottomLeft" state="frozen"/>
      <selection pane="bottomLeft" activeCell="B511" sqref="B511:E519"/>
    </sheetView>
  </sheetViews>
  <sheetFormatPr baseColWidth="10" defaultColWidth="11" defaultRowHeight="16" x14ac:dyDescent="0.2"/>
  <cols>
    <col min="1" max="1" width="13" customWidth="1"/>
    <col min="2" max="2" width="11.6640625" customWidth="1"/>
    <col min="3" max="3" width="17.33203125" customWidth="1"/>
    <col min="4" max="4" width="12" customWidth="1"/>
    <col min="5" max="6" width="23" customWidth="1"/>
    <col min="7" max="7" width="25.5" customWidth="1"/>
  </cols>
  <sheetData>
    <row r="1" spans="1:8" x14ac:dyDescent="0.2">
      <c r="A1" s="1" t="s">
        <v>942</v>
      </c>
      <c r="B1" s="1" t="s">
        <v>941</v>
      </c>
      <c r="C1" s="1" t="s">
        <v>170</v>
      </c>
      <c r="D1" s="1" t="s">
        <v>504</v>
      </c>
      <c r="E1" s="1" t="s">
        <v>573</v>
      </c>
      <c r="F1" s="1" t="s">
        <v>621</v>
      </c>
      <c r="G1" s="1" t="s">
        <v>505</v>
      </c>
      <c r="H1" s="1" t="s">
        <v>506</v>
      </c>
    </row>
    <row r="2" spans="1:8" s="44" customFormat="1" x14ac:dyDescent="0.2">
      <c r="A2" s="224" t="str">
        <f>C2&amp;"-"&amp;E2</f>
        <v>I-001-WS-08</v>
      </c>
      <c r="B2" s="224" t="str">
        <f>C2&amp;"-"&amp;D2</f>
        <v>I-001-30</v>
      </c>
      <c r="C2" s="42" t="s">
        <v>507</v>
      </c>
      <c r="D2" s="42">
        <v>30</v>
      </c>
      <c r="E2" s="42" t="s">
        <v>581</v>
      </c>
      <c r="F2" s="42" t="str">
        <f>VLOOKUP(E2, 'S11 Work Stations'!$A$2:$B$45, 2, 0)</f>
        <v>MIL-10-150-401</v>
      </c>
      <c r="G2" s="42">
        <v>600</v>
      </c>
      <c r="H2" s="43">
        <v>200</v>
      </c>
    </row>
    <row r="3" spans="1:8" s="44" customFormat="1" x14ac:dyDescent="0.2">
      <c r="A3" s="224" t="str">
        <f t="shared" ref="A3:A66" si="0">C3&amp;"-"&amp;E3</f>
        <v>I-001-WS-20</v>
      </c>
      <c r="B3" s="224" t="str">
        <f t="shared" ref="B3:B66" si="1">C3&amp;"-"&amp;D3</f>
        <v>I-001-40</v>
      </c>
      <c r="C3" s="45" t="s">
        <v>507</v>
      </c>
      <c r="D3" s="45">
        <v>40</v>
      </c>
      <c r="E3" s="45" t="s">
        <v>593</v>
      </c>
      <c r="F3" s="42" t="str">
        <f>_xlfn.XLOOKUP(E3, 'S11 Work Stations'!$A$2:$A$45, 'S11 Work Stations'!$B$2:$B$45, "NOT FOUND", 0)</f>
        <v>MIL-H21-604</v>
      </c>
      <c r="G3" s="45">
        <v>480</v>
      </c>
      <c r="H3" s="3">
        <v>200</v>
      </c>
    </row>
    <row r="4" spans="1:8" s="44" customFormat="1" x14ac:dyDescent="0.2">
      <c r="A4" s="224" t="str">
        <f t="shared" si="0"/>
        <v>I-001-WS-26</v>
      </c>
      <c r="B4" s="224" t="str">
        <f t="shared" si="1"/>
        <v>I-001-50</v>
      </c>
      <c r="C4" s="45" t="s">
        <v>507</v>
      </c>
      <c r="D4" s="45">
        <v>50</v>
      </c>
      <c r="E4" s="45" t="s">
        <v>599</v>
      </c>
      <c r="F4" s="42" t="str">
        <f>_xlfn.XLOOKUP(E4, 'S11 Work Stations'!$A$2:$A$45, 'S11 Work Stations'!$B$2:$B$45, "NOT FOUND", 0)</f>
        <v>DR-2A2-202</v>
      </c>
      <c r="G4" s="45">
        <v>180</v>
      </c>
      <c r="H4" s="3">
        <v>200</v>
      </c>
    </row>
    <row r="5" spans="1:8" s="44" customFormat="1" x14ac:dyDescent="0.2">
      <c r="A5" s="224" t="str">
        <f t="shared" si="0"/>
        <v>I-001-WS-32</v>
      </c>
      <c r="B5" s="224" t="str">
        <f t="shared" si="1"/>
        <v>I-001-60</v>
      </c>
      <c r="C5" s="45" t="s">
        <v>507</v>
      </c>
      <c r="D5" s="45">
        <v>60</v>
      </c>
      <c r="E5" s="45" t="s">
        <v>605</v>
      </c>
      <c r="F5" s="42" t="str">
        <f>_xlfn.XLOOKUP(E5, 'S11 Work Stations'!$A$2:$A$45, 'S11 Work Stations'!$B$2:$B$45, "NOT FOUND", 0)</f>
        <v>SAW-30-150-251</v>
      </c>
      <c r="G5" s="45">
        <v>720</v>
      </c>
      <c r="H5" s="3">
        <v>200</v>
      </c>
    </row>
    <row r="6" spans="1:8" s="44" customFormat="1" x14ac:dyDescent="0.2">
      <c r="A6" s="224" t="str">
        <f t="shared" si="0"/>
        <v>I-001-WS-36</v>
      </c>
      <c r="B6" s="224" t="str">
        <f t="shared" si="1"/>
        <v>I-001-20</v>
      </c>
      <c r="C6" s="45" t="s">
        <v>507</v>
      </c>
      <c r="D6" s="45">
        <v>20</v>
      </c>
      <c r="E6" s="45" t="s">
        <v>609</v>
      </c>
      <c r="F6" s="42" t="str">
        <f>_xlfn.XLOOKUP(E6, 'S11 Work Stations'!$A$2:$A$45, 'S11 Work Stations'!$B$2:$B$45, "NOT FOUND", 0)</f>
        <v>SAW-10-421</v>
      </c>
      <c r="G6" s="45">
        <v>120</v>
      </c>
      <c r="H6" s="3">
        <v>200</v>
      </c>
    </row>
    <row r="7" spans="1:8" s="44" customFormat="1" x14ac:dyDescent="0.2">
      <c r="A7" s="224" t="str">
        <f t="shared" si="0"/>
        <v>I-001-WS-42</v>
      </c>
      <c r="B7" s="224" t="str">
        <f t="shared" si="1"/>
        <v>I-001-70</v>
      </c>
      <c r="C7" s="45" t="s">
        <v>507</v>
      </c>
      <c r="D7" s="45">
        <v>70</v>
      </c>
      <c r="E7" s="45" t="s">
        <v>615</v>
      </c>
      <c r="F7" s="42" t="str">
        <f>_xlfn.XLOOKUP(E7, 'S11 Work Stations'!$A$2:$A$45, 'S11 Work Stations'!$B$2:$B$45, "NOT FOUND", 0)</f>
        <v>TEMP-A01-202</v>
      </c>
      <c r="G7" s="45">
        <v>300</v>
      </c>
      <c r="H7" s="3">
        <v>200</v>
      </c>
    </row>
    <row r="8" spans="1:8" s="44" customFormat="1" x14ac:dyDescent="0.2">
      <c r="A8" s="224" t="str">
        <f t="shared" si="0"/>
        <v>I-001-WS-43</v>
      </c>
      <c r="B8" s="224" t="str">
        <f t="shared" si="1"/>
        <v>I-001-10</v>
      </c>
      <c r="C8" s="45" t="s">
        <v>507</v>
      </c>
      <c r="D8" s="45">
        <v>10</v>
      </c>
      <c r="E8" s="45" t="s">
        <v>616</v>
      </c>
      <c r="F8" s="42" t="str">
        <f>_xlfn.XLOOKUP(E8, 'S11 Work Stations'!$A$2:$A$45, 'S11 Work Stations'!$B$2:$B$45, "NOT FOUND", 0)</f>
        <v>RAW-MAT-INV</v>
      </c>
      <c r="G8" s="45">
        <v>0</v>
      </c>
      <c r="H8" s="3">
        <v>200</v>
      </c>
    </row>
    <row r="9" spans="1:8" s="44" customFormat="1" x14ac:dyDescent="0.2">
      <c r="A9" s="224" t="str">
        <f t="shared" si="0"/>
        <v>I-001-WS-44</v>
      </c>
      <c r="B9" s="224" t="str">
        <f t="shared" si="1"/>
        <v>I-001-80</v>
      </c>
      <c r="C9" s="45" t="s">
        <v>507</v>
      </c>
      <c r="D9" s="45">
        <v>80</v>
      </c>
      <c r="E9" s="45" t="s">
        <v>617</v>
      </c>
      <c r="F9" s="42" t="str">
        <f>_xlfn.XLOOKUP(E9, 'S11 Work Stations'!$A$2:$A$45, 'S11 Work Stations'!$B$2:$B$45, "NOT FOUND", 0)</f>
        <v>FIN-GOOD-INV</v>
      </c>
      <c r="G9" s="45">
        <v>0</v>
      </c>
      <c r="H9" s="3">
        <v>200</v>
      </c>
    </row>
    <row r="10" spans="1:8" s="44" customFormat="1" x14ac:dyDescent="0.2">
      <c r="A10" s="224" t="str">
        <f t="shared" si="0"/>
        <v>I-002-WS-08</v>
      </c>
      <c r="B10" s="224" t="str">
        <f t="shared" si="1"/>
        <v>I-002-30</v>
      </c>
      <c r="C10" s="45" t="s">
        <v>508</v>
      </c>
      <c r="D10" s="45">
        <v>30</v>
      </c>
      <c r="E10" s="45" t="s">
        <v>581</v>
      </c>
      <c r="F10" s="42" t="str">
        <f>_xlfn.XLOOKUP(E10, 'S11 Work Stations'!$A$2:$A$45, 'S11 Work Stations'!$B$2:$B$45, "NOT FOUND", 0)</f>
        <v>MIL-10-150-401</v>
      </c>
      <c r="G10" s="45">
        <v>900</v>
      </c>
      <c r="H10" s="3">
        <v>200</v>
      </c>
    </row>
    <row r="11" spans="1:8" s="44" customFormat="1" x14ac:dyDescent="0.2">
      <c r="A11" s="224" t="str">
        <f t="shared" si="0"/>
        <v>I-002-WS-20</v>
      </c>
      <c r="B11" s="224" t="str">
        <f t="shared" si="1"/>
        <v>I-002-40</v>
      </c>
      <c r="C11" s="45" t="s">
        <v>508</v>
      </c>
      <c r="D11" s="45">
        <v>40</v>
      </c>
      <c r="E11" s="45" t="s">
        <v>593</v>
      </c>
      <c r="F11" s="42" t="str">
        <f>_xlfn.XLOOKUP(E11, 'S11 Work Stations'!$A$2:$A$45, 'S11 Work Stations'!$B$2:$B$45, "NOT FOUND", 0)</f>
        <v>MIL-H21-604</v>
      </c>
      <c r="G11" s="45">
        <v>480</v>
      </c>
      <c r="H11" s="3">
        <v>200</v>
      </c>
    </row>
    <row r="12" spans="1:8" s="44" customFormat="1" x14ac:dyDescent="0.2">
      <c r="A12" s="224" t="str">
        <f t="shared" si="0"/>
        <v>I-002-WS-26</v>
      </c>
      <c r="B12" s="224" t="str">
        <f t="shared" si="1"/>
        <v>I-002-50</v>
      </c>
      <c r="C12" s="45" t="s">
        <v>508</v>
      </c>
      <c r="D12" s="45">
        <v>50</v>
      </c>
      <c r="E12" s="45" t="s">
        <v>599</v>
      </c>
      <c r="F12" s="42" t="str">
        <f>_xlfn.XLOOKUP(E12, 'S11 Work Stations'!$A$2:$A$45, 'S11 Work Stations'!$B$2:$B$45, "NOT FOUND", 0)</f>
        <v>DR-2A2-202</v>
      </c>
      <c r="G12" s="45">
        <v>240</v>
      </c>
      <c r="H12" s="3">
        <v>200</v>
      </c>
    </row>
    <row r="13" spans="1:8" s="44" customFormat="1" x14ac:dyDescent="0.2">
      <c r="A13" s="224" t="str">
        <f t="shared" si="0"/>
        <v>I-002-WS-32</v>
      </c>
      <c r="B13" s="224" t="str">
        <f t="shared" si="1"/>
        <v>I-002-60</v>
      </c>
      <c r="C13" s="45" t="s">
        <v>508</v>
      </c>
      <c r="D13" s="45">
        <v>60</v>
      </c>
      <c r="E13" s="45" t="s">
        <v>605</v>
      </c>
      <c r="F13" s="42" t="str">
        <f>_xlfn.XLOOKUP(E13, 'S11 Work Stations'!$A$2:$A$45, 'S11 Work Stations'!$B$2:$B$45, "NOT FOUND", 0)</f>
        <v>SAW-30-150-251</v>
      </c>
      <c r="G13" s="45">
        <v>720</v>
      </c>
      <c r="H13" s="3">
        <v>200</v>
      </c>
    </row>
    <row r="14" spans="1:8" s="44" customFormat="1" x14ac:dyDescent="0.2">
      <c r="A14" s="224" t="str">
        <f t="shared" si="0"/>
        <v>I-002-WS-36</v>
      </c>
      <c r="B14" s="224" t="str">
        <f t="shared" si="1"/>
        <v>I-002-20</v>
      </c>
      <c r="C14" s="45" t="s">
        <v>508</v>
      </c>
      <c r="D14" s="45">
        <v>20</v>
      </c>
      <c r="E14" s="45" t="s">
        <v>609</v>
      </c>
      <c r="F14" s="42" t="str">
        <f>_xlfn.XLOOKUP(E14, 'S11 Work Stations'!$A$2:$A$45, 'S11 Work Stations'!$B$2:$B$45, "NOT FOUND", 0)</f>
        <v>SAW-10-421</v>
      </c>
      <c r="G14" s="45">
        <v>120</v>
      </c>
      <c r="H14" s="3">
        <v>200</v>
      </c>
    </row>
    <row r="15" spans="1:8" s="44" customFormat="1" x14ac:dyDescent="0.2">
      <c r="A15" s="224" t="str">
        <f t="shared" si="0"/>
        <v>I-002-WS-43</v>
      </c>
      <c r="B15" s="224" t="str">
        <f t="shared" si="1"/>
        <v>I-002-10</v>
      </c>
      <c r="C15" s="45" t="s">
        <v>508</v>
      </c>
      <c r="D15" s="45">
        <v>10</v>
      </c>
      <c r="E15" s="45" t="s">
        <v>616</v>
      </c>
      <c r="F15" s="42" t="str">
        <f>_xlfn.XLOOKUP(E15, 'S11 Work Stations'!$A$2:$A$45, 'S11 Work Stations'!$B$2:$B$45, "NOT FOUND", 0)</f>
        <v>RAW-MAT-INV</v>
      </c>
      <c r="G15" s="45">
        <v>0</v>
      </c>
      <c r="H15" s="3">
        <v>200</v>
      </c>
    </row>
    <row r="16" spans="1:8" s="44" customFormat="1" x14ac:dyDescent="0.2">
      <c r="A16" s="224" t="str">
        <f t="shared" si="0"/>
        <v>I-002-WS-44</v>
      </c>
      <c r="B16" s="224" t="str">
        <f t="shared" si="1"/>
        <v>I-002-70</v>
      </c>
      <c r="C16" s="45" t="s">
        <v>508</v>
      </c>
      <c r="D16" s="45">
        <v>70</v>
      </c>
      <c r="E16" s="45" t="s">
        <v>617</v>
      </c>
      <c r="F16" s="42" t="str">
        <f>_xlfn.XLOOKUP(E16, 'S11 Work Stations'!$A$2:$A$45, 'S11 Work Stations'!$B$2:$B$45, "NOT FOUND", 0)</f>
        <v>FIN-GOOD-INV</v>
      </c>
      <c r="G16" s="45">
        <v>0</v>
      </c>
      <c r="H16" s="3">
        <v>200</v>
      </c>
    </row>
    <row r="17" spans="1:8" s="44" customFormat="1" x14ac:dyDescent="0.2">
      <c r="A17" s="224" t="str">
        <f t="shared" si="0"/>
        <v>I-003-WS-08</v>
      </c>
      <c r="B17" s="224" t="str">
        <f t="shared" si="1"/>
        <v>I-003-30</v>
      </c>
      <c r="C17" s="45" t="s">
        <v>509</v>
      </c>
      <c r="D17" s="45">
        <v>30</v>
      </c>
      <c r="E17" s="45" t="s">
        <v>581</v>
      </c>
      <c r="F17" s="42" t="str">
        <f>_xlfn.XLOOKUP(E17, 'S11 Work Stations'!$A$2:$A$45, 'S11 Work Stations'!$B$2:$B$45, "NOT FOUND", 0)</f>
        <v>MIL-10-150-401</v>
      </c>
      <c r="G17" s="45">
        <v>600</v>
      </c>
      <c r="H17" s="3">
        <v>200</v>
      </c>
    </row>
    <row r="18" spans="1:8" s="44" customFormat="1" x14ac:dyDescent="0.2">
      <c r="A18" s="224" t="str">
        <f t="shared" si="0"/>
        <v>I-003-WS-19</v>
      </c>
      <c r="B18" s="224" t="str">
        <f t="shared" si="1"/>
        <v>I-003-40</v>
      </c>
      <c r="C18" s="45" t="s">
        <v>509</v>
      </c>
      <c r="D18" s="45">
        <v>40</v>
      </c>
      <c r="E18" s="45" t="s">
        <v>592</v>
      </c>
      <c r="F18" s="42" t="str">
        <f>_xlfn.XLOOKUP(E18, 'S11 Work Stations'!$A$2:$A$45, 'S11 Work Stations'!$B$2:$B$45, "NOT FOUND", 0)</f>
        <v>MIL-V31-603</v>
      </c>
      <c r="G18" s="45">
        <v>480</v>
      </c>
      <c r="H18" s="3">
        <v>200</v>
      </c>
    </row>
    <row r="19" spans="1:8" s="44" customFormat="1" x14ac:dyDescent="0.2">
      <c r="A19" s="224" t="str">
        <f t="shared" si="0"/>
        <v>I-003-WS-26</v>
      </c>
      <c r="B19" s="224" t="str">
        <f t="shared" si="1"/>
        <v>I-003-50</v>
      </c>
      <c r="C19" s="45" t="s">
        <v>509</v>
      </c>
      <c r="D19" s="45">
        <v>50</v>
      </c>
      <c r="E19" s="45" t="s">
        <v>599</v>
      </c>
      <c r="F19" s="42" t="str">
        <f>_xlfn.XLOOKUP(E19, 'S11 Work Stations'!$A$2:$A$45, 'S11 Work Stations'!$B$2:$B$45, "NOT FOUND", 0)</f>
        <v>DR-2A2-202</v>
      </c>
      <c r="G19" s="45">
        <v>300</v>
      </c>
      <c r="H19" s="3">
        <v>200</v>
      </c>
    </row>
    <row r="20" spans="1:8" s="44" customFormat="1" x14ac:dyDescent="0.2">
      <c r="A20" s="224" t="str">
        <f t="shared" si="0"/>
        <v>I-003-WS-32</v>
      </c>
      <c r="B20" s="224" t="str">
        <f t="shared" si="1"/>
        <v>I-003-60</v>
      </c>
      <c r="C20" s="45" t="s">
        <v>509</v>
      </c>
      <c r="D20" s="45">
        <v>60</v>
      </c>
      <c r="E20" s="45" t="s">
        <v>605</v>
      </c>
      <c r="F20" s="42" t="str">
        <f>_xlfn.XLOOKUP(E20, 'S11 Work Stations'!$A$2:$A$45, 'S11 Work Stations'!$B$2:$B$45, "NOT FOUND", 0)</f>
        <v>SAW-30-150-251</v>
      </c>
      <c r="G20" s="45">
        <v>600</v>
      </c>
      <c r="H20" s="3">
        <v>200</v>
      </c>
    </row>
    <row r="21" spans="1:8" s="44" customFormat="1" x14ac:dyDescent="0.2">
      <c r="A21" s="224" t="str">
        <f t="shared" si="0"/>
        <v>I-003-WS-36</v>
      </c>
      <c r="B21" s="224" t="str">
        <f t="shared" si="1"/>
        <v>I-003-20</v>
      </c>
      <c r="C21" s="45" t="s">
        <v>509</v>
      </c>
      <c r="D21" s="45">
        <v>20</v>
      </c>
      <c r="E21" s="45" t="s">
        <v>609</v>
      </c>
      <c r="F21" s="42" t="str">
        <f>_xlfn.XLOOKUP(E21, 'S11 Work Stations'!$A$2:$A$45, 'S11 Work Stations'!$B$2:$B$45, "NOT FOUND", 0)</f>
        <v>SAW-10-421</v>
      </c>
      <c r="G21" s="45">
        <v>120</v>
      </c>
      <c r="H21" s="3">
        <v>200</v>
      </c>
    </row>
    <row r="22" spans="1:8" s="44" customFormat="1" x14ac:dyDescent="0.2">
      <c r="A22" s="224" t="str">
        <f t="shared" si="0"/>
        <v>I-003-WS-42</v>
      </c>
      <c r="B22" s="224" t="str">
        <f t="shared" si="1"/>
        <v>I-003-70</v>
      </c>
      <c r="C22" s="45" t="s">
        <v>509</v>
      </c>
      <c r="D22" s="45">
        <v>70</v>
      </c>
      <c r="E22" s="45" t="s">
        <v>615</v>
      </c>
      <c r="F22" s="42" t="str">
        <f>_xlfn.XLOOKUP(E22, 'S11 Work Stations'!$A$2:$A$45, 'S11 Work Stations'!$B$2:$B$45, "NOT FOUND", 0)</f>
        <v>TEMP-A01-202</v>
      </c>
      <c r="G22" s="45">
        <v>300</v>
      </c>
      <c r="H22" s="3">
        <v>200</v>
      </c>
    </row>
    <row r="23" spans="1:8" s="44" customFormat="1" x14ac:dyDescent="0.2">
      <c r="A23" s="224" t="str">
        <f t="shared" si="0"/>
        <v>I-003-WS-43</v>
      </c>
      <c r="B23" s="224" t="str">
        <f t="shared" si="1"/>
        <v>I-003-10</v>
      </c>
      <c r="C23" s="45" t="s">
        <v>509</v>
      </c>
      <c r="D23" s="45">
        <v>10</v>
      </c>
      <c r="E23" s="45" t="s">
        <v>616</v>
      </c>
      <c r="F23" s="42" t="str">
        <f>_xlfn.XLOOKUP(E23, 'S11 Work Stations'!$A$2:$A$45, 'S11 Work Stations'!$B$2:$B$45, "NOT FOUND", 0)</f>
        <v>RAW-MAT-INV</v>
      </c>
      <c r="G23" s="45">
        <v>0</v>
      </c>
      <c r="H23" s="3">
        <v>200</v>
      </c>
    </row>
    <row r="24" spans="1:8" s="44" customFormat="1" x14ac:dyDescent="0.2">
      <c r="A24" s="224" t="str">
        <f t="shared" si="0"/>
        <v>I-003-WS-44</v>
      </c>
      <c r="B24" s="224" t="str">
        <f t="shared" si="1"/>
        <v>I-003-80</v>
      </c>
      <c r="C24" s="45" t="s">
        <v>509</v>
      </c>
      <c r="D24" s="45">
        <v>80</v>
      </c>
      <c r="E24" s="45" t="s">
        <v>617</v>
      </c>
      <c r="F24" s="42" t="str">
        <f>_xlfn.XLOOKUP(E24, 'S11 Work Stations'!$A$2:$A$45, 'S11 Work Stations'!$B$2:$B$45, "NOT FOUND", 0)</f>
        <v>FIN-GOOD-INV</v>
      </c>
      <c r="G24" s="45">
        <v>0</v>
      </c>
      <c r="H24" s="3">
        <v>200</v>
      </c>
    </row>
    <row r="25" spans="1:8" s="44" customFormat="1" x14ac:dyDescent="0.2">
      <c r="A25" s="224" t="str">
        <f t="shared" si="0"/>
        <v>I-004-WS-05</v>
      </c>
      <c r="B25" s="224" t="str">
        <f t="shared" si="1"/>
        <v>I-004-30</v>
      </c>
      <c r="C25" s="45" t="s">
        <v>178</v>
      </c>
      <c r="D25" s="45">
        <v>30</v>
      </c>
      <c r="E25" s="45" t="s">
        <v>578</v>
      </c>
      <c r="F25" s="42" t="str">
        <f>_xlfn.XLOOKUP(E25, 'S11 Work Stations'!$A$2:$A$45, 'S11 Work Stations'!$B$2:$B$45, "NOT FOUND", 0)</f>
        <v>MIL-A2-365</v>
      </c>
      <c r="G25" s="45">
        <v>480</v>
      </c>
      <c r="H25" s="3">
        <v>200</v>
      </c>
    </row>
    <row r="26" spans="1:8" s="44" customFormat="1" x14ac:dyDescent="0.2">
      <c r="A26" s="224" t="str">
        <f t="shared" si="0"/>
        <v>I-004-WS-25</v>
      </c>
      <c r="B26" s="224" t="str">
        <f t="shared" si="1"/>
        <v>I-004-40</v>
      </c>
      <c r="C26" s="45" t="s">
        <v>178</v>
      </c>
      <c r="D26" s="45">
        <v>40</v>
      </c>
      <c r="E26" s="45" t="s">
        <v>598</v>
      </c>
      <c r="F26" s="42" t="str">
        <f>_xlfn.XLOOKUP(E26, 'S11 Work Stations'!$A$2:$A$45, 'S11 Work Stations'!$B$2:$B$45, "NOT FOUND", 0)</f>
        <v>DR-2A-201</v>
      </c>
      <c r="G26" s="45">
        <v>480</v>
      </c>
      <c r="H26" s="3">
        <v>200</v>
      </c>
    </row>
    <row r="27" spans="1:8" s="44" customFormat="1" x14ac:dyDescent="0.2">
      <c r="A27" s="224" t="str">
        <f t="shared" si="0"/>
        <v>I-004-WS-34</v>
      </c>
      <c r="B27" s="224" t="str">
        <f t="shared" si="1"/>
        <v>I-004-50</v>
      </c>
      <c r="C27" s="45" t="s">
        <v>178</v>
      </c>
      <c r="D27" s="45">
        <v>50</v>
      </c>
      <c r="E27" s="45" t="s">
        <v>607</v>
      </c>
      <c r="F27" s="42" t="str">
        <f>_xlfn.XLOOKUP(E27, 'S11 Work Stations'!$A$2:$A$45, 'S11 Work Stations'!$B$2:$B$45, "NOT FOUND", 0)</f>
        <v>SAW-30-160-252</v>
      </c>
      <c r="G27" s="45">
        <v>600</v>
      </c>
      <c r="H27" s="3">
        <v>200</v>
      </c>
    </row>
    <row r="28" spans="1:8" s="44" customFormat="1" x14ac:dyDescent="0.2">
      <c r="A28" s="224" t="str">
        <f t="shared" si="0"/>
        <v>I-004-WS-36</v>
      </c>
      <c r="B28" s="224" t="str">
        <f t="shared" si="1"/>
        <v>I-004-20</v>
      </c>
      <c r="C28" s="45" t="s">
        <v>178</v>
      </c>
      <c r="D28" s="45">
        <v>20</v>
      </c>
      <c r="E28" s="45" t="s">
        <v>609</v>
      </c>
      <c r="F28" s="42" t="str">
        <f>_xlfn.XLOOKUP(E28, 'S11 Work Stations'!$A$2:$A$45, 'S11 Work Stations'!$B$2:$B$45, "NOT FOUND", 0)</f>
        <v>SAW-10-421</v>
      </c>
      <c r="G28" s="45">
        <v>120</v>
      </c>
      <c r="H28" s="3">
        <v>200</v>
      </c>
    </row>
    <row r="29" spans="1:8" s="44" customFormat="1" x14ac:dyDescent="0.2">
      <c r="A29" s="224" t="str">
        <f t="shared" si="0"/>
        <v>I-004-WS-43</v>
      </c>
      <c r="B29" s="224" t="str">
        <f t="shared" si="1"/>
        <v>I-004-10</v>
      </c>
      <c r="C29" s="45" t="s">
        <v>178</v>
      </c>
      <c r="D29" s="45">
        <v>10</v>
      </c>
      <c r="E29" s="45" t="s">
        <v>616</v>
      </c>
      <c r="F29" s="42" t="str">
        <f>_xlfn.XLOOKUP(E29, 'S11 Work Stations'!$A$2:$A$45, 'S11 Work Stations'!$B$2:$B$45, "NOT FOUND", 0)</f>
        <v>RAW-MAT-INV</v>
      </c>
      <c r="G29" s="45">
        <v>0</v>
      </c>
      <c r="H29" s="3">
        <v>200</v>
      </c>
    </row>
    <row r="30" spans="1:8" s="44" customFormat="1" x14ac:dyDescent="0.2">
      <c r="A30" s="224" t="str">
        <f t="shared" si="0"/>
        <v>I-004-WS-44</v>
      </c>
      <c r="B30" s="224" t="str">
        <f t="shared" si="1"/>
        <v>I-004-60</v>
      </c>
      <c r="C30" s="45" t="s">
        <v>178</v>
      </c>
      <c r="D30" s="45">
        <v>60</v>
      </c>
      <c r="E30" s="45" t="s">
        <v>617</v>
      </c>
      <c r="F30" s="42" t="str">
        <f>_xlfn.XLOOKUP(E30, 'S11 Work Stations'!$A$2:$A$45, 'S11 Work Stations'!$B$2:$B$45, "NOT FOUND", 0)</f>
        <v>FIN-GOOD-INV</v>
      </c>
      <c r="G30" s="45">
        <v>0</v>
      </c>
      <c r="H30" s="3">
        <v>200</v>
      </c>
    </row>
    <row r="31" spans="1:8" s="44" customFormat="1" x14ac:dyDescent="0.2">
      <c r="A31" s="224" t="str">
        <f t="shared" si="0"/>
        <v>I-005-WS-04</v>
      </c>
      <c r="B31" s="224" t="str">
        <f t="shared" si="1"/>
        <v>I-005-30</v>
      </c>
      <c r="C31" s="45" t="s">
        <v>510</v>
      </c>
      <c r="D31" s="45">
        <v>30</v>
      </c>
      <c r="E31" s="45" t="s">
        <v>577</v>
      </c>
      <c r="F31" s="42" t="str">
        <f>_xlfn.XLOOKUP(E31, 'S11 Work Stations'!$A$2:$A$45, 'S11 Work Stations'!$B$2:$B$45, "NOT FOUND", 0)</f>
        <v>TUR-A4-364</v>
      </c>
      <c r="G31" s="45">
        <v>600</v>
      </c>
      <c r="H31" s="3">
        <v>200</v>
      </c>
    </row>
    <row r="32" spans="1:8" s="44" customFormat="1" x14ac:dyDescent="0.2">
      <c r="A32" s="224" t="str">
        <f t="shared" si="0"/>
        <v>I-005-WS-20</v>
      </c>
      <c r="B32" s="224" t="str">
        <f t="shared" si="1"/>
        <v>I-005-40</v>
      </c>
      <c r="C32" s="45" t="s">
        <v>510</v>
      </c>
      <c r="D32" s="45">
        <v>40</v>
      </c>
      <c r="E32" s="45" t="s">
        <v>593</v>
      </c>
      <c r="F32" s="42" t="str">
        <f>_xlfn.XLOOKUP(E32, 'S11 Work Stations'!$A$2:$A$45, 'S11 Work Stations'!$B$2:$B$45, "NOT FOUND", 0)</f>
        <v>MIL-H21-604</v>
      </c>
      <c r="G32" s="45">
        <v>480</v>
      </c>
      <c r="H32" s="3">
        <v>200</v>
      </c>
    </row>
    <row r="33" spans="1:8" s="44" customFormat="1" x14ac:dyDescent="0.2">
      <c r="A33" s="224" t="str">
        <f t="shared" si="0"/>
        <v>I-005-WS-31</v>
      </c>
      <c r="B33" s="224" t="str">
        <f t="shared" si="1"/>
        <v>I-005-50</v>
      </c>
      <c r="C33" s="45" t="s">
        <v>510</v>
      </c>
      <c r="D33" s="45">
        <v>50</v>
      </c>
      <c r="E33" s="45" t="s">
        <v>604</v>
      </c>
      <c r="F33" s="42" t="str">
        <f>_xlfn.XLOOKUP(E33, 'S11 Work Stations'!$A$2:$A$45, 'S11 Work Stations'!$B$2:$B$45, "NOT FOUND", 0)</f>
        <v>DR-3AW-207</v>
      </c>
      <c r="G33" s="45">
        <v>300</v>
      </c>
      <c r="H33" s="3">
        <v>200</v>
      </c>
    </row>
    <row r="34" spans="1:8" s="44" customFormat="1" x14ac:dyDescent="0.2">
      <c r="A34" s="224" t="str">
        <f t="shared" si="0"/>
        <v>I-005-WS-32</v>
      </c>
      <c r="B34" s="224" t="str">
        <f t="shared" si="1"/>
        <v>I-005-60</v>
      </c>
      <c r="C34" s="45" t="s">
        <v>510</v>
      </c>
      <c r="D34" s="45">
        <v>60</v>
      </c>
      <c r="E34" s="45" t="s">
        <v>605</v>
      </c>
      <c r="F34" s="42" t="str">
        <f>_xlfn.XLOOKUP(E34, 'S11 Work Stations'!$A$2:$A$45, 'S11 Work Stations'!$B$2:$B$45, "NOT FOUND", 0)</f>
        <v>SAW-30-150-251</v>
      </c>
      <c r="G34" s="45">
        <v>600</v>
      </c>
      <c r="H34" s="3">
        <v>200</v>
      </c>
    </row>
    <row r="35" spans="1:8" s="44" customFormat="1" x14ac:dyDescent="0.2">
      <c r="A35" s="224" t="str">
        <f t="shared" si="0"/>
        <v>I-005-WS-40</v>
      </c>
      <c r="B35" s="224" t="str">
        <f t="shared" si="1"/>
        <v>I-005-20</v>
      </c>
      <c r="C35" s="45" t="s">
        <v>510</v>
      </c>
      <c r="D35" s="45">
        <v>20</v>
      </c>
      <c r="E35" s="45" t="s">
        <v>613</v>
      </c>
      <c r="F35" s="42" t="str">
        <f>_xlfn.XLOOKUP(E35, 'S11 Work Stations'!$A$2:$A$45, 'S11 Work Stations'!$B$2:$B$45, "NOT FOUND", 0)</f>
        <v>SAW-CNC-40-425</v>
      </c>
      <c r="G35" s="45">
        <v>120</v>
      </c>
      <c r="H35" s="3">
        <v>200</v>
      </c>
    </row>
    <row r="36" spans="1:8" s="44" customFormat="1" x14ac:dyDescent="0.2">
      <c r="A36" s="224" t="str">
        <f t="shared" si="0"/>
        <v>I-005-WS-42</v>
      </c>
      <c r="B36" s="224" t="str">
        <f t="shared" si="1"/>
        <v>I-005-10</v>
      </c>
      <c r="C36" s="45" t="s">
        <v>510</v>
      </c>
      <c r="D36" s="45">
        <v>10</v>
      </c>
      <c r="E36" s="45" t="s">
        <v>615</v>
      </c>
      <c r="F36" s="42" t="str">
        <f>_xlfn.XLOOKUP(E36, 'S11 Work Stations'!$A$2:$A$45, 'S11 Work Stations'!$B$2:$B$45, "NOT FOUND", 0)</f>
        <v>TEMP-A01-202</v>
      </c>
      <c r="G36" s="45">
        <v>300</v>
      </c>
      <c r="H36" s="3">
        <v>200</v>
      </c>
    </row>
    <row r="37" spans="1:8" s="44" customFormat="1" x14ac:dyDescent="0.2">
      <c r="A37" s="224" t="str">
        <f t="shared" si="0"/>
        <v>I-005-WS-44</v>
      </c>
      <c r="B37" s="224" t="str">
        <f t="shared" si="1"/>
        <v>I-005-70</v>
      </c>
      <c r="C37" s="45" t="s">
        <v>510</v>
      </c>
      <c r="D37" s="45">
        <v>70</v>
      </c>
      <c r="E37" s="45" t="s">
        <v>617</v>
      </c>
      <c r="F37" s="42" t="str">
        <f>_xlfn.XLOOKUP(E37, 'S11 Work Stations'!$A$2:$A$45, 'S11 Work Stations'!$B$2:$B$45, "NOT FOUND", 0)</f>
        <v>FIN-GOOD-INV</v>
      </c>
      <c r="G37" s="45">
        <v>0</v>
      </c>
      <c r="H37" s="3">
        <v>200</v>
      </c>
    </row>
    <row r="38" spans="1:8" s="44" customFormat="1" x14ac:dyDescent="0.2">
      <c r="A38" s="224" t="str">
        <f t="shared" si="0"/>
        <v>I-006-WS-02</v>
      </c>
      <c r="B38" s="224" t="str">
        <f t="shared" si="1"/>
        <v>I-006-30</v>
      </c>
      <c r="C38" s="45" t="s">
        <v>198</v>
      </c>
      <c r="D38" s="45">
        <v>30</v>
      </c>
      <c r="E38" s="45" t="s">
        <v>575</v>
      </c>
      <c r="F38" s="42" t="str">
        <f>_xlfn.XLOOKUP(E38, 'S11 Work Stations'!$A$2:$A$45, 'S11 Work Stations'!$B$2:$B$45, "NOT FOUND", 0)</f>
        <v>TUR-B2-362</v>
      </c>
      <c r="G38" s="45">
        <v>600</v>
      </c>
      <c r="H38" s="3">
        <v>200</v>
      </c>
    </row>
    <row r="39" spans="1:8" s="44" customFormat="1" x14ac:dyDescent="0.2">
      <c r="A39" s="224" t="str">
        <f t="shared" si="0"/>
        <v>I-006-WS-18</v>
      </c>
      <c r="B39" s="224" t="str">
        <f t="shared" si="1"/>
        <v>I-006-40</v>
      </c>
      <c r="C39" s="45" t="s">
        <v>198</v>
      </c>
      <c r="D39" s="45">
        <v>40</v>
      </c>
      <c r="E39" s="45" t="s">
        <v>591</v>
      </c>
      <c r="F39" s="42" t="str">
        <f>_xlfn.XLOOKUP(E39, 'S11 Work Stations'!$A$2:$A$45, 'S11 Work Stations'!$B$2:$B$45, "NOT FOUND", 0)</f>
        <v>MIL-V2-602</v>
      </c>
      <c r="G39" s="45">
        <v>480</v>
      </c>
      <c r="H39" s="3">
        <v>200</v>
      </c>
    </row>
    <row r="40" spans="1:8" s="44" customFormat="1" x14ac:dyDescent="0.2">
      <c r="A40" s="224" t="str">
        <f t="shared" si="0"/>
        <v>I-006-WS-24</v>
      </c>
      <c r="B40" s="224" t="str">
        <f t="shared" si="1"/>
        <v>I-006-50</v>
      </c>
      <c r="C40" s="45" t="s">
        <v>198</v>
      </c>
      <c r="D40" s="45">
        <v>50</v>
      </c>
      <c r="E40" s="45" t="s">
        <v>597</v>
      </c>
      <c r="F40" s="42" t="str">
        <f>_xlfn.XLOOKUP(E40, 'S11 Work Stations'!$A$2:$A$45, 'S11 Work Stations'!$B$2:$B$45, "NOT FOUND", 0)</f>
        <v>MIL-V5-608</v>
      </c>
      <c r="G40" s="45">
        <v>180</v>
      </c>
      <c r="H40" s="3">
        <v>200</v>
      </c>
    </row>
    <row r="41" spans="1:8" s="44" customFormat="1" x14ac:dyDescent="0.2">
      <c r="A41" s="224" t="str">
        <f t="shared" si="0"/>
        <v>I-006-WS-29</v>
      </c>
      <c r="B41" s="224" t="str">
        <f t="shared" si="1"/>
        <v>I-006-60</v>
      </c>
      <c r="C41" s="45" t="s">
        <v>198</v>
      </c>
      <c r="D41" s="45">
        <v>60</v>
      </c>
      <c r="E41" s="45" t="s">
        <v>602</v>
      </c>
      <c r="F41" s="42" t="str">
        <f>_xlfn.XLOOKUP(E41, 'S11 Work Stations'!$A$2:$A$45, 'S11 Work Stations'!$B$2:$B$45, "NOT FOUND", 0)</f>
        <v>GR-T11-250</v>
      </c>
      <c r="G41" s="45">
        <v>480</v>
      </c>
      <c r="H41" s="3">
        <v>200</v>
      </c>
    </row>
    <row r="42" spans="1:8" s="44" customFormat="1" x14ac:dyDescent="0.2">
      <c r="A42" s="224" t="str">
        <f t="shared" si="0"/>
        <v>I-006-WS-33</v>
      </c>
      <c r="B42" s="224" t="str">
        <f t="shared" si="1"/>
        <v>I-006-70</v>
      </c>
      <c r="C42" s="45" t="s">
        <v>198</v>
      </c>
      <c r="D42" s="45">
        <v>70</v>
      </c>
      <c r="E42" s="45" t="s">
        <v>606</v>
      </c>
      <c r="F42" s="42" t="str">
        <f>_xlfn.XLOOKUP(E42, 'S11 Work Stations'!$A$2:$A$45, 'S11 Work Stations'!$B$2:$B$45, "NOT FOUND", 0)</f>
        <v>SAW-50-150-252</v>
      </c>
      <c r="G42" s="45">
        <v>600</v>
      </c>
      <c r="H42" s="3">
        <v>200</v>
      </c>
    </row>
    <row r="43" spans="1:8" s="44" customFormat="1" x14ac:dyDescent="0.2">
      <c r="A43" s="224" t="str">
        <f t="shared" si="0"/>
        <v>I-006-WS-40</v>
      </c>
      <c r="B43" s="224" t="str">
        <f t="shared" si="1"/>
        <v>I-006-20</v>
      </c>
      <c r="C43" s="45" t="s">
        <v>198</v>
      </c>
      <c r="D43" s="45">
        <v>20</v>
      </c>
      <c r="E43" s="45" t="s">
        <v>613</v>
      </c>
      <c r="F43" s="42" t="str">
        <f>_xlfn.XLOOKUP(E43, 'S11 Work Stations'!$A$2:$A$45, 'S11 Work Stations'!$B$2:$B$45, "NOT FOUND", 0)</f>
        <v>SAW-CNC-40-425</v>
      </c>
      <c r="G43" s="45">
        <v>120</v>
      </c>
      <c r="H43" s="3">
        <v>200</v>
      </c>
    </row>
    <row r="44" spans="1:8" s="44" customFormat="1" x14ac:dyDescent="0.2">
      <c r="A44" s="224" t="str">
        <f t="shared" si="0"/>
        <v>I-006-WS-43</v>
      </c>
      <c r="B44" s="224" t="str">
        <f t="shared" si="1"/>
        <v>I-006-10</v>
      </c>
      <c r="C44" s="45" t="s">
        <v>198</v>
      </c>
      <c r="D44" s="45">
        <v>10</v>
      </c>
      <c r="E44" s="45" t="s">
        <v>616</v>
      </c>
      <c r="F44" s="42" t="str">
        <f>_xlfn.XLOOKUP(E44, 'S11 Work Stations'!$A$2:$A$45, 'S11 Work Stations'!$B$2:$B$45, "NOT FOUND", 0)</f>
        <v>RAW-MAT-INV</v>
      </c>
      <c r="G44" s="45">
        <v>0</v>
      </c>
      <c r="H44" s="3">
        <v>200</v>
      </c>
    </row>
    <row r="45" spans="1:8" s="44" customFormat="1" x14ac:dyDescent="0.2">
      <c r="A45" s="224" t="str">
        <f t="shared" si="0"/>
        <v>I-006-WS-44</v>
      </c>
      <c r="B45" s="224" t="str">
        <f t="shared" si="1"/>
        <v>I-006-80</v>
      </c>
      <c r="C45" s="45" t="s">
        <v>198</v>
      </c>
      <c r="D45" s="45">
        <v>80</v>
      </c>
      <c r="E45" s="45" t="s">
        <v>617</v>
      </c>
      <c r="F45" s="42" t="str">
        <f>_xlfn.XLOOKUP(E45, 'S11 Work Stations'!$A$2:$A$45, 'S11 Work Stations'!$B$2:$B$45, "NOT FOUND", 0)</f>
        <v>FIN-GOOD-INV</v>
      </c>
      <c r="G45" s="45">
        <v>0</v>
      </c>
      <c r="H45" s="3">
        <v>200</v>
      </c>
    </row>
    <row r="46" spans="1:8" s="44" customFormat="1" x14ac:dyDescent="0.2">
      <c r="A46" s="224" t="str">
        <f t="shared" si="0"/>
        <v>I-007-WS-02</v>
      </c>
      <c r="B46" s="224" t="str">
        <f t="shared" si="1"/>
        <v>I-007-30</v>
      </c>
      <c r="C46" s="45" t="s">
        <v>203</v>
      </c>
      <c r="D46" s="45">
        <v>30</v>
      </c>
      <c r="E46" s="45" t="s">
        <v>575</v>
      </c>
      <c r="F46" s="42" t="str">
        <f>_xlfn.XLOOKUP(E46, 'S11 Work Stations'!$A$2:$A$45, 'S11 Work Stations'!$B$2:$B$45, "NOT FOUND", 0)</f>
        <v>TUR-B2-362</v>
      </c>
      <c r="G46" s="45">
        <v>360</v>
      </c>
      <c r="H46" s="3">
        <v>200</v>
      </c>
    </row>
    <row r="47" spans="1:8" s="44" customFormat="1" x14ac:dyDescent="0.2">
      <c r="A47" s="224" t="str">
        <f t="shared" si="0"/>
        <v>I-007-WS-18</v>
      </c>
      <c r="B47" s="224" t="str">
        <f t="shared" si="1"/>
        <v>I-007-40</v>
      </c>
      <c r="C47" s="45" t="s">
        <v>203</v>
      </c>
      <c r="D47" s="45">
        <v>40</v>
      </c>
      <c r="E47" s="45" t="s">
        <v>591</v>
      </c>
      <c r="F47" s="42" t="str">
        <f>_xlfn.XLOOKUP(E47, 'S11 Work Stations'!$A$2:$A$45, 'S11 Work Stations'!$B$2:$B$45, "NOT FOUND", 0)</f>
        <v>MIL-V2-602</v>
      </c>
      <c r="G47" s="45">
        <v>360</v>
      </c>
      <c r="H47" s="3">
        <v>200</v>
      </c>
    </row>
    <row r="48" spans="1:8" s="44" customFormat="1" x14ac:dyDescent="0.2">
      <c r="A48" s="224" t="str">
        <f t="shared" si="0"/>
        <v>I-007-WS-24</v>
      </c>
      <c r="B48" s="224" t="str">
        <f t="shared" si="1"/>
        <v>I-007-50</v>
      </c>
      <c r="C48" s="45" t="s">
        <v>203</v>
      </c>
      <c r="D48" s="45">
        <v>50</v>
      </c>
      <c r="E48" s="45" t="s">
        <v>597</v>
      </c>
      <c r="F48" s="42" t="str">
        <f>_xlfn.XLOOKUP(E48, 'S11 Work Stations'!$A$2:$A$45, 'S11 Work Stations'!$B$2:$B$45, "NOT FOUND", 0)</f>
        <v>MIL-V5-608</v>
      </c>
      <c r="G48" s="45">
        <v>120</v>
      </c>
      <c r="H48" s="3">
        <v>200</v>
      </c>
    </row>
    <row r="49" spans="1:8" s="44" customFormat="1" x14ac:dyDescent="0.2">
      <c r="A49" s="224" t="str">
        <f t="shared" si="0"/>
        <v>I-007-WS-29</v>
      </c>
      <c r="B49" s="224" t="str">
        <f t="shared" si="1"/>
        <v>I-007-60</v>
      </c>
      <c r="C49" s="45" t="s">
        <v>203</v>
      </c>
      <c r="D49" s="45">
        <v>60</v>
      </c>
      <c r="E49" s="45" t="s">
        <v>602</v>
      </c>
      <c r="F49" s="42" t="str">
        <f>_xlfn.XLOOKUP(E49, 'S11 Work Stations'!$A$2:$A$45, 'S11 Work Stations'!$B$2:$B$45, "NOT FOUND", 0)</f>
        <v>GR-T11-250</v>
      </c>
      <c r="G49" s="45">
        <v>120</v>
      </c>
      <c r="H49" s="3">
        <v>200</v>
      </c>
    </row>
    <row r="50" spans="1:8" s="44" customFormat="1" x14ac:dyDescent="0.2">
      <c r="A50" s="224" t="str">
        <f t="shared" si="0"/>
        <v>I-007-WS-33</v>
      </c>
      <c r="B50" s="224" t="str">
        <f t="shared" si="1"/>
        <v>I-007-70</v>
      </c>
      <c r="C50" s="45" t="s">
        <v>203</v>
      </c>
      <c r="D50" s="45">
        <v>70</v>
      </c>
      <c r="E50" s="45" t="s">
        <v>606</v>
      </c>
      <c r="F50" s="42" t="str">
        <f>_xlfn.XLOOKUP(E50, 'S11 Work Stations'!$A$2:$A$45, 'S11 Work Stations'!$B$2:$B$45, "NOT FOUND", 0)</f>
        <v>SAW-50-150-252</v>
      </c>
      <c r="G50" s="45">
        <v>180</v>
      </c>
      <c r="H50" s="3">
        <v>200</v>
      </c>
    </row>
    <row r="51" spans="1:8" s="44" customFormat="1" x14ac:dyDescent="0.2">
      <c r="A51" s="224" t="str">
        <f t="shared" si="0"/>
        <v>I-007-WS-40</v>
      </c>
      <c r="B51" s="224" t="str">
        <f t="shared" si="1"/>
        <v>I-007-20</v>
      </c>
      <c r="C51" s="45" t="s">
        <v>203</v>
      </c>
      <c r="D51" s="45">
        <v>20</v>
      </c>
      <c r="E51" s="45" t="s">
        <v>613</v>
      </c>
      <c r="F51" s="42" t="str">
        <f>_xlfn.XLOOKUP(E51, 'S11 Work Stations'!$A$2:$A$45, 'S11 Work Stations'!$B$2:$B$45, "NOT FOUND", 0)</f>
        <v>SAW-CNC-40-425</v>
      </c>
      <c r="G51" s="45">
        <v>120</v>
      </c>
      <c r="H51" s="3">
        <v>200</v>
      </c>
    </row>
    <row r="52" spans="1:8" s="44" customFormat="1" x14ac:dyDescent="0.2">
      <c r="A52" s="224" t="str">
        <f t="shared" si="0"/>
        <v>I-007-WS-43</v>
      </c>
      <c r="B52" s="224" t="str">
        <f t="shared" si="1"/>
        <v>I-007-10</v>
      </c>
      <c r="C52" s="45" t="s">
        <v>203</v>
      </c>
      <c r="D52" s="45">
        <v>10</v>
      </c>
      <c r="E52" s="45" t="s">
        <v>616</v>
      </c>
      <c r="F52" s="42" t="str">
        <f>_xlfn.XLOOKUP(E52, 'S11 Work Stations'!$A$2:$A$45, 'S11 Work Stations'!$B$2:$B$45, "NOT FOUND", 0)</f>
        <v>RAW-MAT-INV</v>
      </c>
      <c r="G52" s="45">
        <v>0</v>
      </c>
      <c r="H52" s="3">
        <v>200</v>
      </c>
    </row>
    <row r="53" spans="1:8" s="44" customFormat="1" x14ac:dyDescent="0.2">
      <c r="A53" s="224" t="str">
        <f t="shared" si="0"/>
        <v>I-007-WS-44</v>
      </c>
      <c r="B53" s="224" t="str">
        <f t="shared" si="1"/>
        <v>I-007-80</v>
      </c>
      <c r="C53" s="45" t="s">
        <v>203</v>
      </c>
      <c r="D53" s="45">
        <v>80</v>
      </c>
      <c r="E53" s="45" t="s">
        <v>617</v>
      </c>
      <c r="F53" s="42" t="str">
        <f>_xlfn.XLOOKUP(E53, 'S11 Work Stations'!$A$2:$A$45, 'S11 Work Stations'!$B$2:$B$45, "NOT FOUND", 0)</f>
        <v>FIN-GOOD-INV</v>
      </c>
      <c r="G53" s="45">
        <v>0</v>
      </c>
      <c r="H53" s="3">
        <v>200</v>
      </c>
    </row>
    <row r="54" spans="1:8" s="44" customFormat="1" x14ac:dyDescent="0.2">
      <c r="A54" s="224" t="str">
        <f t="shared" si="0"/>
        <v>I-008-WS-02</v>
      </c>
      <c r="B54" s="224" t="str">
        <f t="shared" si="1"/>
        <v>I-008-30</v>
      </c>
      <c r="C54" s="45" t="s">
        <v>217</v>
      </c>
      <c r="D54" s="45">
        <v>30</v>
      </c>
      <c r="E54" s="45" t="s">
        <v>575</v>
      </c>
      <c r="F54" s="42" t="str">
        <f>_xlfn.XLOOKUP(E54, 'S11 Work Stations'!$A$2:$A$45, 'S11 Work Stations'!$B$2:$B$45, "NOT FOUND", 0)</f>
        <v>TUR-B2-362</v>
      </c>
      <c r="G54" s="45">
        <v>540</v>
      </c>
      <c r="H54" s="3">
        <v>200</v>
      </c>
    </row>
    <row r="55" spans="1:8" s="44" customFormat="1" x14ac:dyDescent="0.2">
      <c r="A55" s="224" t="str">
        <f t="shared" si="0"/>
        <v>I-008-WS-18</v>
      </c>
      <c r="B55" s="224" t="str">
        <f t="shared" si="1"/>
        <v>I-008-40</v>
      </c>
      <c r="C55" s="45" t="s">
        <v>217</v>
      </c>
      <c r="D55" s="45">
        <v>40</v>
      </c>
      <c r="E55" s="45" t="s">
        <v>591</v>
      </c>
      <c r="F55" s="42" t="str">
        <f>_xlfn.XLOOKUP(E55, 'S11 Work Stations'!$A$2:$A$45, 'S11 Work Stations'!$B$2:$B$45, "NOT FOUND", 0)</f>
        <v>MIL-V2-602</v>
      </c>
      <c r="G55" s="45">
        <v>300</v>
      </c>
      <c r="H55" s="3">
        <v>200</v>
      </c>
    </row>
    <row r="56" spans="1:8" s="44" customFormat="1" x14ac:dyDescent="0.2">
      <c r="A56" s="224" t="str">
        <f t="shared" si="0"/>
        <v>I-008-WS-24</v>
      </c>
      <c r="B56" s="224" t="str">
        <f t="shared" si="1"/>
        <v>I-008-50</v>
      </c>
      <c r="C56" s="45" t="s">
        <v>217</v>
      </c>
      <c r="D56" s="45">
        <v>50</v>
      </c>
      <c r="E56" s="45" t="s">
        <v>597</v>
      </c>
      <c r="F56" s="42" t="str">
        <f>_xlfn.XLOOKUP(E56, 'S11 Work Stations'!$A$2:$A$45, 'S11 Work Stations'!$B$2:$B$45, "NOT FOUND", 0)</f>
        <v>MIL-V5-608</v>
      </c>
      <c r="G56" s="45">
        <v>300</v>
      </c>
      <c r="H56" s="3">
        <v>200</v>
      </c>
    </row>
    <row r="57" spans="1:8" s="44" customFormat="1" x14ac:dyDescent="0.2">
      <c r="A57" s="224" t="str">
        <f t="shared" si="0"/>
        <v>I-008-WS-29</v>
      </c>
      <c r="B57" s="224" t="str">
        <f t="shared" si="1"/>
        <v>I-008-60</v>
      </c>
      <c r="C57" s="45" t="s">
        <v>217</v>
      </c>
      <c r="D57" s="45">
        <v>60</v>
      </c>
      <c r="E57" s="45" t="s">
        <v>602</v>
      </c>
      <c r="F57" s="42" t="str">
        <f>_xlfn.XLOOKUP(E57, 'S11 Work Stations'!$A$2:$A$45, 'S11 Work Stations'!$B$2:$B$45, "NOT FOUND", 0)</f>
        <v>GR-T11-250</v>
      </c>
      <c r="G57" s="45">
        <v>300</v>
      </c>
      <c r="H57" s="3">
        <v>200</v>
      </c>
    </row>
    <row r="58" spans="1:8" s="44" customFormat="1" x14ac:dyDescent="0.2">
      <c r="A58" s="224" t="str">
        <f t="shared" si="0"/>
        <v>I-008-WS-33</v>
      </c>
      <c r="B58" s="224" t="str">
        <f t="shared" si="1"/>
        <v>I-008-70</v>
      </c>
      <c r="C58" s="45" t="s">
        <v>217</v>
      </c>
      <c r="D58" s="45">
        <v>70</v>
      </c>
      <c r="E58" s="45" t="s">
        <v>606</v>
      </c>
      <c r="F58" s="42" t="str">
        <f>_xlfn.XLOOKUP(E58, 'S11 Work Stations'!$A$2:$A$45, 'S11 Work Stations'!$B$2:$B$45, "NOT FOUND", 0)</f>
        <v>SAW-50-150-252</v>
      </c>
      <c r="G58" s="45">
        <v>180</v>
      </c>
      <c r="H58" s="3">
        <v>200</v>
      </c>
    </row>
    <row r="59" spans="1:8" s="44" customFormat="1" x14ac:dyDescent="0.2">
      <c r="A59" s="224" t="str">
        <f t="shared" si="0"/>
        <v>I-008-WS-40</v>
      </c>
      <c r="B59" s="224" t="str">
        <f t="shared" si="1"/>
        <v>I-008-20</v>
      </c>
      <c r="C59" s="45" t="s">
        <v>217</v>
      </c>
      <c r="D59" s="45">
        <v>20</v>
      </c>
      <c r="E59" s="45" t="s">
        <v>613</v>
      </c>
      <c r="F59" s="42" t="str">
        <f>_xlfn.XLOOKUP(E59, 'S11 Work Stations'!$A$2:$A$45, 'S11 Work Stations'!$B$2:$B$45, "NOT FOUND", 0)</f>
        <v>SAW-CNC-40-425</v>
      </c>
      <c r="G59" s="45">
        <v>120</v>
      </c>
      <c r="H59" s="3">
        <v>200</v>
      </c>
    </row>
    <row r="60" spans="1:8" s="44" customFormat="1" x14ac:dyDescent="0.2">
      <c r="A60" s="224" t="str">
        <f t="shared" si="0"/>
        <v>I-008-WS-43</v>
      </c>
      <c r="B60" s="224" t="str">
        <f t="shared" si="1"/>
        <v>I-008-10</v>
      </c>
      <c r="C60" s="45" t="s">
        <v>217</v>
      </c>
      <c r="D60" s="45">
        <v>10</v>
      </c>
      <c r="E60" s="45" t="s">
        <v>616</v>
      </c>
      <c r="F60" s="42" t="str">
        <f>_xlfn.XLOOKUP(E60, 'S11 Work Stations'!$A$2:$A$45, 'S11 Work Stations'!$B$2:$B$45, "NOT FOUND", 0)</f>
        <v>RAW-MAT-INV</v>
      </c>
      <c r="G60" s="45">
        <v>0</v>
      </c>
      <c r="H60" s="3">
        <v>200</v>
      </c>
    </row>
    <row r="61" spans="1:8" s="44" customFormat="1" x14ac:dyDescent="0.2">
      <c r="A61" s="224" t="str">
        <f t="shared" si="0"/>
        <v>I-008-WS-44</v>
      </c>
      <c r="B61" s="224" t="str">
        <f t="shared" si="1"/>
        <v>I-008-80</v>
      </c>
      <c r="C61" s="45" t="s">
        <v>217</v>
      </c>
      <c r="D61" s="45">
        <v>80</v>
      </c>
      <c r="E61" s="45" t="s">
        <v>617</v>
      </c>
      <c r="F61" s="42" t="str">
        <f>_xlfn.XLOOKUP(E61, 'S11 Work Stations'!$A$2:$A$45, 'S11 Work Stations'!$B$2:$B$45, "NOT FOUND", 0)</f>
        <v>FIN-GOOD-INV</v>
      </c>
      <c r="G61" s="45">
        <v>0</v>
      </c>
      <c r="H61" s="3">
        <v>200</v>
      </c>
    </row>
    <row r="62" spans="1:8" s="44" customFormat="1" x14ac:dyDescent="0.2">
      <c r="A62" s="224" t="str">
        <f t="shared" si="0"/>
        <v>I-009-WS-03</v>
      </c>
      <c r="B62" s="224" t="str">
        <f t="shared" si="1"/>
        <v>I-009-30</v>
      </c>
      <c r="C62" s="45" t="s">
        <v>511</v>
      </c>
      <c r="D62" s="45">
        <v>30</v>
      </c>
      <c r="E62" s="45" t="s">
        <v>576</v>
      </c>
      <c r="F62" s="42" t="str">
        <f>_xlfn.XLOOKUP(E62, 'S11 Work Stations'!$A$2:$A$45, 'S11 Work Stations'!$B$2:$B$45, "NOT FOUND", 0)</f>
        <v>MIL-A31-363</v>
      </c>
      <c r="G62" s="45">
        <v>540</v>
      </c>
      <c r="H62" s="3">
        <v>200</v>
      </c>
    </row>
    <row r="63" spans="1:8" s="44" customFormat="1" x14ac:dyDescent="0.2">
      <c r="A63" s="224" t="str">
        <f t="shared" si="0"/>
        <v>I-009-WS-18</v>
      </c>
      <c r="B63" s="224" t="str">
        <f t="shared" si="1"/>
        <v>I-009-40</v>
      </c>
      <c r="C63" s="45" t="s">
        <v>511</v>
      </c>
      <c r="D63" s="45">
        <v>40</v>
      </c>
      <c r="E63" s="45" t="s">
        <v>591</v>
      </c>
      <c r="F63" s="42" t="str">
        <f>_xlfn.XLOOKUP(E63, 'S11 Work Stations'!$A$2:$A$45, 'S11 Work Stations'!$B$2:$B$45, "NOT FOUND", 0)</f>
        <v>MIL-V2-602</v>
      </c>
      <c r="G63" s="45">
        <v>360</v>
      </c>
      <c r="H63" s="3">
        <v>200</v>
      </c>
    </row>
    <row r="64" spans="1:8" s="44" customFormat="1" x14ac:dyDescent="0.2">
      <c r="A64" s="224" t="str">
        <f t="shared" si="0"/>
        <v>I-009-WS-29</v>
      </c>
      <c r="B64" s="224" t="str">
        <f t="shared" si="1"/>
        <v>I-009-50</v>
      </c>
      <c r="C64" s="45" t="s">
        <v>511</v>
      </c>
      <c r="D64" s="45">
        <v>50</v>
      </c>
      <c r="E64" s="45" t="s">
        <v>602</v>
      </c>
      <c r="F64" s="42" t="str">
        <f>_xlfn.XLOOKUP(E64, 'S11 Work Stations'!$A$2:$A$45, 'S11 Work Stations'!$B$2:$B$45, "NOT FOUND", 0)</f>
        <v>GR-T11-250</v>
      </c>
      <c r="G64" s="45">
        <v>360</v>
      </c>
      <c r="H64" s="3">
        <v>200</v>
      </c>
    </row>
    <row r="65" spans="1:8" s="44" customFormat="1" x14ac:dyDescent="0.2">
      <c r="A65" s="224" t="str">
        <f t="shared" si="0"/>
        <v>I-009-WS-40</v>
      </c>
      <c r="B65" s="224" t="str">
        <f t="shared" si="1"/>
        <v>I-009-20</v>
      </c>
      <c r="C65" s="45" t="s">
        <v>511</v>
      </c>
      <c r="D65" s="45">
        <v>20</v>
      </c>
      <c r="E65" s="45" t="s">
        <v>613</v>
      </c>
      <c r="F65" s="42" t="str">
        <f>_xlfn.XLOOKUP(E65, 'S11 Work Stations'!$A$2:$A$45, 'S11 Work Stations'!$B$2:$B$45, "NOT FOUND", 0)</f>
        <v>SAW-CNC-40-425</v>
      </c>
      <c r="G65" s="45">
        <v>120</v>
      </c>
      <c r="H65" s="3">
        <v>200</v>
      </c>
    </row>
    <row r="66" spans="1:8" s="44" customFormat="1" x14ac:dyDescent="0.2">
      <c r="A66" s="224" t="str">
        <f t="shared" si="0"/>
        <v>I-009-WS-43</v>
      </c>
      <c r="B66" s="224" t="str">
        <f t="shared" si="1"/>
        <v>I-009-10</v>
      </c>
      <c r="C66" s="45" t="s">
        <v>511</v>
      </c>
      <c r="D66" s="45">
        <v>10</v>
      </c>
      <c r="E66" s="45" t="s">
        <v>616</v>
      </c>
      <c r="F66" s="42" t="str">
        <f>_xlfn.XLOOKUP(E66, 'S11 Work Stations'!$A$2:$A$45, 'S11 Work Stations'!$B$2:$B$45, "NOT FOUND", 0)</f>
        <v>RAW-MAT-INV</v>
      </c>
      <c r="G66" s="45">
        <v>0</v>
      </c>
      <c r="H66" s="3">
        <v>200</v>
      </c>
    </row>
    <row r="67" spans="1:8" s="44" customFormat="1" x14ac:dyDescent="0.2">
      <c r="A67" s="224" t="str">
        <f t="shared" ref="A67:A130" si="2">C67&amp;"-"&amp;E67</f>
        <v>I-009-WS-44</v>
      </c>
      <c r="B67" s="224" t="str">
        <f t="shared" ref="B67:B130" si="3">C67&amp;"-"&amp;D67</f>
        <v>I-009-60</v>
      </c>
      <c r="C67" s="45" t="s">
        <v>511</v>
      </c>
      <c r="D67" s="45">
        <v>60</v>
      </c>
      <c r="E67" s="45" t="s">
        <v>617</v>
      </c>
      <c r="F67" s="42" t="str">
        <f>_xlfn.XLOOKUP(E67, 'S11 Work Stations'!$A$2:$A$45, 'S11 Work Stations'!$B$2:$B$45, "NOT FOUND", 0)</f>
        <v>FIN-GOOD-INV</v>
      </c>
      <c r="G67" s="45">
        <v>0</v>
      </c>
      <c r="H67" s="3">
        <v>200</v>
      </c>
    </row>
    <row r="68" spans="1:8" s="44" customFormat="1" x14ac:dyDescent="0.2">
      <c r="A68" s="224" t="str">
        <f t="shared" si="2"/>
        <v>I-010-WS-02</v>
      </c>
      <c r="B68" s="224" t="str">
        <f t="shared" si="3"/>
        <v>I-010-30</v>
      </c>
      <c r="C68" s="45" t="s">
        <v>176</v>
      </c>
      <c r="D68" s="45">
        <v>30</v>
      </c>
      <c r="E68" s="45" t="s">
        <v>575</v>
      </c>
      <c r="F68" s="42" t="str">
        <f>_xlfn.XLOOKUP(E68, 'S11 Work Stations'!$A$2:$A$45, 'S11 Work Stations'!$B$2:$B$45, "NOT FOUND", 0)</f>
        <v>TUR-B2-362</v>
      </c>
      <c r="G68" s="45">
        <v>360</v>
      </c>
      <c r="H68" s="3">
        <v>200</v>
      </c>
    </row>
    <row r="69" spans="1:8" s="44" customFormat="1" x14ac:dyDescent="0.2">
      <c r="A69" s="224" t="str">
        <f t="shared" si="2"/>
        <v>I-010-WS-18</v>
      </c>
      <c r="B69" s="224" t="str">
        <f t="shared" si="3"/>
        <v>I-010-40</v>
      </c>
      <c r="C69" s="45" t="s">
        <v>176</v>
      </c>
      <c r="D69" s="45">
        <v>40</v>
      </c>
      <c r="E69" s="45" t="s">
        <v>591</v>
      </c>
      <c r="F69" s="42" t="str">
        <f>_xlfn.XLOOKUP(E69, 'S11 Work Stations'!$A$2:$A$45, 'S11 Work Stations'!$B$2:$B$45, "NOT FOUND", 0)</f>
        <v>MIL-V2-602</v>
      </c>
      <c r="G69" s="45">
        <v>420</v>
      </c>
      <c r="H69" s="3">
        <v>200</v>
      </c>
    </row>
    <row r="70" spans="1:8" s="44" customFormat="1" x14ac:dyDescent="0.2">
      <c r="A70" s="224" t="str">
        <f t="shared" si="2"/>
        <v>I-010-WS-24</v>
      </c>
      <c r="B70" s="224" t="str">
        <f t="shared" si="3"/>
        <v>I-010-50</v>
      </c>
      <c r="C70" s="45" t="s">
        <v>176</v>
      </c>
      <c r="D70" s="45">
        <v>50</v>
      </c>
      <c r="E70" s="45" t="s">
        <v>597</v>
      </c>
      <c r="F70" s="42" t="str">
        <f>_xlfn.XLOOKUP(E70, 'S11 Work Stations'!$A$2:$A$45, 'S11 Work Stations'!$B$2:$B$45, "NOT FOUND", 0)</f>
        <v>MIL-V5-608</v>
      </c>
      <c r="G70" s="45">
        <v>360</v>
      </c>
      <c r="H70" s="3">
        <v>200</v>
      </c>
    </row>
    <row r="71" spans="1:8" s="44" customFormat="1" x14ac:dyDescent="0.2">
      <c r="A71" s="224" t="str">
        <f t="shared" si="2"/>
        <v>I-010-WS-29</v>
      </c>
      <c r="B71" s="224" t="str">
        <f t="shared" si="3"/>
        <v>I-010-60</v>
      </c>
      <c r="C71" s="45" t="s">
        <v>176</v>
      </c>
      <c r="D71" s="45">
        <v>60</v>
      </c>
      <c r="E71" s="45" t="s">
        <v>602</v>
      </c>
      <c r="F71" s="42" t="str">
        <f>_xlfn.XLOOKUP(E71, 'S11 Work Stations'!$A$2:$A$45, 'S11 Work Stations'!$B$2:$B$45, "NOT FOUND", 0)</f>
        <v>GR-T11-250</v>
      </c>
      <c r="G71" s="45">
        <v>420</v>
      </c>
      <c r="H71" s="3">
        <v>200</v>
      </c>
    </row>
    <row r="72" spans="1:8" s="44" customFormat="1" x14ac:dyDescent="0.2">
      <c r="A72" s="224" t="str">
        <f t="shared" si="2"/>
        <v>I-010-WS-33</v>
      </c>
      <c r="B72" s="224" t="str">
        <f t="shared" si="3"/>
        <v>I-010-70</v>
      </c>
      <c r="C72" s="45" t="s">
        <v>176</v>
      </c>
      <c r="D72" s="45">
        <v>70</v>
      </c>
      <c r="E72" s="45" t="s">
        <v>606</v>
      </c>
      <c r="F72" s="42" t="str">
        <f>_xlfn.XLOOKUP(E72, 'S11 Work Stations'!$A$2:$A$45, 'S11 Work Stations'!$B$2:$B$45, "NOT FOUND", 0)</f>
        <v>SAW-50-150-252</v>
      </c>
      <c r="G72" s="45">
        <v>180</v>
      </c>
      <c r="H72" s="3">
        <v>200</v>
      </c>
    </row>
    <row r="73" spans="1:8" s="44" customFormat="1" x14ac:dyDescent="0.2">
      <c r="A73" s="224" t="str">
        <f t="shared" si="2"/>
        <v>I-010-WS-40</v>
      </c>
      <c r="B73" s="224" t="str">
        <f t="shared" si="3"/>
        <v>I-010-20</v>
      </c>
      <c r="C73" s="45" t="s">
        <v>176</v>
      </c>
      <c r="D73" s="45">
        <v>20</v>
      </c>
      <c r="E73" s="45" t="s">
        <v>613</v>
      </c>
      <c r="F73" s="42" t="str">
        <f>_xlfn.XLOOKUP(E73, 'S11 Work Stations'!$A$2:$A$45, 'S11 Work Stations'!$B$2:$B$45, "NOT FOUND", 0)</f>
        <v>SAW-CNC-40-425</v>
      </c>
      <c r="G73" s="45">
        <v>120</v>
      </c>
      <c r="H73" s="3">
        <v>200</v>
      </c>
    </row>
    <row r="74" spans="1:8" s="44" customFormat="1" x14ac:dyDescent="0.2">
      <c r="A74" s="224" t="str">
        <f t="shared" si="2"/>
        <v>I-010-WS-43</v>
      </c>
      <c r="B74" s="224" t="str">
        <f t="shared" si="3"/>
        <v>I-010-10</v>
      </c>
      <c r="C74" s="45" t="s">
        <v>176</v>
      </c>
      <c r="D74" s="45">
        <v>10</v>
      </c>
      <c r="E74" s="45" t="s">
        <v>616</v>
      </c>
      <c r="F74" s="42" t="str">
        <f>_xlfn.XLOOKUP(E74, 'S11 Work Stations'!$A$2:$A$45, 'S11 Work Stations'!$B$2:$B$45, "NOT FOUND", 0)</f>
        <v>RAW-MAT-INV</v>
      </c>
      <c r="G74" s="45">
        <v>0</v>
      </c>
      <c r="H74" s="3">
        <v>200</v>
      </c>
    </row>
    <row r="75" spans="1:8" s="44" customFormat="1" x14ac:dyDescent="0.2">
      <c r="A75" s="224" t="str">
        <f t="shared" si="2"/>
        <v>I-010-WS-44</v>
      </c>
      <c r="B75" s="224" t="str">
        <f t="shared" si="3"/>
        <v>I-010-80</v>
      </c>
      <c r="C75" s="45" t="s">
        <v>176</v>
      </c>
      <c r="D75" s="45">
        <v>80</v>
      </c>
      <c r="E75" s="45" t="s">
        <v>617</v>
      </c>
      <c r="F75" s="42" t="str">
        <f>_xlfn.XLOOKUP(E75, 'S11 Work Stations'!$A$2:$A$45, 'S11 Work Stations'!$B$2:$B$45, "NOT FOUND", 0)</f>
        <v>FIN-GOOD-INV</v>
      </c>
      <c r="G75" s="45">
        <v>0</v>
      </c>
      <c r="H75" s="3">
        <v>200</v>
      </c>
    </row>
    <row r="76" spans="1:8" s="44" customFormat="1" x14ac:dyDescent="0.2">
      <c r="A76" s="224" t="str">
        <f t="shared" si="2"/>
        <v>I-011-WS-02</v>
      </c>
      <c r="B76" s="224" t="str">
        <f t="shared" si="3"/>
        <v>I-011-30</v>
      </c>
      <c r="C76" s="45" t="s">
        <v>512</v>
      </c>
      <c r="D76" s="45">
        <v>30</v>
      </c>
      <c r="E76" s="45" t="s">
        <v>575</v>
      </c>
      <c r="F76" s="42" t="str">
        <f>_xlfn.XLOOKUP(E76, 'S11 Work Stations'!$A$2:$A$45, 'S11 Work Stations'!$B$2:$B$45, "NOT FOUND", 0)</f>
        <v>TUR-B2-362</v>
      </c>
      <c r="G76" s="45">
        <v>360</v>
      </c>
      <c r="H76" s="3">
        <v>200</v>
      </c>
    </row>
    <row r="77" spans="1:8" s="44" customFormat="1" x14ac:dyDescent="0.2">
      <c r="A77" s="224" t="str">
        <f t="shared" si="2"/>
        <v>I-011-WS-18</v>
      </c>
      <c r="B77" s="224" t="str">
        <f t="shared" si="3"/>
        <v>I-011-40</v>
      </c>
      <c r="C77" s="45" t="s">
        <v>512</v>
      </c>
      <c r="D77" s="45">
        <v>40</v>
      </c>
      <c r="E77" s="45" t="s">
        <v>591</v>
      </c>
      <c r="F77" s="42" t="str">
        <f>_xlfn.XLOOKUP(E77, 'S11 Work Stations'!$A$2:$A$45, 'S11 Work Stations'!$B$2:$B$45, "NOT FOUND", 0)</f>
        <v>MIL-V2-602</v>
      </c>
      <c r="G77" s="45">
        <v>420</v>
      </c>
      <c r="H77" s="3">
        <v>200</v>
      </c>
    </row>
    <row r="78" spans="1:8" s="44" customFormat="1" x14ac:dyDescent="0.2">
      <c r="A78" s="224" t="str">
        <f t="shared" si="2"/>
        <v>I-011-WS-29</v>
      </c>
      <c r="B78" s="224" t="str">
        <f t="shared" si="3"/>
        <v>I-011-50</v>
      </c>
      <c r="C78" s="45" t="s">
        <v>512</v>
      </c>
      <c r="D78" s="45">
        <v>50</v>
      </c>
      <c r="E78" s="45" t="s">
        <v>602</v>
      </c>
      <c r="F78" s="42" t="str">
        <f>_xlfn.XLOOKUP(E78, 'S11 Work Stations'!$A$2:$A$45, 'S11 Work Stations'!$B$2:$B$45, "NOT FOUND", 0)</f>
        <v>GR-T11-250</v>
      </c>
      <c r="G78" s="45">
        <v>420</v>
      </c>
      <c r="H78" s="3">
        <v>200</v>
      </c>
    </row>
    <row r="79" spans="1:8" s="44" customFormat="1" x14ac:dyDescent="0.2">
      <c r="A79" s="224" t="str">
        <f t="shared" si="2"/>
        <v>I-011-WS-33</v>
      </c>
      <c r="B79" s="224" t="str">
        <f t="shared" si="3"/>
        <v>I-011-60</v>
      </c>
      <c r="C79" s="45" t="s">
        <v>512</v>
      </c>
      <c r="D79" s="45">
        <v>60</v>
      </c>
      <c r="E79" s="45" t="s">
        <v>606</v>
      </c>
      <c r="F79" s="42" t="str">
        <f>_xlfn.XLOOKUP(E79, 'S11 Work Stations'!$A$2:$A$45, 'S11 Work Stations'!$B$2:$B$45, "NOT FOUND", 0)</f>
        <v>SAW-50-150-252</v>
      </c>
      <c r="G79" s="45">
        <v>180</v>
      </c>
      <c r="H79" s="3">
        <v>200</v>
      </c>
    </row>
    <row r="80" spans="1:8" s="44" customFormat="1" x14ac:dyDescent="0.2">
      <c r="A80" s="224" t="str">
        <f t="shared" si="2"/>
        <v>I-011-WS-40</v>
      </c>
      <c r="B80" s="224" t="str">
        <f t="shared" si="3"/>
        <v>I-011-20</v>
      </c>
      <c r="C80" s="45" t="s">
        <v>512</v>
      </c>
      <c r="D80" s="45">
        <v>20</v>
      </c>
      <c r="E80" s="45" t="s">
        <v>613</v>
      </c>
      <c r="F80" s="42" t="str">
        <f>_xlfn.XLOOKUP(E80, 'S11 Work Stations'!$A$2:$A$45, 'S11 Work Stations'!$B$2:$B$45, "NOT FOUND", 0)</f>
        <v>SAW-CNC-40-425</v>
      </c>
      <c r="G80" s="45">
        <v>120</v>
      </c>
      <c r="H80" s="3">
        <v>200</v>
      </c>
    </row>
    <row r="81" spans="1:8" s="44" customFormat="1" x14ac:dyDescent="0.2">
      <c r="A81" s="224" t="str">
        <f t="shared" si="2"/>
        <v>I-011-WS-43</v>
      </c>
      <c r="B81" s="224" t="str">
        <f t="shared" si="3"/>
        <v>I-011-10</v>
      </c>
      <c r="C81" s="45" t="s">
        <v>512</v>
      </c>
      <c r="D81" s="45">
        <v>10</v>
      </c>
      <c r="E81" s="45" t="s">
        <v>616</v>
      </c>
      <c r="F81" s="42" t="str">
        <f>_xlfn.XLOOKUP(E81, 'S11 Work Stations'!$A$2:$A$45, 'S11 Work Stations'!$B$2:$B$45, "NOT FOUND", 0)</f>
        <v>RAW-MAT-INV</v>
      </c>
      <c r="G81" s="45">
        <v>0</v>
      </c>
      <c r="H81" s="3">
        <v>200</v>
      </c>
    </row>
    <row r="82" spans="1:8" s="44" customFormat="1" x14ac:dyDescent="0.2">
      <c r="A82" s="224" t="str">
        <f t="shared" si="2"/>
        <v>I-011-WS-44</v>
      </c>
      <c r="B82" s="224" t="str">
        <f t="shared" si="3"/>
        <v>I-011-70</v>
      </c>
      <c r="C82" s="45" t="s">
        <v>512</v>
      </c>
      <c r="D82" s="45">
        <v>70</v>
      </c>
      <c r="E82" s="45" t="s">
        <v>617</v>
      </c>
      <c r="F82" s="42" t="str">
        <f>_xlfn.XLOOKUP(E82, 'S11 Work Stations'!$A$2:$A$45, 'S11 Work Stations'!$B$2:$B$45, "NOT FOUND", 0)</f>
        <v>FIN-GOOD-INV</v>
      </c>
      <c r="G82" s="45">
        <v>0</v>
      </c>
      <c r="H82" s="3">
        <v>200</v>
      </c>
    </row>
    <row r="83" spans="1:8" s="44" customFormat="1" x14ac:dyDescent="0.2">
      <c r="A83" s="224" t="str">
        <f t="shared" si="2"/>
        <v>I-012-WS-07</v>
      </c>
      <c r="B83" s="224" t="str">
        <f t="shared" si="3"/>
        <v>I-012-30</v>
      </c>
      <c r="C83" s="45" t="s">
        <v>190</v>
      </c>
      <c r="D83" s="45">
        <v>30</v>
      </c>
      <c r="E83" s="45" t="s">
        <v>580</v>
      </c>
      <c r="F83" s="42" t="str">
        <f>_xlfn.XLOOKUP(E83, 'S11 Work Stations'!$A$2:$A$45, 'S11 Work Stations'!$B$2:$B$45, "NOT FOUND", 0)</f>
        <v>TUR-C2-367</v>
      </c>
      <c r="G83" s="45">
        <v>600</v>
      </c>
      <c r="H83" s="3">
        <v>200</v>
      </c>
    </row>
    <row r="84" spans="1:8" s="44" customFormat="1" x14ac:dyDescent="0.2">
      <c r="A84" s="224" t="str">
        <f t="shared" si="2"/>
        <v>I-012-WS-08</v>
      </c>
      <c r="B84" s="224" t="str">
        <f t="shared" si="3"/>
        <v>I-012-40</v>
      </c>
      <c r="C84" s="45" t="s">
        <v>190</v>
      </c>
      <c r="D84" s="45">
        <v>40</v>
      </c>
      <c r="E84" s="45" t="s">
        <v>581</v>
      </c>
      <c r="F84" s="42" t="str">
        <f>_xlfn.XLOOKUP(E84, 'S11 Work Stations'!$A$2:$A$45, 'S11 Work Stations'!$B$2:$B$45, "NOT FOUND", 0)</f>
        <v>MIL-10-150-401</v>
      </c>
      <c r="G84" s="45">
        <v>120</v>
      </c>
      <c r="H84" s="3">
        <v>200</v>
      </c>
    </row>
    <row r="85" spans="1:8" s="44" customFormat="1" x14ac:dyDescent="0.2">
      <c r="A85" s="224" t="str">
        <f t="shared" si="2"/>
        <v>I-012-WS-20</v>
      </c>
      <c r="B85" s="224" t="str">
        <f t="shared" si="3"/>
        <v>I-012-50</v>
      </c>
      <c r="C85" s="45" t="s">
        <v>190</v>
      </c>
      <c r="D85" s="45">
        <v>50</v>
      </c>
      <c r="E85" s="45" t="s">
        <v>593</v>
      </c>
      <c r="F85" s="42" t="str">
        <f>_xlfn.XLOOKUP(E85, 'S11 Work Stations'!$A$2:$A$45, 'S11 Work Stations'!$B$2:$B$45, "NOT FOUND", 0)</f>
        <v>MIL-H21-604</v>
      </c>
      <c r="G85" s="45">
        <v>1140</v>
      </c>
      <c r="H85" s="3">
        <v>200</v>
      </c>
    </row>
    <row r="86" spans="1:8" s="44" customFormat="1" x14ac:dyDescent="0.2">
      <c r="A86" s="224" t="str">
        <f t="shared" si="2"/>
        <v>I-012-WS-26</v>
      </c>
      <c r="B86" s="224" t="str">
        <f t="shared" si="3"/>
        <v>I-012-60</v>
      </c>
      <c r="C86" s="45" t="s">
        <v>190</v>
      </c>
      <c r="D86" s="45">
        <v>60</v>
      </c>
      <c r="E86" s="45" t="s">
        <v>599</v>
      </c>
      <c r="F86" s="42" t="str">
        <f>_xlfn.XLOOKUP(E86, 'S11 Work Stations'!$A$2:$A$45, 'S11 Work Stations'!$B$2:$B$45, "NOT FOUND", 0)</f>
        <v>DR-2A2-202</v>
      </c>
      <c r="G86" s="45">
        <v>120</v>
      </c>
      <c r="H86" s="3">
        <v>200</v>
      </c>
    </row>
    <row r="87" spans="1:8" s="44" customFormat="1" x14ac:dyDescent="0.2">
      <c r="A87" s="224" t="str">
        <f t="shared" si="2"/>
        <v>I-012-WS-32</v>
      </c>
      <c r="B87" s="224" t="str">
        <f t="shared" si="3"/>
        <v>I-012-70</v>
      </c>
      <c r="C87" s="45" t="s">
        <v>190</v>
      </c>
      <c r="D87" s="45">
        <v>70</v>
      </c>
      <c r="E87" s="45" t="s">
        <v>605</v>
      </c>
      <c r="F87" s="42" t="str">
        <f>_xlfn.XLOOKUP(E87, 'S11 Work Stations'!$A$2:$A$45, 'S11 Work Stations'!$B$2:$B$45, "NOT FOUND", 0)</f>
        <v>SAW-30-150-251</v>
      </c>
      <c r="G87" s="45">
        <v>360</v>
      </c>
      <c r="H87" s="3">
        <v>200</v>
      </c>
    </row>
    <row r="88" spans="1:8" s="44" customFormat="1" x14ac:dyDescent="0.2">
      <c r="A88" s="224" t="str">
        <f t="shared" si="2"/>
        <v>I-012-WS-40</v>
      </c>
      <c r="B88" s="224" t="str">
        <f t="shared" si="3"/>
        <v>I-012-20</v>
      </c>
      <c r="C88" s="45" t="s">
        <v>190</v>
      </c>
      <c r="D88" s="45">
        <v>20</v>
      </c>
      <c r="E88" s="45" t="s">
        <v>613</v>
      </c>
      <c r="F88" s="42" t="str">
        <f>_xlfn.XLOOKUP(E88, 'S11 Work Stations'!$A$2:$A$45, 'S11 Work Stations'!$B$2:$B$45, "NOT FOUND", 0)</f>
        <v>SAW-CNC-40-425</v>
      </c>
      <c r="G88" s="45">
        <v>120</v>
      </c>
      <c r="H88" s="3">
        <v>200</v>
      </c>
    </row>
    <row r="89" spans="1:8" s="44" customFormat="1" x14ac:dyDescent="0.2">
      <c r="A89" s="224" t="str">
        <f t="shared" si="2"/>
        <v>I-012-WS-43</v>
      </c>
      <c r="B89" s="224" t="str">
        <f t="shared" si="3"/>
        <v>I-012-10</v>
      </c>
      <c r="C89" s="45" t="s">
        <v>190</v>
      </c>
      <c r="D89" s="45">
        <v>10</v>
      </c>
      <c r="E89" s="45" t="s">
        <v>616</v>
      </c>
      <c r="F89" s="42" t="str">
        <f>_xlfn.XLOOKUP(E89, 'S11 Work Stations'!$A$2:$A$45, 'S11 Work Stations'!$B$2:$B$45, "NOT FOUND", 0)</f>
        <v>RAW-MAT-INV</v>
      </c>
      <c r="G89" s="45">
        <v>0</v>
      </c>
      <c r="H89" s="3">
        <v>200</v>
      </c>
    </row>
    <row r="90" spans="1:8" s="44" customFormat="1" x14ac:dyDescent="0.2">
      <c r="A90" s="224" t="str">
        <f t="shared" si="2"/>
        <v>I-012-WS-44</v>
      </c>
      <c r="B90" s="224" t="str">
        <f t="shared" si="3"/>
        <v>I-012-80</v>
      </c>
      <c r="C90" s="45" t="s">
        <v>190</v>
      </c>
      <c r="D90" s="45">
        <v>80</v>
      </c>
      <c r="E90" s="45" t="s">
        <v>617</v>
      </c>
      <c r="F90" s="42" t="str">
        <f>_xlfn.XLOOKUP(E90, 'S11 Work Stations'!$A$2:$A$45, 'S11 Work Stations'!$B$2:$B$45, "NOT FOUND", 0)</f>
        <v>FIN-GOOD-INV</v>
      </c>
      <c r="G90" s="45">
        <v>0</v>
      </c>
      <c r="H90" s="3">
        <v>200</v>
      </c>
    </row>
    <row r="91" spans="1:8" s="44" customFormat="1" x14ac:dyDescent="0.2">
      <c r="A91" s="224" t="str">
        <f t="shared" si="2"/>
        <v>I-013-WS-09</v>
      </c>
      <c r="B91" s="224" t="str">
        <f t="shared" si="3"/>
        <v>I-013-30</v>
      </c>
      <c r="C91" s="45" t="s">
        <v>513</v>
      </c>
      <c r="D91" s="45">
        <v>30</v>
      </c>
      <c r="E91" s="45" t="s">
        <v>582</v>
      </c>
      <c r="F91" s="42" t="str">
        <f>_xlfn.XLOOKUP(E91, 'S11 Work Stations'!$A$2:$A$45, 'S11 Work Stations'!$B$2:$B$45, "NOT FOUND", 0)</f>
        <v>TUR-20-120-402</v>
      </c>
      <c r="G91" s="45">
        <v>920</v>
      </c>
      <c r="H91" s="3">
        <v>200</v>
      </c>
    </row>
    <row r="92" spans="1:8" s="44" customFormat="1" x14ac:dyDescent="0.2">
      <c r="A92" s="224" t="str">
        <f t="shared" si="2"/>
        <v>I-013-WS-21</v>
      </c>
      <c r="B92" s="224" t="str">
        <f t="shared" si="3"/>
        <v>I-013-40</v>
      </c>
      <c r="C92" s="45" t="s">
        <v>513</v>
      </c>
      <c r="D92" s="45">
        <v>40</v>
      </c>
      <c r="E92" s="45" t="s">
        <v>594</v>
      </c>
      <c r="F92" s="42" t="str">
        <f>_xlfn.XLOOKUP(E92, 'S11 Work Stations'!$A$2:$A$45, 'S11 Work Stations'!$B$2:$B$45, "NOT FOUND", 0)</f>
        <v>MIL-U1-605</v>
      </c>
      <c r="G92" s="45">
        <v>360</v>
      </c>
      <c r="H92" s="3">
        <v>200</v>
      </c>
    </row>
    <row r="93" spans="1:8" s="44" customFormat="1" x14ac:dyDescent="0.2">
      <c r="A93" s="224" t="str">
        <f t="shared" si="2"/>
        <v>I-013-WS-30</v>
      </c>
      <c r="B93" s="224" t="str">
        <f t="shared" si="3"/>
        <v>I-013-50</v>
      </c>
      <c r="C93" s="45" t="s">
        <v>513</v>
      </c>
      <c r="D93" s="45">
        <v>50</v>
      </c>
      <c r="E93" s="45" t="s">
        <v>603</v>
      </c>
      <c r="F93" s="42" t="str">
        <f>_xlfn.XLOOKUP(E93, 'S11 Work Stations'!$A$2:$A$45, 'S11 Work Stations'!$B$2:$B$45, "NOT FOUND", 0)</f>
        <v>DR-3A-206</v>
      </c>
      <c r="G93" s="45">
        <v>360</v>
      </c>
      <c r="H93" s="3">
        <v>200</v>
      </c>
    </row>
    <row r="94" spans="1:8" s="44" customFormat="1" x14ac:dyDescent="0.2">
      <c r="A94" s="224" t="str">
        <f t="shared" si="2"/>
        <v>I-013-WS-34</v>
      </c>
      <c r="B94" s="224" t="str">
        <f t="shared" si="3"/>
        <v>I-013-60</v>
      </c>
      <c r="C94" s="45" t="s">
        <v>513</v>
      </c>
      <c r="D94" s="45">
        <v>60</v>
      </c>
      <c r="E94" s="45" t="s">
        <v>607</v>
      </c>
      <c r="F94" s="42" t="str">
        <f>_xlfn.XLOOKUP(E94, 'S11 Work Stations'!$A$2:$A$45, 'S11 Work Stations'!$B$2:$B$45, "NOT FOUND", 0)</f>
        <v>SAW-30-160-252</v>
      </c>
      <c r="G94" s="45">
        <v>540</v>
      </c>
      <c r="H94" s="3">
        <v>200</v>
      </c>
    </row>
    <row r="95" spans="1:8" s="44" customFormat="1" x14ac:dyDescent="0.2">
      <c r="A95" s="224" t="str">
        <f t="shared" si="2"/>
        <v>I-013-WS-37</v>
      </c>
      <c r="B95" s="224" t="str">
        <f t="shared" si="3"/>
        <v>I-013-20</v>
      </c>
      <c r="C95" s="45" t="s">
        <v>513</v>
      </c>
      <c r="D95" s="45">
        <v>20</v>
      </c>
      <c r="E95" s="45" t="s">
        <v>610</v>
      </c>
      <c r="F95" s="42" t="str">
        <f>_xlfn.XLOOKUP(E95, 'S11 Work Stations'!$A$2:$A$45, 'S11 Work Stations'!$B$2:$B$45, "NOT FOUND", 0)</f>
        <v>SAW-50-422</v>
      </c>
      <c r="G95" s="45">
        <v>120</v>
      </c>
      <c r="H95" s="3">
        <v>200</v>
      </c>
    </row>
    <row r="96" spans="1:8" s="44" customFormat="1" x14ac:dyDescent="0.2">
      <c r="A96" s="224" t="str">
        <f t="shared" si="2"/>
        <v>I-013-WS-43</v>
      </c>
      <c r="B96" s="224" t="str">
        <f t="shared" si="3"/>
        <v>I-013-10</v>
      </c>
      <c r="C96" s="45" t="s">
        <v>513</v>
      </c>
      <c r="D96" s="45">
        <v>10</v>
      </c>
      <c r="E96" s="45" t="s">
        <v>616</v>
      </c>
      <c r="F96" s="42" t="str">
        <f>_xlfn.XLOOKUP(E96, 'S11 Work Stations'!$A$2:$A$45, 'S11 Work Stations'!$B$2:$B$45, "NOT FOUND", 0)</f>
        <v>RAW-MAT-INV</v>
      </c>
      <c r="G96" s="45">
        <v>0</v>
      </c>
      <c r="H96" s="3">
        <v>200</v>
      </c>
    </row>
    <row r="97" spans="1:8" s="44" customFormat="1" x14ac:dyDescent="0.2">
      <c r="A97" s="224" t="str">
        <f t="shared" si="2"/>
        <v>I-013-WS-44</v>
      </c>
      <c r="B97" s="224" t="str">
        <f t="shared" si="3"/>
        <v>I-013-70</v>
      </c>
      <c r="C97" s="45" t="s">
        <v>513</v>
      </c>
      <c r="D97" s="45">
        <v>70</v>
      </c>
      <c r="E97" s="45" t="s">
        <v>617</v>
      </c>
      <c r="F97" s="42" t="str">
        <f>_xlfn.XLOOKUP(E97, 'S11 Work Stations'!$A$2:$A$45, 'S11 Work Stations'!$B$2:$B$45, "NOT FOUND", 0)</f>
        <v>FIN-GOOD-INV</v>
      </c>
      <c r="G97" s="45">
        <v>0</v>
      </c>
      <c r="H97" s="3">
        <v>200</v>
      </c>
    </row>
    <row r="98" spans="1:8" s="44" customFormat="1" x14ac:dyDescent="0.2">
      <c r="A98" s="224" t="str">
        <f t="shared" si="2"/>
        <v>I-014-WS-11</v>
      </c>
      <c r="B98" s="224" t="str">
        <f t="shared" si="3"/>
        <v>I-014-30</v>
      </c>
      <c r="C98" s="45" t="s">
        <v>514</v>
      </c>
      <c r="D98" s="45">
        <v>30</v>
      </c>
      <c r="E98" s="45" t="s">
        <v>584</v>
      </c>
      <c r="F98" s="42" t="str">
        <f>_xlfn.XLOOKUP(E98, 'S11 Work Stations'!$A$2:$A$45, 'S11 Work Stations'!$B$2:$B$45, "NOT FOUND", 0)</f>
        <v>TUR-40-100-404</v>
      </c>
      <c r="G98" s="45">
        <v>600</v>
      </c>
      <c r="H98" s="3">
        <v>200</v>
      </c>
    </row>
    <row r="99" spans="1:8" s="44" customFormat="1" x14ac:dyDescent="0.2">
      <c r="A99" s="224" t="str">
        <f t="shared" si="2"/>
        <v>I-014-WS-21</v>
      </c>
      <c r="B99" s="224" t="str">
        <f t="shared" si="3"/>
        <v>I-014-40</v>
      </c>
      <c r="C99" s="45" t="s">
        <v>514</v>
      </c>
      <c r="D99" s="45">
        <v>40</v>
      </c>
      <c r="E99" s="45" t="s">
        <v>594</v>
      </c>
      <c r="F99" s="42" t="str">
        <f>_xlfn.XLOOKUP(E99, 'S11 Work Stations'!$A$2:$A$45, 'S11 Work Stations'!$B$2:$B$45, "NOT FOUND", 0)</f>
        <v>MIL-U1-605</v>
      </c>
      <c r="G99" s="45">
        <v>540</v>
      </c>
      <c r="H99" s="3">
        <v>200</v>
      </c>
    </row>
    <row r="100" spans="1:8" s="44" customFormat="1" x14ac:dyDescent="0.2">
      <c r="A100" s="224" t="str">
        <f t="shared" si="2"/>
        <v>I-014-WS-30</v>
      </c>
      <c r="B100" s="224" t="str">
        <f t="shared" si="3"/>
        <v>I-014-50</v>
      </c>
      <c r="C100" s="45" t="s">
        <v>514</v>
      </c>
      <c r="D100" s="45">
        <v>50</v>
      </c>
      <c r="E100" s="45" t="s">
        <v>603</v>
      </c>
      <c r="F100" s="42" t="str">
        <f>_xlfn.XLOOKUP(E100, 'S11 Work Stations'!$A$2:$A$45, 'S11 Work Stations'!$B$2:$B$45, "NOT FOUND", 0)</f>
        <v>DR-3A-206</v>
      </c>
      <c r="G100" s="45">
        <v>360</v>
      </c>
      <c r="H100" s="3">
        <v>200</v>
      </c>
    </row>
    <row r="101" spans="1:8" s="44" customFormat="1" x14ac:dyDescent="0.2">
      <c r="A101" s="224" t="str">
        <f t="shared" si="2"/>
        <v>I-014-WS-34</v>
      </c>
      <c r="B101" s="224" t="str">
        <f t="shared" si="3"/>
        <v>I-014-60</v>
      </c>
      <c r="C101" s="45" t="s">
        <v>514</v>
      </c>
      <c r="D101" s="45">
        <v>60</v>
      </c>
      <c r="E101" s="45" t="s">
        <v>607</v>
      </c>
      <c r="F101" s="42" t="str">
        <f>_xlfn.XLOOKUP(E101, 'S11 Work Stations'!$A$2:$A$45, 'S11 Work Stations'!$B$2:$B$45, "NOT FOUND", 0)</f>
        <v>SAW-30-160-252</v>
      </c>
      <c r="G101" s="45">
        <v>540</v>
      </c>
      <c r="H101" s="3">
        <v>200</v>
      </c>
    </row>
    <row r="102" spans="1:8" s="44" customFormat="1" x14ac:dyDescent="0.2">
      <c r="A102" s="224" t="str">
        <f t="shared" si="2"/>
        <v>I-014-WS-37</v>
      </c>
      <c r="B102" s="224" t="str">
        <f t="shared" si="3"/>
        <v>I-014-20</v>
      </c>
      <c r="C102" s="45" t="s">
        <v>514</v>
      </c>
      <c r="D102" s="45">
        <v>20</v>
      </c>
      <c r="E102" s="45" t="s">
        <v>610</v>
      </c>
      <c r="F102" s="42" t="str">
        <f>_xlfn.XLOOKUP(E102, 'S11 Work Stations'!$A$2:$A$45, 'S11 Work Stations'!$B$2:$B$45, "NOT FOUND", 0)</f>
        <v>SAW-50-422</v>
      </c>
      <c r="G102" s="45">
        <v>120</v>
      </c>
      <c r="H102" s="3">
        <v>200</v>
      </c>
    </row>
    <row r="103" spans="1:8" s="44" customFormat="1" x14ac:dyDescent="0.2">
      <c r="A103" s="224" t="str">
        <f t="shared" si="2"/>
        <v>I-014-WS-43</v>
      </c>
      <c r="B103" s="224" t="str">
        <f t="shared" si="3"/>
        <v>I-014-10</v>
      </c>
      <c r="C103" s="45" t="s">
        <v>514</v>
      </c>
      <c r="D103" s="45">
        <v>10</v>
      </c>
      <c r="E103" s="45" t="s">
        <v>616</v>
      </c>
      <c r="F103" s="42" t="str">
        <f>_xlfn.XLOOKUP(E103, 'S11 Work Stations'!$A$2:$A$45, 'S11 Work Stations'!$B$2:$B$45, "NOT FOUND", 0)</f>
        <v>RAW-MAT-INV</v>
      </c>
      <c r="G103" s="45">
        <v>0</v>
      </c>
      <c r="H103" s="3">
        <v>200</v>
      </c>
    </row>
    <row r="104" spans="1:8" s="44" customFormat="1" x14ac:dyDescent="0.2">
      <c r="A104" s="224" t="str">
        <f t="shared" si="2"/>
        <v>I-014-WS-44</v>
      </c>
      <c r="B104" s="224" t="str">
        <f t="shared" si="3"/>
        <v>I-014-70</v>
      </c>
      <c r="C104" s="45" t="s">
        <v>514</v>
      </c>
      <c r="D104" s="45">
        <v>70</v>
      </c>
      <c r="E104" s="45" t="s">
        <v>617</v>
      </c>
      <c r="F104" s="42" t="str">
        <f>_xlfn.XLOOKUP(E104, 'S11 Work Stations'!$A$2:$A$45, 'S11 Work Stations'!$B$2:$B$45, "NOT FOUND", 0)</f>
        <v>FIN-GOOD-INV</v>
      </c>
      <c r="G104" s="45">
        <v>0</v>
      </c>
      <c r="H104" s="3">
        <v>200</v>
      </c>
    </row>
    <row r="105" spans="1:8" s="44" customFormat="1" x14ac:dyDescent="0.2">
      <c r="A105" s="224" t="str">
        <f t="shared" si="2"/>
        <v>I-015-WS-11</v>
      </c>
      <c r="B105" s="224" t="str">
        <f t="shared" si="3"/>
        <v>I-015-30</v>
      </c>
      <c r="C105" s="45" t="s">
        <v>515</v>
      </c>
      <c r="D105" s="45">
        <v>30</v>
      </c>
      <c r="E105" s="45" t="s">
        <v>584</v>
      </c>
      <c r="F105" s="42" t="str">
        <f>_xlfn.XLOOKUP(E105, 'S11 Work Stations'!$A$2:$A$45, 'S11 Work Stations'!$B$2:$B$45, "NOT FOUND", 0)</f>
        <v>TUR-40-100-404</v>
      </c>
      <c r="G105" s="45">
        <v>600</v>
      </c>
      <c r="H105" s="3">
        <v>200</v>
      </c>
    </row>
    <row r="106" spans="1:8" s="44" customFormat="1" x14ac:dyDescent="0.2">
      <c r="A106" s="224" t="str">
        <f t="shared" si="2"/>
        <v>I-015-WS-21</v>
      </c>
      <c r="B106" s="224" t="str">
        <f t="shared" si="3"/>
        <v>I-015-40</v>
      </c>
      <c r="C106" s="45" t="s">
        <v>515</v>
      </c>
      <c r="D106" s="45">
        <v>40</v>
      </c>
      <c r="E106" s="45" t="s">
        <v>594</v>
      </c>
      <c r="F106" s="42" t="str">
        <f>_xlfn.XLOOKUP(E106, 'S11 Work Stations'!$A$2:$A$45, 'S11 Work Stations'!$B$2:$B$45, "NOT FOUND", 0)</f>
        <v>MIL-U1-605</v>
      </c>
      <c r="G106" s="45">
        <v>540</v>
      </c>
      <c r="H106" s="3">
        <v>200</v>
      </c>
    </row>
    <row r="107" spans="1:8" s="44" customFormat="1" x14ac:dyDescent="0.2">
      <c r="A107" s="224" t="str">
        <f t="shared" si="2"/>
        <v>I-015-WS-30</v>
      </c>
      <c r="B107" s="224" t="str">
        <f t="shared" si="3"/>
        <v>I-015-50</v>
      </c>
      <c r="C107" s="45" t="s">
        <v>515</v>
      </c>
      <c r="D107" s="45">
        <v>50</v>
      </c>
      <c r="E107" s="45" t="s">
        <v>603</v>
      </c>
      <c r="F107" s="42" t="str">
        <f>_xlfn.XLOOKUP(E107, 'S11 Work Stations'!$A$2:$A$45, 'S11 Work Stations'!$B$2:$B$45, "NOT FOUND", 0)</f>
        <v>DR-3A-206</v>
      </c>
      <c r="G107" s="45">
        <v>420</v>
      </c>
      <c r="H107" s="3">
        <v>200</v>
      </c>
    </row>
    <row r="108" spans="1:8" s="44" customFormat="1" x14ac:dyDescent="0.2">
      <c r="A108" s="224" t="str">
        <f t="shared" si="2"/>
        <v>I-015-WS-34</v>
      </c>
      <c r="B108" s="224" t="str">
        <f t="shared" si="3"/>
        <v>I-015-60</v>
      </c>
      <c r="C108" s="45" t="s">
        <v>515</v>
      </c>
      <c r="D108" s="45">
        <v>60</v>
      </c>
      <c r="E108" s="45" t="s">
        <v>607</v>
      </c>
      <c r="F108" s="42" t="str">
        <f>_xlfn.XLOOKUP(E108, 'S11 Work Stations'!$A$2:$A$45, 'S11 Work Stations'!$B$2:$B$45, "NOT FOUND", 0)</f>
        <v>SAW-30-160-252</v>
      </c>
      <c r="G108" s="45">
        <v>480</v>
      </c>
      <c r="H108" s="3">
        <v>200</v>
      </c>
    </row>
    <row r="109" spans="1:8" s="44" customFormat="1" x14ac:dyDescent="0.2">
      <c r="A109" s="224" t="str">
        <f t="shared" si="2"/>
        <v>I-015-WS-37</v>
      </c>
      <c r="B109" s="224" t="str">
        <f t="shared" si="3"/>
        <v>I-015-20</v>
      </c>
      <c r="C109" s="45" t="s">
        <v>515</v>
      </c>
      <c r="D109" s="45">
        <v>20</v>
      </c>
      <c r="E109" s="45" t="s">
        <v>610</v>
      </c>
      <c r="F109" s="42" t="str">
        <f>_xlfn.XLOOKUP(E109, 'S11 Work Stations'!$A$2:$A$45, 'S11 Work Stations'!$B$2:$B$45, "NOT FOUND", 0)</f>
        <v>SAW-50-422</v>
      </c>
      <c r="G109" s="45">
        <v>120</v>
      </c>
      <c r="H109" s="3">
        <v>200</v>
      </c>
    </row>
    <row r="110" spans="1:8" s="44" customFormat="1" x14ac:dyDescent="0.2">
      <c r="A110" s="224" t="str">
        <f t="shared" si="2"/>
        <v>I-015-WS-43</v>
      </c>
      <c r="B110" s="224" t="str">
        <f t="shared" si="3"/>
        <v>I-015-10</v>
      </c>
      <c r="C110" s="45" t="s">
        <v>515</v>
      </c>
      <c r="D110" s="45">
        <v>10</v>
      </c>
      <c r="E110" s="45" t="s">
        <v>616</v>
      </c>
      <c r="F110" s="42" t="str">
        <f>_xlfn.XLOOKUP(E110, 'S11 Work Stations'!$A$2:$A$45, 'S11 Work Stations'!$B$2:$B$45, "NOT FOUND", 0)</f>
        <v>RAW-MAT-INV</v>
      </c>
      <c r="G110" s="45">
        <v>0</v>
      </c>
      <c r="H110" s="3">
        <v>200</v>
      </c>
    </row>
    <row r="111" spans="1:8" s="44" customFormat="1" x14ac:dyDescent="0.2">
      <c r="A111" s="224" t="str">
        <f t="shared" si="2"/>
        <v>I-015-WS-44</v>
      </c>
      <c r="B111" s="224" t="str">
        <f t="shared" si="3"/>
        <v>I-015-70</v>
      </c>
      <c r="C111" s="45" t="s">
        <v>515</v>
      </c>
      <c r="D111" s="45">
        <v>70</v>
      </c>
      <c r="E111" s="45" t="s">
        <v>617</v>
      </c>
      <c r="F111" s="42" t="str">
        <f>_xlfn.XLOOKUP(E111, 'S11 Work Stations'!$A$2:$A$45, 'S11 Work Stations'!$B$2:$B$45, "NOT FOUND", 0)</f>
        <v>FIN-GOOD-INV</v>
      </c>
      <c r="G111" s="45">
        <v>0</v>
      </c>
      <c r="H111" s="3">
        <v>200</v>
      </c>
    </row>
    <row r="112" spans="1:8" s="44" customFormat="1" x14ac:dyDescent="0.2">
      <c r="A112" s="224" t="str">
        <f t="shared" si="2"/>
        <v>I-016-WS-11</v>
      </c>
      <c r="B112" s="224" t="str">
        <f t="shared" si="3"/>
        <v>I-016-30</v>
      </c>
      <c r="C112" s="45" t="s">
        <v>516</v>
      </c>
      <c r="D112" s="45">
        <v>30</v>
      </c>
      <c r="E112" s="45" t="s">
        <v>584</v>
      </c>
      <c r="F112" s="42" t="str">
        <f>_xlfn.XLOOKUP(E112, 'S11 Work Stations'!$A$2:$A$45, 'S11 Work Stations'!$B$2:$B$45, "NOT FOUND", 0)</f>
        <v>TUR-40-100-404</v>
      </c>
      <c r="G112" s="45">
        <v>600</v>
      </c>
      <c r="H112" s="3">
        <v>200</v>
      </c>
    </row>
    <row r="113" spans="1:8" s="44" customFormat="1" x14ac:dyDescent="0.2">
      <c r="A113" s="224" t="str">
        <f t="shared" si="2"/>
        <v>I-016-WS-22</v>
      </c>
      <c r="B113" s="224" t="str">
        <f t="shared" si="3"/>
        <v>I-016-40</v>
      </c>
      <c r="C113" s="45" t="s">
        <v>516</v>
      </c>
      <c r="D113" s="45">
        <v>40</v>
      </c>
      <c r="E113" s="45" t="s">
        <v>595</v>
      </c>
      <c r="F113" s="42" t="str">
        <f>_xlfn.XLOOKUP(E113, 'S11 Work Stations'!$A$2:$A$45, 'S11 Work Stations'!$B$2:$B$45, "NOT FOUND", 0)</f>
        <v>MIL-H2-606</v>
      </c>
      <c r="G113" s="45">
        <v>1020</v>
      </c>
      <c r="H113" s="3">
        <v>200</v>
      </c>
    </row>
    <row r="114" spans="1:8" s="44" customFormat="1" x14ac:dyDescent="0.2">
      <c r="A114" s="224" t="str">
        <f t="shared" si="2"/>
        <v>I-016-WS-30</v>
      </c>
      <c r="B114" s="224" t="str">
        <f t="shared" si="3"/>
        <v>I-016-50</v>
      </c>
      <c r="C114" s="45" t="s">
        <v>516</v>
      </c>
      <c r="D114" s="45">
        <v>50</v>
      </c>
      <c r="E114" s="45" t="s">
        <v>603</v>
      </c>
      <c r="F114" s="42" t="str">
        <f>_xlfn.XLOOKUP(E114, 'S11 Work Stations'!$A$2:$A$45, 'S11 Work Stations'!$B$2:$B$45, "NOT FOUND", 0)</f>
        <v>DR-3A-206</v>
      </c>
      <c r="G114" s="45">
        <v>420</v>
      </c>
      <c r="H114" s="3">
        <v>200</v>
      </c>
    </row>
    <row r="115" spans="1:8" s="44" customFormat="1" x14ac:dyDescent="0.2">
      <c r="A115" s="224" t="str">
        <f t="shared" si="2"/>
        <v>I-016-WS-34</v>
      </c>
      <c r="B115" s="224" t="str">
        <f t="shared" si="3"/>
        <v>I-016-60</v>
      </c>
      <c r="C115" s="45" t="s">
        <v>516</v>
      </c>
      <c r="D115" s="45">
        <v>60</v>
      </c>
      <c r="E115" s="45" t="s">
        <v>607</v>
      </c>
      <c r="F115" s="42" t="str">
        <f>_xlfn.XLOOKUP(E115, 'S11 Work Stations'!$A$2:$A$45, 'S11 Work Stations'!$B$2:$B$45, "NOT FOUND", 0)</f>
        <v>SAW-30-160-252</v>
      </c>
      <c r="G115" s="45">
        <v>420</v>
      </c>
      <c r="H115" s="3">
        <v>200</v>
      </c>
    </row>
    <row r="116" spans="1:8" s="44" customFormat="1" x14ac:dyDescent="0.2">
      <c r="A116" s="224" t="str">
        <f t="shared" si="2"/>
        <v>I-016-WS-37</v>
      </c>
      <c r="B116" s="224" t="str">
        <f t="shared" si="3"/>
        <v>I-016-20</v>
      </c>
      <c r="C116" s="45" t="s">
        <v>516</v>
      </c>
      <c r="D116" s="45">
        <v>20</v>
      </c>
      <c r="E116" s="45" t="s">
        <v>610</v>
      </c>
      <c r="F116" s="42" t="str">
        <f>_xlfn.XLOOKUP(E116, 'S11 Work Stations'!$A$2:$A$45, 'S11 Work Stations'!$B$2:$B$45, "NOT FOUND", 0)</f>
        <v>SAW-50-422</v>
      </c>
      <c r="G116" s="45">
        <v>120</v>
      </c>
      <c r="H116" s="3">
        <v>200</v>
      </c>
    </row>
    <row r="117" spans="1:8" s="44" customFormat="1" x14ac:dyDescent="0.2">
      <c r="A117" s="224" t="str">
        <f t="shared" si="2"/>
        <v>I-016-WS-43</v>
      </c>
      <c r="B117" s="224" t="str">
        <f t="shared" si="3"/>
        <v>I-016-10</v>
      </c>
      <c r="C117" s="45" t="s">
        <v>516</v>
      </c>
      <c r="D117" s="45">
        <v>10</v>
      </c>
      <c r="E117" s="45" t="s">
        <v>616</v>
      </c>
      <c r="F117" s="42" t="str">
        <f>_xlfn.XLOOKUP(E117, 'S11 Work Stations'!$A$2:$A$45, 'S11 Work Stations'!$B$2:$B$45, "NOT FOUND", 0)</f>
        <v>RAW-MAT-INV</v>
      </c>
      <c r="G117" s="45">
        <v>0</v>
      </c>
      <c r="H117" s="3">
        <v>200</v>
      </c>
    </row>
    <row r="118" spans="1:8" s="44" customFormat="1" x14ac:dyDescent="0.2">
      <c r="A118" s="224" t="str">
        <f t="shared" si="2"/>
        <v>I-016-WS-44</v>
      </c>
      <c r="B118" s="224" t="str">
        <f t="shared" si="3"/>
        <v>I-016-70</v>
      </c>
      <c r="C118" s="45" t="s">
        <v>516</v>
      </c>
      <c r="D118" s="45">
        <v>70</v>
      </c>
      <c r="E118" s="45" t="s">
        <v>617</v>
      </c>
      <c r="F118" s="42" t="str">
        <f>_xlfn.XLOOKUP(E118, 'S11 Work Stations'!$A$2:$A$45, 'S11 Work Stations'!$B$2:$B$45, "NOT FOUND", 0)</f>
        <v>FIN-GOOD-INV</v>
      </c>
      <c r="G118" s="45">
        <v>0</v>
      </c>
      <c r="H118" s="3">
        <v>200</v>
      </c>
    </row>
    <row r="119" spans="1:8" s="44" customFormat="1" x14ac:dyDescent="0.2">
      <c r="A119" s="224" t="str">
        <f t="shared" si="2"/>
        <v>I-017-WS-13</v>
      </c>
      <c r="B119" s="224" t="str">
        <f t="shared" si="3"/>
        <v>I-017-30</v>
      </c>
      <c r="C119" s="45" t="s">
        <v>517</v>
      </c>
      <c r="D119" s="45">
        <v>30</v>
      </c>
      <c r="E119" s="45" t="s">
        <v>586</v>
      </c>
      <c r="F119" s="42" t="str">
        <f>_xlfn.XLOOKUP(E119, 'S11 Work Stations'!$A$2:$A$45, 'S11 Work Stations'!$B$2:$B$45, "NOT FOUND", 0)</f>
        <v>TUR-6-Sp1-406</v>
      </c>
      <c r="G119" s="45">
        <v>540</v>
      </c>
      <c r="H119" s="3">
        <v>200</v>
      </c>
    </row>
    <row r="120" spans="1:8" s="44" customFormat="1" x14ac:dyDescent="0.2">
      <c r="A120" s="224" t="str">
        <f t="shared" si="2"/>
        <v>I-017-WS-22</v>
      </c>
      <c r="B120" s="224" t="str">
        <f t="shared" si="3"/>
        <v>I-017-40</v>
      </c>
      <c r="C120" s="45" t="s">
        <v>517</v>
      </c>
      <c r="D120" s="45">
        <v>40</v>
      </c>
      <c r="E120" s="45" t="s">
        <v>595</v>
      </c>
      <c r="F120" s="42" t="str">
        <f>_xlfn.XLOOKUP(E120, 'S11 Work Stations'!$A$2:$A$45, 'S11 Work Stations'!$B$2:$B$45, "NOT FOUND", 0)</f>
        <v>MIL-H2-606</v>
      </c>
      <c r="G120" s="45">
        <v>480</v>
      </c>
      <c r="H120" s="3">
        <v>200</v>
      </c>
    </row>
    <row r="121" spans="1:8" s="44" customFormat="1" x14ac:dyDescent="0.2">
      <c r="A121" s="224" t="str">
        <f t="shared" si="2"/>
        <v>I-017-WS-30</v>
      </c>
      <c r="B121" s="224" t="str">
        <f t="shared" si="3"/>
        <v>I-017-50</v>
      </c>
      <c r="C121" s="45" t="s">
        <v>517</v>
      </c>
      <c r="D121" s="45">
        <v>50</v>
      </c>
      <c r="E121" s="45" t="s">
        <v>603</v>
      </c>
      <c r="F121" s="42" t="str">
        <f>_xlfn.XLOOKUP(E121, 'S11 Work Stations'!$A$2:$A$45, 'S11 Work Stations'!$B$2:$B$45, "NOT FOUND", 0)</f>
        <v>DR-3A-206</v>
      </c>
      <c r="G121" s="45">
        <v>360</v>
      </c>
      <c r="H121" s="3">
        <v>200</v>
      </c>
    </row>
    <row r="122" spans="1:8" s="44" customFormat="1" x14ac:dyDescent="0.2">
      <c r="A122" s="224" t="str">
        <f t="shared" si="2"/>
        <v>I-017-WS-34</v>
      </c>
      <c r="B122" s="224" t="str">
        <f t="shared" si="3"/>
        <v>I-017-60</v>
      </c>
      <c r="C122" s="45" t="s">
        <v>517</v>
      </c>
      <c r="D122" s="45">
        <v>60</v>
      </c>
      <c r="E122" s="45" t="s">
        <v>607</v>
      </c>
      <c r="F122" s="42" t="str">
        <f>_xlfn.XLOOKUP(E122, 'S11 Work Stations'!$A$2:$A$45, 'S11 Work Stations'!$B$2:$B$45, "NOT FOUND", 0)</f>
        <v>SAW-30-160-252</v>
      </c>
      <c r="G122" s="45">
        <v>480</v>
      </c>
      <c r="H122" s="3">
        <v>200</v>
      </c>
    </row>
    <row r="123" spans="1:8" s="44" customFormat="1" x14ac:dyDescent="0.2">
      <c r="A123" s="224" t="str">
        <f t="shared" si="2"/>
        <v>I-017-WS-37</v>
      </c>
      <c r="B123" s="224" t="str">
        <f t="shared" si="3"/>
        <v>I-017-20</v>
      </c>
      <c r="C123" s="45" t="s">
        <v>517</v>
      </c>
      <c r="D123" s="45">
        <v>20</v>
      </c>
      <c r="E123" s="45" t="s">
        <v>610</v>
      </c>
      <c r="F123" s="42" t="str">
        <f>_xlfn.XLOOKUP(E123, 'S11 Work Stations'!$A$2:$A$45, 'S11 Work Stations'!$B$2:$B$45, "NOT FOUND", 0)</f>
        <v>SAW-50-422</v>
      </c>
      <c r="G123" s="45">
        <v>120</v>
      </c>
      <c r="H123" s="3">
        <v>200</v>
      </c>
    </row>
    <row r="124" spans="1:8" s="44" customFormat="1" x14ac:dyDescent="0.2">
      <c r="A124" s="224" t="str">
        <f t="shared" si="2"/>
        <v>I-017-WS-43</v>
      </c>
      <c r="B124" s="224" t="str">
        <f t="shared" si="3"/>
        <v>I-017-10</v>
      </c>
      <c r="C124" s="45" t="s">
        <v>517</v>
      </c>
      <c r="D124" s="45">
        <v>10</v>
      </c>
      <c r="E124" s="45" t="s">
        <v>616</v>
      </c>
      <c r="F124" s="42" t="str">
        <f>_xlfn.XLOOKUP(E124, 'S11 Work Stations'!$A$2:$A$45, 'S11 Work Stations'!$B$2:$B$45, "NOT FOUND", 0)</f>
        <v>RAW-MAT-INV</v>
      </c>
      <c r="G124" s="45">
        <v>0</v>
      </c>
      <c r="H124" s="3">
        <v>200</v>
      </c>
    </row>
    <row r="125" spans="1:8" s="44" customFormat="1" x14ac:dyDescent="0.2">
      <c r="A125" s="224" t="str">
        <f t="shared" si="2"/>
        <v>I-017-WS-44</v>
      </c>
      <c r="B125" s="224" t="str">
        <f t="shared" si="3"/>
        <v>I-017-70</v>
      </c>
      <c r="C125" s="45" t="s">
        <v>517</v>
      </c>
      <c r="D125" s="45">
        <v>70</v>
      </c>
      <c r="E125" s="45" t="s">
        <v>617</v>
      </c>
      <c r="F125" s="42" t="str">
        <f>_xlfn.XLOOKUP(E125, 'S11 Work Stations'!$A$2:$A$45, 'S11 Work Stations'!$B$2:$B$45, "NOT FOUND", 0)</f>
        <v>FIN-GOOD-INV</v>
      </c>
      <c r="G125" s="45">
        <v>0</v>
      </c>
      <c r="H125" s="3">
        <v>200</v>
      </c>
    </row>
    <row r="126" spans="1:8" s="44" customFormat="1" x14ac:dyDescent="0.2">
      <c r="A126" s="224" t="str">
        <f t="shared" si="2"/>
        <v>I-018-WS-04</v>
      </c>
      <c r="B126" s="224" t="str">
        <f t="shared" si="3"/>
        <v>I-018-30</v>
      </c>
      <c r="C126" s="45" t="s">
        <v>518</v>
      </c>
      <c r="D126" s="45">
        <v>30</v>
      </c>
      <c r="E126" s="45" t="s">
        <v>577</v>
      </c>
      <c r="F126" s="42" t="str">
        <f>_xlfn.XLOOKUP(E126, 'S11 Work Stations'!$A$2:$A$45, 'S11 Work Stations'!$B$2:$B$45, "NOT FOUND", 0)</f>
        <v>TUR-A4-364</v>
      </c>
      <c r="G126" s="45">
        <v>780</v>
      </c>
      <c r="H126" s="3">
        <v>200</v>
      </c>
    </row>
    <row r="127" spans="1:8" s="44" customFormat="1" x14ac:dyDescent="0.2">
      <c r="A127" s="224" t="str">
        <f t="shared" si="2"/>
        <v>I-018-WS-22</v>
      </c>
      <c r="B127" s="224" t="str">
        <f t="shared" si="3"/>
        <v>I-018-40</v>
      </c>
      <c r="C127" s="45" t="s">
        <v>518</v>
      </c>
      <c r="D127" s="45">
        <v>40</v>
      </c>
      <c r="E127" s="45" t="s">
        <v>595</v>
      </c>
      <c r="F127" s="42" t="str">
        <f>_xlfn.XLOOKUP(E127, 'S11 Work Stations'!$A$2:$A$45, 'S11 Work Stations'!$B$2:$B$45, "NOT FOUND", 0)</f>
        <v>MIL-H2-606</v>
      </c>
      <c r="G127" s="45">
        <v>480</v>
      </c>
      <c r="H127" s="3">
        <v>200</v>
      </c>
    </row>
    <row r="128" spans="1:8" s="44" customFormat="1" x14ac:dyDescent="0.2">
      <c r="A128" s="224" t="str">
        <f t="shared" si="2"/>
        <v>I-018-WS-29</v>
      </c>
      <c r="B128" s="224" t="str">
        <f t="shared" si="3"/>
        <v>I-018-50</v>
      </c>
      <c r="C128" s="45" t="s">
        <v>518</v>
      </c>
      <c r="D128" s="45">
        <v>50</v>
      </c>
      <c r="E128" s="45" t="s">
        <v>602</v>
      </c>
      <c r="F128" s="42" t="str">
        <f>_xlfn.XLOOKUP(E128, 'S11 Work Stations'!$A$2:$A$45, 'S11 Work Stations'!$B$2:$B$45, "NOT FOUND", 0)</f>
        <v>GR-T11-250</v>
      </c>
      <c r="G128" s="45">
        <v>420</v>
      </c>
      <c r="H128" s="3">
        <v>200</v>
      </c>
    </row>
    <row r="129" spans="1:8" s="44" customFormat="1" x14ac:dyDescent="0.2">
      <c r="A129" s="224" t="str">
        <f t="shared" si="2"/>
        <v>I-018-WS-34</v>
      </c>
      <c r="B129" s="224" t="str">
        <f t="shared" si="3"/>
        <v>I-018-60</v>
      </c>
      <c r="C129" s="45" t="s">
        <v>518</v>
      </c>
      <c r="D129" s="45">
        <v>60</v>
      </c>
      <c r="E129" s="45" t="s">
        <v>607</v>
      </c>
      <c r="F129" s="42" t="str">
        <f>_xlfn.XLOOKUP(E129, 'S11 Work Stations'!$A$2:$A$45, 'S11 Work Stations'!$B$2:$B$45, "NOT FOUND", 0)</f>
        <v>SAW-30-160-252</v>
      </c>
      <c r="G129" s="45">
        <v>600</v>
      </c>
      <c r="H129" s="3">
        <v>200</v>
      </c>
    </row>
    <row r="130" spans="1:8" s="44" customFormat="1" x14ac:dyDescent="0.2">
      <c r="A130" s="224" t="str">
        <f t="shared" si="2"/>
        <v>I-018-WS-37</v>
      </c>
      <c r="B130" s="224" t="str">
        <f t="shared" si="3"/>
        <v>I-018-20</v>
      </c>
      <c r="C130" s="45" t="s">
        <v>518</v>
      </c>
      <c r="D130" s="45">
        <v>20</v>
      </c>
      <c r="E130" s="45" t="s">
        <v>610</v>
      </c>
      <c r="F130" s="42" t="str">
        <f>_xlfn.XLOOKUP(E130, 'S11 Work Stations'!$A$2:$A$45, 'S11 Work Stations'!$B$2:$B$45, "NOT FOUND", 0)</f>
        <v>SAW-50-422</v>
      </c>
      <c r="G130" s="45">
        <v>120</v>
      </c>
      <c r="H130" s="3">
        <v>200</v>
      </c>
    </row>
    <row r="131" spans="1:8" s="44" customFormat="1" x14ac:dyDescent="0.2">
      <c r="A131" s="224" t="str">
        <f t="shared" ref="A131:A194" si="4">C131&amp;"-"&amp;E131</f>
        <v>I-018-WS-43</v>
      </c>
      <c r="B131" s="224" t="str">
        <f t="shared" ref="B131:B194" si="5">C131&amp;"-"&amp;D131</f>
        <v>I-018-10</v>
      </c>
      <c r="C131" s="45" t="s">
        <v>518</v>
      </c>
      <c r="D131" s="45">
        <v>10</v>
      </c>
      <c r="E131" s="45" t="s">
        <v>616</v>
      </c>
      <c r="F131" s="42" t="str">
        <f>_xlfn.XLOOKUP(E131, 'S11 Work Stations'!$A$2:$A$45, 'S11 Work Stations'!$B$2:$B$45, "NOT FOUND", 0)</f>
        <v>RAW-MAT-INV</v>
      </c>
      <c r="G131" s="45">
        <v>0</v>
      </c>
      <c r="H131" s="3">
        <v>200</v>
      </c>
    </row>
    <row r="132" spans="1:8" s="44" customFormat="1" x14ac:dyDescent="0.2">
      <c r="A132" s="224" t="str">
        <f t="shared" si="4"/>
        <v>I-018-WS-44</v>
      </c>
      <c r="B132" s="224" t="str">
        <f t="shared" si="5"/>
        <v>I-018-70</v>
      </c>
      <c r="C132" s="45" t="s">
        <v>518</v>
      </c>
      <c r="D132" s="45">
        <v>70</v>
      </c>
      <c r="E132" s="45" t="s">
        <v>617</v>
      </c>
      <c r="F132" s="42" t="str">
        <f>_xlfn.XLOOKUP(E132, 'S11 Work Stations'!$A$2:$A$45, 'S11 Work Stations'!$B$2:$B$45, "NOT FOUND", 0)</f>
        <v>FIN-GOOD-INV</v>
      </c>
      <c r="G132" s="45">
        <v>0</v>
      </c>
      <c r="H132" s="3">
        <v>200</v>
      </c>
    </row>
    <row r="133" spans="1:8" s="44" customFormat="1" x14ac:dyDescent="0.2">
      <c r="A133" s="224" t="str">
        <f t="shared" si="4"/>
        <v>I-019-WS-04</v>
      </c>
      <c r="B133" s="224" t="str">
        <f t="shared" si="5"/>
        <v>I-019-30</v>
      </c>
      <c r="C133" s="45" t="s">
        <v>519</v>
      </c>
      <c r="D133" s="45">
        <v>30</v>
      </c>
      <c r="E133" s="45" t="s">
        <v>577</v>
      </c>
      <c r="F133" s="42" t="str">
        <f>_xlfn.XLOOKUP(E133, 'S11 Work Stations'!$A$2:$A$45, 'S11 Work Stations'!$B$2:$B$45, "NOT FOUND", 0)</f>
        <v>TUR-A4-364</v>
      </c>
      <c r="G133" s="45">
        <v>780</v>
      </c>
      <c r="H133" s="3">
        <v>200</v>
      </c>
    </row>
    <row r="134" spans="1:8" s="44" customFormat="1" x14ac:dyDescent="0.2">
      <c r="A134" s="224" t="str">
        <f t="shared" si="4"/>
        <v>I-019-WS-23</v>
      </c>
      <c r="B134" s="224" t="str">
        <f t="shared" si="5"/>
        <v>I-019-40</v>
      </c>
      <c r="C134" s="45" t="s">
        <v>519</v>
      </c>
      <c r="D134" s="45">
        <v>40</v>
      </c>
      <c r="E134" s="45" t="s">
        <v>596</v>
      </c>
      <c r="F134" s="42" t="str">
        <f>_xlfn.XLOOKUP(E134, 'S11 Work Stations'!$A$2:$A$45, 'S11 Work Stations'!$B$2:$B$45, "NOT FOUND", 0)</f>
        <v>MIL-U2-607</v>
      </c>
      <c r="G134" s="45">
        <v>840</v>
      </c>
      <c r="H134" s="3">
        <v>200</v>
      </c>
    </row>
    <row r="135" spans="1:8" s="44" customFormat="1" x14ac:dyDescent="0.2">
      <c r="A135" s="224" t="str">
        <f t="shared" si="4"/>
        <v>I-019-WS-30</v>
      </c>
      <c r="B135" s="224" t="str">
        <f t="shared" si="5"/>
        <v>I-019-50</v>
      </c>
      <c r="C135" s="45" t="s">
        <v>519</v>
      </c>
      <c r="D135" s="45">
        <v>50</v>
      </c>
      <c r="E135" s="45" t="s">
        <v>603</v>
      </c>
      <c r="F135" s="42" t="str">
        <f>_xlfn.XLOOKUP(E135, 'S11 Work Stations'!$A$2:$A$45, 'S11 Work Stations'!$B$2:$B$45, "NOT FOUND", 0)</f>
        <v>DR-3A-206</v>
      </c>
      <c r="G135" s="45">
        <v>360</v>
      </c>
      <c r="H135" s="3">
        <v>200</v>
      </c>
    </row>
    <row r="136" spans="1:8" s="44" customFormat="1" x14ac:dyDescent="0.2">
      <c r="A136" s="224" t="str">
        <f t="shared" si="4"/>
        <v>I-019-WS-35</v>
      </c>
      <c r="B136" s="224" t="str">
        <f t="shared" si="5"/>
        <v>I-019-60</v>
      </c>
      <c r="C136" s="45" t="s">
        <v>519</v>
      </c>
      <c r="D136" s="45">
        <v>60</v>
      </c>
      <c r="E136" s="45" t="s">
        <v>608</v>
      </c>
      <c r="F136" s="42" t="str">
        <f>_xlfn.XLOOKUP(E136, 'S11 Work Stations'!$A$2:$A$45, 'S11 Work Stations'!$B$2:$B$45, "NOT FOUND", 0)</f>
        <v>SAW-35-100-254</v>
      </c>
      <c r="G136" s="45">
        <v>720</v>
      </c>
      <c r="H136" s="3">
        <v>200</v>
      </c>
    </row>
    <row r="137" spans="1:8" s="44" customFormat="1" x14ac:dyDescent="0.2">
      <c r="A137" s="224" t="str">
        <f t="shared" si="4"/>
        <v>I-019-WS-37</v>
      </c>
      <c r="B137" s="224" t="str">
        <f t="shared" si="5"/>
        <v>I-019-20</v>
      </c>
      <c r="C137" s="45" t="s">
        <v>519</v>
      </c>
      <c r="D137" s="45">
        <v>20</v>
      </c>
      <c r="E137" s="45" t="s">
        <v>610</v>
      </c>
      <c r="F137" s="42" t="str">
        <f>_xlfn.XLOOKUP(E137, 'S11 Work Stations'!$A$2:$A$45, 'S11 Work Stations'!$B$2:$B$45, "NOT FOUND", 0)</f>
        <v>SAW-50-422</v>
      </c>
      <c r="G137" s="45">
        <v>180</v>
      </c>
      <c r="H137" s="3">
        <v>200</v>
      </c>
    </row>
    <row r="138" spans="1:8" s="44" customFormat="1" x14ac:dyDescent="0.2">
      <c r="A138" s="224" t="str">
        <f t="shared" si="4"/>
        <v>I-019-WS-43</v>
      </c>
      <c r="B138" s="224" t="str">
        <f t="shared" si="5"/>
        <v>I-019-10</v>
      </c>
      <c r="C138" s="45" t="s">
        <v>519</v>
      </c>
      <c r="D138" s="45">
        <v>10</v>
      </c>
      <c r="E138" s="45" t="s">
        <v>616</v>
      </c>
      <c r="F138" s="42" t="str">
        <f>_xlfn.XLOOKUP(E138, 'S11 Work Stations'!$A$2:$A$45, 'S11 Work Stations'!$B$2:$B$45, "NOT FOUND", 0)</f>
        <v>RAW-MAT-INV</v>
      </c>
      <c r="G138" s="45">
        <v>0</v>
      </c>
      <c r="H138" s="3">
        <v>200</v>
      </c>
    </row>
    <row r="139" spans="1:8" s="44" customFormat="1" x14ac:dyDescent="0.2">
      <c r="A139" s="224" t="str">
        <f t="shared" si="4"/>
        <v>I-019-WS-44</v>
      </c>
      <c r="B139" s="224" t="str">
        <f t="shared" si="5"/>
        <v>I-019-70</v>
      </c>
      <c r="C139" s="45" t="s">
        <v>519</v>
      </c>
      <c r="D139" s="45">
        <v>70</v>
      </c>
      <c r="E139" s="45" t="s">
        <v>617</v>
      </c>
      <c r="F139" s="42" t="str">
        <f>_xlfn.XLOOKUP(E139, 'S11 Work Stations'!$A$2:$A$45, 'S11 Work Stations'!$B$2:$B$45, "NOT FOUND", 0)</f>
        <v>FIN-GOOD-INV</v>
      </c>
      <c r="G139" s="45">
        <v>0</v>
      </c>
      <c r="H139" s="3">
        <v>200</v>
      </c>
    </row>
    <row r="140" spans="1:8" s="44" customFormat="1" x14ac:dyDescent="0.2">
      <c r="A140" s="224" t="str">
        <f t="shared" si="4"/>
        <v>I-020-WS-05</v>
      </c>
      <c r="B140" s="224" t="str">
        <f t="shared" si="5"/>
        <v>I-020-30</v>
      </c>
      <c r="C140" s="45" t="s">
        <v>520</v>
      </c>
      <c r="D140" s="45">
        <v>30</v>
      </c>
      <c r="E140" s="45" t="s">
        <v>578</v>
      </c>
      <c r="F140" s="42" t="str">
        <f>_xlfn.XLOOKUP(E140, 'S11 Work Stations'!$A$2:$A$45, 'S11 Work Stations'!$B$2:$B$45, "NOT FOUND", 0)</f>
        <v>MIL-A2-365</v>
      </c>
      <c r="G140" s="45">
        <v>960</v>
      </c>
      <c r="H140" s="3">
        <v>200</v>
      </c>
    </row>
    <row r="141" spans="1:8" s="44" customFormat="1" x14ac:dyDescent="0.2">
      <c r="A141" s="224" t="str">
        <f t="shared" si="4"/>
        <v>I-020-WS-22</v>
      </c>
      <c r="B141" s="224" t="str">
        <f t="shared" si="5"/>
        <v>I-020-40</v>
      </c>
      <c r="C141" s="45" t="s">
        <v>520</v>
      </c>
      <c r="D141" s="45">
        <v>40</v>
      </c>
      <c r="E141" s="45" t="s">
        <v>595</v>
      </c>
      <c r="F141" s="42" t="str">
        <f>_xlfn.XLOOKUP(E141, 'S11 Work Stations'!$A$2:$A$45, 'S11 Work Stations'!$B$2:$B$45, "NOT FOUND", 0)</f>
        <v>MIL-H2-606</v>
      </c>
      <c r="G141" s="45">
        <v>720</v>
      </c>
      <c r="H141" s="3">
        <v>200</v>
      </c>
    </row>
    <row r="142" spans="1:8" s="44" customFormat="1" x14ac:dyDescent="0.2">
      <c r="A142" s="224" t="str">
        <f t="shared" si="4"/>
        <v>I-020-WS-30</v>
      </c>
      <c r="B142" s="224" t="str">
        <f t="shared" si="5"/>
        <v>I-020-50</v>
      </c>
      <c r="C142" s="45" t="s">
        <v>520</v>
      </c>
      <c r="D142" s="45">
        <v>50</v>
      </c>
      <c r="E142" s="45" t="s">
        <v>603</v>
      </c>
      <c r="F142" s="42" t="str">
        <f>_xlfn.XLOOKUP(E142, 'S11 Work Stations'!$A$2:$A$45, 'S11 Work Stations'!$B$2:$B$45, "NOT FOUND", 0)</f>
        <v>DR-3A-206</v>
      </c>
      <c r="G142" s="45">
        <v>360</v>
      </c>
      <c r="H142" s="3">
        <v>200</v>
      </c>
    </row>
    <row r="143" spans="1:8" s="44" customFormat="1" x14ac:dyDescent="0.2">
      <c r="A143" s="224" t="str">
        <f t="shared" si="4"/>
        <v>I-020-WS-34</v>
      </c>
      <c r="B143" s="224" t="str">
        <f t="shared" si="5"/>
        <v>I-020-60</v>
      </c>
      <c r="C143" s="45" t="s">
        <v>520</v>
      </c>
      <c r="D143" s="45">
        <v>60</v>
      </c>
      <c r="E143" s="45" t="s">
        <v>607</v>
      </c>
      <c r="F143" s="42" t="str">
        <f>_xlfn.XLOOKUP(E143, 'S11 Work Stations'!$A$2:$A$45, 'S11 Work Stations'!$B$2:$B$45, "NOT FOUND", 0)</f>
        <v>SAW-30-160-252</v>
      </c>
      <c r="G143" s="45">
        <v>660</v>
      </c>
      <c r="H143" s="3">
        <v>200</v>
      </c>
    </row>
    <row r="144" spans="1:8" s="44" customFormat="1" x14ac:dyDescent="0.2">
      <c r="A144" s="224" t="str">
        <f t="shared" si="4"/>
        <v>I-020-WS-38</v>
      </c>
      <c r="B144" s="224" t="str">
        <f t="shared" si="5"/>
        <v>I-020-20</v>
      </c>
      <c r="C144" s="45" t="s">
        <v>520</v>
      </c>
      <c r="D144" s="45">
        <v>20</v>
      </c>
      <c r="E144" s="45" t="s">
        <v>611</v>
      </c>
      <c r="F144" s="42" t="str">
        <f>_xlfn.XLOOKUP(E144, 'S11 Work Stations'!$A$2:$A$45, 'S11 Work Stations'!$B$2:$B$45, "NOT FOUND", 0)</f>
        <v>SAW-150-423</v>
      </c>
      <c r="G144" s="45">
        <v>180</v>
      </c>
      <c r="H144" s="3">
        <v>200</v>
      </c>
    </row>
    <row r="145" spans="1:8" s="44" customFormat="1" x14ac:dyDescent="0.2">
      <c r="A145" s="224" t="str">
        <f t="shared" si="4"/>
        <v>I-020-WS-43</v>
      </c>
      <c r="B145" s="224" t="str">
        <f t="shared" si="5"/>
        <v>I-020-10</v>
      </c>
      <c r="C145" s="45" t="s">
        <v>520</v>
      </c>
      <c r="D145" s="45">
        <v>10</v>
      </c>
      <c r="E145" s="45" t="s">
        <v>616</v>
      </c>
      <c r="F145" s="42" t="str">
        <f>_xlfn.XLOOKUP(E145, 'S11 Work Stations'!$A$2:$A$45, 'S11 Work Stations'!$B$2:$B$45, "NOT FOUND", 0)</f>
        <v>RAW-MAT-INV</v>
      </c>
      <c r="G145" s="45">
        <v>0</v>
      </c>
      <c r="H145" s="3">
        <v>200</v>
      </c>
    </row>
    <row r="146" spans="1:8" s="44" customFormat="1" x14ac:dyDescent="0.2">
      <c r="A146" s="224" t="str">
        <f t="shared" si="4"/>
        <v>I-020-WS-44</v>
      </c>
      <c r="B146" s="224" t="str">
        <f t="shared" si="5"/>
        <v>I-020-70</v>
      </c>
      <c r="C146" s="45" t="s">
        <v>520</v>
      </c>
      <c r="D146" s="45">
        <v>70</v>
      </c>
      <c r="E146" s="45" t="s">
        <v>617</v>
      </c>
      <c r="F146" s="42" t="str">
        <f>_xlfn.XLOOKUP(E146, 'S11 Work Stations'!$A$2:$A$45, 'S11 Work Stations'!$B$2:$B$45, "NOT FOUND", 0)</f>
        <v>FIN-GOOD-INV</v>
      </c>
      <c r="G146" s="45">
        <v>0</v>
      </c>
      <c r="H146" s="3">
        <v>200</v>
      </c>
    </row>
    <row r="147" spans="1:8" s="44" customFormat="1" x14ac:dyDescent="0.2">
      <c r="A147" s="224" t="str">
        <f t="shared" si="4"/>
        <v>I-021-WS-04</v>
      </c>
      <c r="B147" s="224" t="str">
        <f t="shared" si="5"/>
        <v>I-021-30</v>
      </c>
      <c r="C147" s="45" t="s">
        <v>521</v>
      </c>
      <c r="D147" s="45">
        <v>30</v>
      </c>
      <c r="E147" s="45" t="s">
        <v>577</v>
      </c>
      <c r="F147" s="42" t="str">
        <f>_xlfn.XLOOKUP(E147, 'S11 Work Stations'!$A$2:$A$45, 'S11 Work Stations'!$B$2:$B$45, "NOT FOUND", 0)</f>
        <v>TUR-A4-364</v>
      </c>
      <c r="G147" s="45">
        <v>780</v>
      </c>
      <c r="H147" s="3">
        <v>200</v>
      </c>
    </row>
    <row r="148" spans="1:8" s="44" customFormat="1" x14ac:dyDescent="0.2">
      <c r="A148" s="224" t="str">
        <f t="shared" si="4"/>
        <v>I-021-WS-24</v>
      </c>
      <c r="B148" s="224" t="str">
        <f t="shared" si="5"/>
        <v>I-021-40</v>
      </c>
      <c r="C148" s="45" t="s">
        <v>521</v>
      </c>
      <c r="D148" s="45">
        <v>40</v>
      </c>
      <c r="E148" s="45" t="s">
        <v>597</v>
      </c>
      <c r="F148" s="42" t="str">
        <f>_xlfn.XLOOKUP(E148, 'S11 Work Stations'!$A$2:$A$45, 'S11 Work Stations'!$B$2:$B$45, "NOT FOUND", 0)</f>
        <v>MIL-V5-608</v>
      </c>
      <c r="G148" s="45">
        <v>720</v>
      </c>
      <c r="H148" s="3">
        <v>200</v>
      </c>
    </row>
    <row r="149" spans="1:8" s="44" customFormat="1" x14ac:dyDescent="0.2">
      <c r="A149" s="224" t="str">
        <f t="shared" si="4"/>
        <v>I-021-WS-30</v>
      </c>
      <c r="B149" s="224" t="str">
        <f t="shared" si="5"/>
        <v>I-021-50</v>
      </c>
      <c r="C149" s="45" t="s">
        <v>521</v>
      </c>
      <c r="D149" s="45">
        <v>50</v>
      </c>
      <c r="E149" s="45" t="s">
        <v>603</v>
      </c>
      <c r="F149" s="42" t="str">
        <f>_xlfn.XLOOKUP(E149, 'S11 Work Stations'!$A$2:$A$45, 'S11 Work Stations'!$B$2:$B$45, "NOT FOUND", 0)</f>
        <v>DR-3A-206</v>
      </c>
      <c r="G149" s="45">
        <v>420</v>
      </c>
      <c r="H149" s="3">
        <v>200</v>
      </c>
    </row>
    <row r="150" spans="1:8" s="44" customFormat="1" x14ac:dyDescent="0.2">
      <c r="A150" s="224" t="str">
        <f t="shared" si="4"/>
        <v>I-021-WS-35</v>
      </c>
      <c r="B150" s="224" t="str">
        <f t="shared" si="5"/>
        <v>I-021-60</v>
      </c>
      <c r="C150" s="45" t="s">
        <v>521</v>
      </c>
      <c r="D150" s="45">
        <v>60</v>
      </c>
      <c r="E150" s="45" t="s">
        <v>608</v>
      </c>
      <c r="F150" s="42" t="str">
        <f>_xlfn.XLOOKUP(E150, 'S11 Work Stations'!$A$2:$A$45, 'S11 Work Stations'!$B$2:$B$45, "NOT FOUND", 0)</f>
        <v>SAW-35-100-254</v>
      </c>
      <c r="G150" s="45">
        <v>720</v>
      </c>
      <c r="H150" s="3">
        <v>200</v>
      </c>
    </row>
    <row r="151" spans="1:8" s="44" customFormat="1" x14ac:dyDescent="0.2">
      <c r="A151" s="224" t="str">
        <f t="shared" si="4"/>
        <v>I-021-WS-38</v>
      </c>
      <c r="B151" s="224" t="str">
        <f t="shared" si="5"/>
        <v>I-021-20</v>
      </c>
      <c r="C151" s="45" t="s">
        <v>521</v>
      </c>
      <c r="D151" s="45">
        <v>20</v>
      </c>
      <c r="E151" s="45" t="s">
        <v>611</v>
      </c>
      <c r="F151" s="42" t="str">
        <f>_xlfn.XLOOKUP(E151, 'S11 Work Stations'!$A$2:$A$45, 'S11 Work Stations'!$B$2:$B$45, "NOT FOUND", 0)</f>
        <v>SAW-150-423</v>
      </c>
      <c r="G151" s="45">
        <v>180</v>
      </c>
      <c r="H151" s="3">
        <v>200</v>
      </c>
    </row>
    <row r="152" spans="1:8" s="44" customFormat="1" x14ac:dyDescent="0.2">
      <c r="A152" s="224" t="str">
        <f t="shared" si="4"/>
        <v>I-021-WS-42</v>
      </c>
      <c r="B152" s="224" t="str">
        <f t="shared" si="5"/>
        <v>I-021-70</v>
      </c>
      <c r="C152" s="45" t="s">
        <v>521</v>
      </c>
      <c r="D152" s="45">
        <v>70</v>
      </c>
      <c r="E152" s="45" t="s">
        <v>615</v>
      </c>
      <c r="F152" s="42" t="str">
        <f>_xlfn.XLOOKUP(E152, 'S11 Work Stations'!$A$2:$A$45, 'S11 Work Stations'!$B$2:$B$45, "NOT FOUND", 0)</f>
        <v>TEMP-A01-202</v>
      </c>
      <c r="G152" s="45">
        <v>300</v>
      </c>
      <c r="H152" s="3">
        <v>200</v>
      </c>
    </row>
    <row r="153" spans="1:8" s="44" customFormat="1" x14ac:dyDescent="0.2">
      <c r="A153" s="224" t="str">
        <f t="shared" si="4"/>
        <v>I-021-WS-43</v>
      </c>
      <c r="B153" s="224" t="str">
        <f t="shared" si="5"/>
        <v>I-021-10</v>
      </c>
      <c r="C153" s="45" t="s">
        <v>521</v>
      </c>
      <c r="D153" s="45">
        <v>10</v>
      </c>
      <c r="E153" s="45" t="s">
        <v>616</v>
      </c>
      <c r="F153" s="42" t="str">
        <f>_xlfn.XLOOKUP(E153, 'S11 Work Stations'!$A$2:$A$45, 'S11 Work Stations'!$B$2:$B$45, "NOT FOUND", 0)</f>
        <v>RAW-MAT-INV</v>
      </c>
      <c r="G153" s="45">
        <v>0</v>
      </c>
      <c r="H153" s="3">
        <v>200</v>
      </c>
    </row>
    <row r="154" spans="1:8" s="44" customFormat="1" x14ac:dyDescent="0.2">
      <c r="A154" s="224" t="str">
        <f t="shared" si="4"/>
        <v>I-021-WS-44</v>
      </c>
      <c r="B154" s="224" t="str">
        <f t="shared" si="5"/>
        <v>I-021-80</v>
      </c>
      <c r="C154" s="45" t="s">
        <v>521</v>
      </c>
      <c r="D154" s="45">
        <v>80</v>
      </c>
      <c r="E154" s="45" t="s">
        <v>617</v>
      </c>
      <c r="F154" s="42" t="str">
        <f>_xlfn.XLOOKUP(E154, 'S11 Work Stations'!$A$2:$A$45, 'S11 Work Stations'!$B$2:$B$45, "NOT FOUND", 0)</f>
        <v>FIN-GOOD-INV</v>
      </c>
      <c r="G154" s="45">
        <v>0</v>
      </c>
      <c r="H154" s="3">
        <v>200</v>
      </c>
    </row>
    <row r="155" spans="1:8" s="44" customFormat="1" x14ac:dyDescent="0.2">
      <c r="A155" s="224" t="str">
        <f t="shared" si="4"/>
        <v>I-022-WS-05</v>
      </c>
      <c r="B155" s="224" t="str">
        <f t="shared" si="5"/>
        <v>I-022-30</v>
      </c>
      <c r="C155" s="45" t="s">
        <v>522</v>
      </c>
      <c r="D155" s="45">
        <v>30</v>
      </c>
      <c r="E155" s="45" t="s">
        <v>578</v>
      </c>
      <c r="F155" s="42" t="str">
        <f>_xlfn.XLOOKUP(E155, 'S11 Work Stations'!$A$2:$A$45, 'S11 Work Stations'!$B$2:$B$45, "NOT FOUND", 0)</f>
        <v>MIL-A2-365</v>
      </c>
      <c r="G155" s="45">
        <v>900</v>
      </c>
      <c r="H155" s="3">
        <v>200</v>
      </c>
    </row>
    <row r="156" spans="1:8" s="44" customFormat="1" x14ac:dyDescent="0.2">
      <c r="A156" s="224" t="str">
        <f t="shared" si="4"/>
        <v>I-022-WS-22</v>
      </c>
      <c r="B156" s="224" t="str">
        <f t="shared" si="5"/>
        <v>I-022-40</v>
      </c>
      <c r="C156" s="45" t="s">
        <v>522</v>
      </c>
      <c r="D156" s="45">
        <v>40</v>
      </c>
      <c r="E156" s="45" t="s">
        <v>595</v>
      </c>
      <c r="F156" s="42" t="str">
        <f>_xlfn.XLOOKUP(E156, 'S11 Work Stations'!$A$2:$A$45, 'S11 Work Stations'!$B$2:$B$45, "NOT FOUND", 0)</f>
        <v>MIL-H2-606</v>
      </c>
      <c r="G156" s="45">
        <v>480</v>
      </c>
      <c r="H156" s="3">
        <v>200</v>
      </c>
    </row>
    <row r="157" spans="1:8" s="44" customFormat="1" x14ac:dyDescent="0.2">
      <c r="A157" s="224" t="str">
        <f t="shared" si="4"/>
        <v>I-022-WS-25</v>
      </c>
      <c r="B157" s="224" t="str">
        <f t="shared" si="5"/>
        <v>I-022-50</v>
      </c>
      <c r="C157" s="45" t="s">
        <v>522</v>
      </c>
      <c r="D157" s="45">
        <v>50</v>
      </c>
      <c r="E157" s="45" t="s">
        <v>598</v>
      </c>
      <c r="F157" s="42" t="str">
        <f>_xlfn.XLOOKUP(E157, 'S11 Work Stations'!$A$2:$A$45, 'S11 Work Stations'!$B$2:$B$45, "NOT FOUND", 0)</f>
        <v>DR-2A-201</v>
      </c>
      <c r="G157" s="45">
        <v>360</v>
      </c>
      <c r="H157" s="3">
        <v>200</v>
      </c>
    </row>
    <row r="158" spans="1:8" s="44" customFormat="1" x14ac:dyDescent="0.2">
      <c r="A158" s="224" t="str">
        <f t="shared" si="4"/>
        <v>I-022-WS-36</v>
      </c>
      <c r="B158" s="224" t="str">
        <f t="shared" si="5"/>
        <v>I-022-60</v>
      </c>
      <c r="C158" s="45" t="s">
        <v>522</v>
      </c>
      <c r="D158" s="45">
        <v>60</v>
      </c>
      <c r="E158" s="45" t="s">
        <v>609</v>
      </c>
      <c r="F158" s="42" t="str">
        <f>_xlfn.XLOOKUP(E158, 'S11 Work Stations'!$A$2:$A$45, 'S11 Work Stations'!$B$2:$B$45, "NOT FOUND", 0)</f>
        <v>SAW-10-421</v>
      </c>
      <c r="G158" s="45">
        <v>720</v>
      </c>
      <c r="H158" s="3">
        <v>200</v>
      </c>
    </row>
    <row r="159" spans="1:8" s="44" customFormat="1" x14ac:dyDescent="0.2">
      <c r="A159" s="224" t="str">
        <f t="shared" si="4"/>
        <v>I-022-WS-38</v>
      </c>
      <c r="B159" s="224" t="str">
        <f t="shared" si="5"/>
        <v>I-022-20</v>
      </c>
      <c r="C159" s="45" t="s">
        <v>522</v>
      </c>
      <c r="D159" s="45">
        <v>20</v>
      </c>
      <c r="E159" s="45" t="s">
        <v>611</v>
      </c>
      <c r="F159" s="42" t="str">
        <f>_xlfn.XLOOKUP(E159, 'S11 Work Stations'!$A$2:$A$45, 'S11 Work Stations'!$B$2:$B$45, "NOT FOUND", 0)</f>
        <v>SAW-150-423</v>
      </c>
      <c r="G159" s="45">
        <v>240</v>
      </c>
      <c r="H159" s="3">
        <v>200</v>
      </c>
    </row>
    <row r="160" spans="1:8" s="44" customFormat="1" x14ac:dyDescent="0.2">
      <c r="A160" s="224" t="str">
        <f t="shared" si="4"/>
        <v>I-022-WS-42</v>
      </c>
      <c r="B160" s="224" t="str">
        <f t="shared" si="5"/>
        <v>I-022-70</v>
      </c>
      <c r="C160" s="45" t="s">
        <v>522</v>
      </c>
      <c r="D160" s="45">
        <v>70</v>
      </c>
      <c r="E160" s="45" t="s">
        <v>615</v>
      </c>
      <c r="F160" s="42" t="str">
        <f>_xlfn.XLOOKUP(E160, 'S11 Work Stations'!$A$2:$A$45, 'S11 Work Stations'!$B$2:$B$45, "NOT FOUND", 0)</f>
        <v>TEMP-A01-202</v>
      </c>
      <c r="G160" s="45">
        <v>300</v>
      </c>
      <c r="H160" s="3">
        <v>200</v>
      </c>
    </row>
    <row r="161" spans="1:8" s="44" customFormat="1" x14ac:dyDescent="0.2">
      <c r="A161" s="224" t="str">
        <f t="shared" si="4"/>
        <v>I-022-WS-43</v>
      </c>
      <c r="B161" s="224" t="str">
        <f t="shared" si="5"/>
        <v>I-022-10</v>
      </c>
      <c r="C161" s="45" t="s">
        <v>522</v>
      </c>
      <c r="D161" s="45">
        <v>10</v>
      </c>
      <c r="E161" s="45" t="s">
        <v>616</v>
      </c>
      <c r="F161" s="42" t="str">
        <f>_xlfn.XLOOKUP(E161, 'S11 Work Stations'!$A$2:$A$45, 'S11 Work Stations'!$B$2:$B$45, "NOT FOUND", 0)</f>
        <v>RAW-MAT-INV</v>
      </c>
      <c r="G161" s="45">
        <v>0</v>
      </c>
      <c r="H161" s="3">
        <v>200</v>
      </c>
    </row>
    <row r="162" spans="1:8" s="44" customFormat="1" x14ac:dyDescent="0.2">
      <c r="A162" s="224" t="str">
        <f t="shared" si="4"/>
        <v>I-022-WS-44</v>
      </c>
      <c r="B162" s="224" t="str">
        <f t="shared" si="5"/>
        <v>I-022-80</v>
      </c>
      <c r="C162" s="45" t="s">
        <v>522</v>
      </c>
      <c r="D162" s="45">
        <v>80</v>
      </c>
      <c r="E162" s="45" t="s">
        <v>617</v>
      </c>
      <c r="F162" s="42" t="str">
        <f>_xlfn.XLOOKUP(E162, 'S11 Work Stations'!$A$2:$A$45, 'S11 Work Stations'!$B$2:$B$45, "NOT FOUND", 0)</f>
        <v>FIN-GOOD-INV</v>
      </c>
      <c r="G162" s="45">
        <v>0</v>
      </c>
      <c r="H162" s="3">
        <v>200</v>
      </c>
    </row>
    <row r="163" spans="1:8" s="44" customFormat="1" x14ac:dyDescent="0.2">
      <c r="A163" s="224" t="str">
        <f t="shared" si="4"/>
        <v>I-023-WS-15</v>
      </c>
      <c r="B163" s="224" t="str">
        <f t="shared" si="5"/>
        <v>I-023-30</v>
      </c>
      <c r="C163" s="45" t="s">
        <v>523</v>
      </c>
      <c r="D163" s="45">
        <v>30</v>
      </c>
      <c r="E163" s="45" t="s">
        <v>588</v>
      </c>
      <c r="F163" s="42" t="str">
        <f>_xlfn.XLOOKUP(E163, 'S11 Work Stations'!$A$2:$A$45, 'S11 Work Stations'!$B$2:$B$45, "NOT FOUND", 0)</f>
        <v>TUR-6-Sp3-408</v>
      </c>
      <c r="G163" s="45">
        <v>240</v>
      </c>
      <c r="H163" s="3">
        <v>200</v>
      </c>
    </row>
    <row r="164" spans="1:8" s="44" customFormat="1" x14ac:dyDescent="0.2">
      <c r="A164" s="224" t="str">
        <f t="shared" si="4"/>
        <v>I-023-WS-28</v>
      </c>
      <c r="B164" s="224" t="str">
        <f t="shared" si="5"/>
        <v>I-023-40</v>
      </c>
      <c r="C164" s="45" t="s">
        <v>523</v>
      </c>
      <c r="D164" s="45">
        <v>40</v>
      </c>
      <c r="E164" s="45" t="s">
        <v>601</v>
      </c>
      <c r="F164" s="42" t="str">
        <f>_xlfn.XLOOKUP(E164, 'S11 Work Stations'!$A$2:$A$45, 'S11 Work Stations'!$B$2:$B$45, "NOT FOUND", 0)</f>
        <v>DR-T3-204</v>
      </c>
      <c r="G164" s="45">
        <v>300</v>
      </c>
      <c r="H164" s="3">
        <v>200</v>
      </c>
    </row>
    <row r="165" spans="1:8" s="44" customFormat="1" x14ac:dyDescent="0.2">
      <c r="A165" s="224" t="str">
        <f t="shared" si="4"/>
        <v>I-023-WS-41</v>
      </c>
      <c r="B165" s="224" t="str">
        <f t="shared" si="5"/>
        <v>I-023-20</v>
      </c>
      <c r="C165" s="45" t="s">
        <v>523</v>
      </c>
      <c r="D165" s="45">
        <v>20</v>
      </c>
      <c r="E165" s="45" t="s">
        <v>614</v>
      </c>
      <c r="F165" s="42" t="str">
        <f>_xlfn.XLOOKUP(E165, 'S11 Work Stations'!$A$2:$A$45, 'S11 Work Stations'!$B$2:$B$45, "NOT FOUND", 0)</f>
        <v>SAW-CNC-60-425</v>
      </c>
      <c r="G165" s="45">
        <v>60</v>
      </c>
      <c r="H165" s="3">
        <v>200</v>
      </c>
    </row>
    <row r="166" spans="1:8" s="44" customFormat="1" x14ac:dyDescent="0.2">
      <c r="A166" s="224" t="str">
        <f t="shared" si="4"/>
        <v>I-023-WS-43</v>
      </c>
      <c r="B166" s="224" t="str">
        <f t="shared" si="5"/>
        <v>I-023-10</v>
      </c>
      <c r="C166" s="45" t="s">
        <v>523</v>
      </c>
      <c r="D166" s="45">
        <v>10</v>
      </c>
      <c r="E166" s="45" t="s">
        <v>616</v>
      </c>
      <c r="F166" s="42" t="str">
        <f>_xlfn.XLOOKUP(E166, 'S11 Work Stations'!$A$2:$A$45, 'S11 Work Stations'!$B$2:$B$45, "NOT FOUND", 0)</f>
        <v>RAW-MAT-INV</v>
      </c>
      <c r="G166" s="45">
        <v>0</v>
      </c>
      <c r="H166" s="3">
        <v>200</v>
      </c>
    </row>
    <row r="167" spans="1:8" s="44" customFormat="1" x14ac:dyDescent="0.2">
      <c r="A167" s="224" t="str">
        <f t="shared" si="4"/>
        <v>I-023-WS-44</v>
      </c>
      <c r="B167" s="224" t="str">
        <f t="shared" si="5"/>
        <v>I-023-50</v>
      </c>
      <c r="C167" s="45" t="s">
        <v>523</v>
      </c>
      <c r="D167" s="45">
        <v>50</v>
      </c>
      <c r="E167" s="45" t="s">
        <v>617</v>
      </c>
      <c r="F167" s="42" t="str">
        <f>_xlfn.XLOOKUP(E167, 'S11 Work Stations'!$A$2:$A$45, 'S11 Work Stations'!$B$2:$B$45, "NOT FOUND", 0)</f>
        <v>FIN-GOOD-INV</v>
      </c>
      <c r="G167" s="45">
        <v>0</v>
      </c>
      <c r="H167" s="3">
        <v>200</v>
      </c>
    </row>
    <row r="168" spans="1:8" s="44" customFormat="1" x14ac:dyDescent="0.2">
      <c r="A168" s="224" t="str">
        <f t="shared" si="4"/>
        <v>I-024-WS-15</v>
      </c>
      <c r="B168" s="224" t="str">
        <f t="shared" si="5"/>
        <v>I-024-30</v>
      </c>
      <c r="C168" s="45" t="s">
        <v>524</v>
      </c>
      <c r="D168" s="45">
        <v>30</v>
      </c>
      <c r="E168" s="45" t="s">
        <v>588</v>
      </c>
      <c r="F168" s="42" t="str">
        <f>_xlfn.XLOOKUP(E168, 'S11 Work Stations'!$A$2:$A$45, 'S11 Work Stations'!$B$2:$B$45, "NOT FOUND", 0)</f>
        <v>TUR-6-Sp3-408</v>
      </c>
      <c r="G168" s="45">
        <v>360</v>
      </c>
      <c r="H168" s="3">
        <v>200</v>
      </c>
    </row>
    <row r="169" spans="1:8" s="44" customFormat="1" x14ac:dyDescent="0.2">
      <c r="A169" s="224" t="str">
        <f t="shared" si="4"/>
        <v>I-024-WS-28</v>
      </c>
      <c r="B169" s="224" t="str">
        <f t="shared" si="5"/>
        <v>I-024-40</v>
      </c>
      <c r="C169" s="45" t="s">
        <v>524</v>
      </c>
      <c r="D169" s="45">
        <v>40</v>
      </c>
      <c r="E169" s="45" t="s">
        <v>601</v>
      </c>
      <c r="F169" s="42" t="str">
        <f>_xlfn.XLOOKUP(E169, 'S11 Work Stations'!$A$2:$A$45, 'S11 Work Stations'!$B$2:$B$45, "NOT FOUND", 0)</f>
        <v>DR-T3-204</v>
      </c>
      <c r="G169" s="45">
        <v>300</v>
      </c>
      <c r="H169" s="3">
        <v>200</v>
      </c>
    </row>
    <row r="170" spans="1:8" s="44" customFormat="1" x14ac:dyDescent="0.2">
      <c r="A170" s="224" t="str">
        <f t="shared" si="4"/>
        <v>I-024-WS-41</v>
      </c>
      <c r="B170" s="224" t="str">
        <f t="shared" si="5"/>
        <v>I-024-20</v>
      </c>
      <c r="C170" s="45" t="s">
        <v>524</v>
      </c>
      <c r="D170" s="45">
        <v>20</v>
      </c>
      <c r="E170" s="45" t="s">
        <v>614</v>
      </c>
      <c r="F170" s="42" t="str">
        <f>_xlfn.XLOOKUP(E170, 'S11 Work Stations'!$A$2:$A$45, 'S11 Work Stations'!$B$2:$B$45, "NOT FOUND", 0)</f>
        <v>SAW-CNC-60-425</v>
      </c>
      <c r="G170" s="45">
        <v>60</v>
      </c>
      <c r="H170" s="3">
        <v>200</v>
      </c>
    </row>
    <row r="171" spans="1:8" s="44" customFormat="1" x14ac:dyDescent="0.2">
      <c r="A171" s="224" t="str">
        <f t="shared" si="4"/>
        <v>I-024-WS-43</v>
      </c>
      <c r="B171" s="224" t="str">
        <f t="shared" si="5"/>
        <v>I-024-10</v>
      </c>
      <c r="C171" s="45" t="s">
        <v>524</v>
      </c>
      <c r="D171" s="45">
        <v>10</v>
      </c>
      <c r="E171" s="45" t="s">
        <v>616</v>
      </c>
      <c r="F171" s="42" t="str">
        <f>_xlfn.XLOOKUP(E171, 'S11 Work Stations'!$A$2:$A$45, 'S11 Work Stations'!$B$2:$B$45, "NOT FOUND", 0)</f>
        <v>RAW-MAT-INV</v>
      </c>
      <c r="G171" s="45">
        <v>0</v>
      </c>
      <c r="H171" s="3">
        <v>200</v>
      </c>
    </row>
    <row r="172" spans="1:8" s="44" customFormat="1" x14ac:dyDescent="0.2">
      <c r="A172" s="224" t="str">
        <f t="shared" si="4"/>
        <v>I-024-WS-44</v>
      </c>
      <c r="B172" s="224" t="str">
        <f t="shared" si="5"/>
        <v>I-024-50</v>
      </c>
      <c r="C172" s="45" t="s">
        <v>524</v>
      </c>
      <c r="D172" s="45">
        <v>50</v>
      </c>
      <c r="E172" s="45" t="s">
        <v>617</v>
      </c>
      <c r="F172" s="42" t="str">
        <f>_xlfn.XLOOKUP(E172, 'S11 Work Stations'!$A$2:$A$45, 'S11 Work Stations'!$B$2:$B$45, "NOT FOUND", 0)</f>
        <v>FIN-GOOD-INV</v>
      </c>
      <c r="G172" s="45">
        <v>0</v>
      </c>
      <c r="H172" s="3">
        <v>200</v>
      </c>
    </row>
    <row r="173" spans="1:8" s="44" customFormat="1" x14ac:dyDescent="0.2">
      <c r="A173" s="224" t="str">
        <f t="shared" si="4"/>
        <v>I-025-WS-15</v>
      </c>
      <c r="B173" s="224" t="str">
        <f t="shared" si="5"/>
        <v>I-025-30</v>
      </c>
      <c r="C173" s="45" t="s">
        <v>525</v>
      </c>
      <c r="D173" s="45">
        <v>30</v>
      </c>
      <c r="E173" s="45" t="s">
        <v>588</v>
      </c>
      <c r="F173" s="42" t="str">
        <f>_xlfn.XLOOKUP(E173, 'S11 Work Stations'!$A$2:$A$45, 'S11 Work Stations'!$B$2:$B$45, "NOT FOUND", 0)</f>
        <v>TUR-6-Sp3-408</v>
      </c>
      <c r="G173" s="45">
        <v>240</v>
      </c>
      <c r="H173" s="3">
        <v>200</v>
      </c>
    </row>
    <row r="174" spans="1:8" s="44" customFormat="1" x14ac:dyDescent="0.2">
      <c r="A174" s="224" t="str">
        <f t="shared" si="4"/>
        <v>I-025-WS-29</v>
      </c>
      <c r="B174" s="224" t="str">
        <f t="shared" si="5"/>
        <v>I-025-40</v>
      </c>
      <c r="C174" s="45" t="s">
        <v>525</v>
      </c>
      <c r="D174" s="45">
        <v>40</v>
      </c>
      <c r="E174" s="45" t="s">
        <v>602</v>
      </c>
      <c r="F174" s="42" t="str">
        <f>_xlfn.XLOOKUP(E174, 'S11 Work Stations'!$A$2:$A$45, 'S11 Work Stations'!$B$2:$B$45, "NOT FOUND", 0)</f>
        <v>GR-T11-250</v>
      </c>
      <c r="G174" s="45">
        <v>300</v>
      </c>
      <c r="H174" s="3">
        <v>200</v>
      </c>
    </row>
    <row r="175" spans="1:8" s="44" customFormat="1" x14ac:dyDescent="0.2">
      <c r="A175" s="224" t="str">
        <f t="shared" si="4"/>
        <v>I-025-WS-41</v>
      </c>
      <c r="B175" s="224" t="str">
        <f t="shared" si="5"/>
        <v>I-025-20</v>
      </c>
      <c r="C175" s="45" t="s">
        <v>525</v>
      </c>
      <c r="D175" s="45">
        <v>20</v>
      </c>
      <c r="E175" s="45" t="s">
        <v>614</v>
      </c>
      <c r="F175" s="42" t="str">
        <f>_xlfn.XLOOKUP(E175, 'S11 Work Stations'!$A$2:$A$45, 'S11 Work Stations'!$B$2:$B$45, "NOT FOUND", 0)</f>
        <v>SAW-CNC-60-425</v>
      </c>
      <c r="G175" s="45">
        <v>60</v>
      </c>
      <c r="H175" s="3">
        <v>200</v>
      </c>
    </row>
    <row r="176" spans="1:8" s="44" customFormat="1" x14ac:dyDescent="0.2">
      <c r="A176" s="224" t="str">
        <f t="shared" si="4"/>
        <v>I-025-WS-43</v>
      </c>
      <c r="B176" s="224" t="str">
        <f t="shared" si="5"/>
        <v>I-025-10</v>
      </c>
      <c r="C176" s="45" t="s">
        <v>525</v>
      </c>
      <c r="D176" s="45">
        <v>10</v>
      </c>
      <c r="E176" s="45" t="s">
        <v>616</v>
      </c>
      <c r="F176" s="42" t="str">
        <f>_xlfn.XLOOKUP(E176, 'S11 Work Stations'!$A$2:$A$45, 'S11 Work Stations'!$B$2:$B$45, "NOT FOUND", 0)</f>
        <v>RAW-MAT-INV</v>
      </c>
      <c r="G176" s="45">
        <v>0</v>
      </c>
      <c r="H176" s="3">
        <v>200</v>
      </c>
    </row>
    <row r="177" spans="1:8" s="44" customFormat="1" x14ac:dyDescent="0.2">
      <c r="A177" s="224" t="str">
        <f t="shared" si="4"/>
        <v>I-025-WS-44</v>
      </c>
      <c r="B177" s="224" t="str">
        <f t="shared" si="5"/>
        <v>I-025-50</v>
      </c>
      <c r="C177" s="45" t="s">
        <v>525</v>
      </c>
      <c r="D177" s="45">
        <v>50</v>
      </c>
      <c r="E177" s="45" t="s">
        <v>617</v>
      </c>
      <c r="F177" s="42" t="str">
        <f>_xlfn.XLOOKUP(E177, 'S11 Work Stations'!$A$2:$A$45, 'S11 Work Stations'!$B$2:$B$45, "NOT FOUND", 0)</f>
        <v>FIN-GOOD-INV</v>
      </c>
      <c r="G177" s="45">
        <v>0</v>
      </c>
      <c r="H177" s="3">
        <v>200</v>
      </c>
    </row>
    <row r="178" spans="1:8" s="44" customFormat="1" x14ac:dyDescent="0.2">
      <c r="A178" s="224" t="str">
        <f t="shared" si="4"/>
        <v>I-026-WS-15</v>
      </c>
      <c r="B178" s="224" t="str">
        <f t="shared" si="5"/>
        <v>I-026-30</v>
      </c>
      <c r="C178" s="45" t="s">
        <v>526</v>
      </c>
      <c r="D178" s="45">
        <v>30</v>
      </c>
      <c r="E178" s="45" t="s">
        <v>588</v>
      </c>
      <c r="F178" s="42" t="str">
        <f>_xlfn.XLOOKUP(E178, 'S11 Work Stations'!$A$2:$A$45, 'S11 Work Stations'!$B$2:$B$45, "NOT FOUND", 0)</f>
        <v>TUR-6-Sp3-408</v>
      </c>
      <c r="G178" s="45">
        <v>300</v>
      </c>
      <c r="H178" s="3">
        <v>200</v>
      </c>
    </row>
    <row r="179" spans="1:8" s="44" customFormat="1" x14ac:dyDescent="0.2">
      <c r="A179" s="224" t="str">
        <f t="shared" si="4"/>
        <v>I-026-WS-29</v>
      </c>
      <c r="B179" s="224" t="str">
        <f t="shared" si="5"/>
        <v>I-026-40</v>
      </c>
      <c r="C179" s="45" t="s">
        <v>526</v>
      </c>
      <c r="D179" s="45">
        <v>40</v>
      </c>
      <c r="E179" s="45" t="s">
        <v>602</v>
      </c>
      <c r="F179" s="42" t="str">
        <f>_xlfn.XLOOKUP(E179, 'S11 Work Stations'!$A$2:$A$45, 'S11 Work Stations'!$B$2:$B$45, "NOT FOUND", 0)</f>
        <v>GR-T11-250</v>
      </c>
      <c r="G179" s="45">
        <v>300</v>
      </c>
      <c r="H179" s="3">
        <v>200</v>
      </c>
    </row>
    <row r="180" spans="1:8" s="44" customFormat="1" x14ac:dyDescent="0.2">
      <c r="A180" s="224" t="str">
        <f t="shared" si="4"/>
        <v>I-026-WS-41</v>
      </c>
      <c r="B180" s="224" t="str">
        <f t="shared" si="5"/>
        <v>I-026-20</v>
      </c>
      <c r="C180" s="45" t="s">
        <v>526</v>
      </c>
      <c r="D180" s="45">
        <v>20</v>
      </c>
      <c r="E180" s="45" t="s">
        <v>614</v>
      </c>
      <c r="F180" s="42" t="str">
        <f>_xlfn.XLOOKUP(E180, 'S11 Work Stations'!$A$2:$A$45, 'S11 Work Stations'!$B$2:$B$45, "NOT FOUND", 0)</f>
        <v>SAW-CNC-60-425</v>
      </c>
      <c r="G180" s="45">
        <v>60</v>
      </c>
      <c r="H180" s="3">
        <v>200</v>
      </c>
    </row>
    <row r="181" spans="1:8" s="44" customFormat="1" x14ac:dyDescent="0.2">
      <c r="A181" s="224" t="str">
        <f t="shared" si="4"/>
        <v>I-026-WS-43</v>
      </c>
      <c r="B181" s="224" t="str">
        <f t="shared" si="5"/>
        <v>I-026-10</v>
      </c>
      <c r="C181" s="45" t="s">
        <v>526</v>
      </c>
      <c r="D181" s="45">
        <v>10</v>
      </c>
      <c r="E181" s="45" t="s">
        <v>616</v>
      </c>
      <c r="F181" s="42" t="str">
        <f>_xlfn.XLOOKUP(E181, 'S11 Work Stations'!$A$2:$A$45, 'S11 Work Stations'!$B$2:$B$45, "NOT FOUND", 0)</f>
        <v>RAW-MAT-INV</v>
      </c>
      <c r="G181" s="45">
        <v>0</v>
      </c>
      <c r="H181" s="3">
        <v>200</v>
      </c>
    </row>
    <row r="182" spans="1:8" s="44" customFormat="1" x14ac:dyDescent="0.2">
      <c r="A182" s="224" t="str">
        <f t="shared" si="4"/>
        <v>I-026-WS-44</v>
      </c>
      <c r="B182" s="224" t="str">
        <f t="shared" si="5"/>
        <v>I-026-50</v>
      </c>
      <c r="C182" s="45" t="s">
        <v>526</v>
      </c>
      <c r="D182" s="45">
        <v>50</v>
      </c>
      <c r="E182" s="45" t="s">
        <v>617</v>
      </c>
      <c r="F182" s="42" t="str">
        <f>_xlfn.XLOOKUP(E182, 'S11 Work Stations'!$A$2:$A$45, 'S11 Work Stations'!$B$2:$B$45, "NOT FOUND", 0)</f>
        <v>FIN-GOOD-INV</v>
      </c>
      <c r="G182" s="45">
        <v>0</v>
      </c>
      <c r="H182" s="3">
        <v>200</v>
      </c>
    </row>
    <row r="183" spans="1:8" s="44" customFormat="1" x14ac:dyDescent="0.2">
      <c r="A183" s="224" t="str">
        <f t="shared" si="4"/>
        <v>I-027-WS-15</v>
      </c>
      <c r="B183" s="224" t="str">
        <f t="shared" si="5"/>
        <v>I-027-30</v>
      </c>
      <c r="C183" s="45" t="s">
        <v>527</v>
      </c>
      <c r="D183" s="45">
        <v>30</v>
      </c>
      <c r="E183" s="45" t="s">
        <v>588</v>
      </c>
      <c r="F183" s="42" t="str">
        <f>_xlfn.XLOOKUP(E183, 'S11 Work Stations'!$A$2:$A$45, 'S11 Work Stations'!$B$2:$B$45, "NOT FOUND", 0)</f>
        <v>TUR-6-Sp3-408</v>
      </c>
      <c r="G183" s="45">
        <v>300</v>
      </c>
      <c r="H183" s="3">
        <v>200</v>
      </c>
    </row>
    <row r="184" spans="1:8" s="44" customFormat="1" x14ac:dyDescent="0.2">
      <c r="A184" s="224" t="str">
        <f t="shared" si="4"/>
        <v>I-027-WS-29</v>
      </c>
      <c r="B184" s="224" t="str">
        <f t="shared" si="5"/>
        <v>I-027-40</v>
      </c>
      <c r="C184" s="45" t="s">
        <v>527</v>
      </c>
      <c r="D184" s="45">
        <v>40</v>
      </c>
      <c r="E184" s="45" t="s">
        <v>602</v>
      </c>
      <c r="F184" s="42" t="str">
        <f>_xlfn.XLOOKUP(E184, 'S11 Work Stations'!$A$2:$A$45, 'S11 Work Stations'!$B$2:$B$45, "NOT FOUND", 0)</f>
        <v>GR-T11-250</v>
      </c>
      <c r="G184" s="45">
        <v>360</v>
      </c>
      <c r="H184" s="3">
        <v>200</v>
      </c>
    </row>
    <row r="185" spans="1:8" s="44" customFormat="1" x14ac:dyDescent="0.2">
      <c r="A185" s="224" t="str">
        <f t="shared" si="4"/>
        <v>I-027-WS-41</v>
      </c>
      <c r="B185" s="224" t="str">
        <f t="shared" si="5"/>
        <v>I-027-20</v>
      </c>
      <c r="C185" s="45" t="s">
        <v>527</v>
      </c>
      <c r="D185" s="45">
        <v>20</v>
      </c>
      <c r="E185" s="45" t="s">
        <v>614</v>
      </c>
      <c r="F185" s="42" t="str">
        <f>_xlfn.XLOOKUP(E185, 'S11 Work Stations'!$A$2:$A$45, 'S11 Work Stations'!$B$2:$B$45, "NOT FOUND", 0)</f>
        <v>SAW-CNC-60-425</v>
      </c>
      <c r="G185" s="45">
        <v>120</v>
      </c>
      <c r="H185" s="3">
        <v>200</v>
      </c>
    </row>
    <row r="186" spans="1:8" s="44" customFormat="1" x14ac:dyDescent="0.2">
      <c r="A186" s="224" t="str">
        <f t="shared" si="4"/>
        <v>I-027-WS-43</v>
      </c>
      <c r="B186" s="224" t="str">
        <f t="shared" si="5"/>
        <v>I-027-10</v>
      </c>
      <c r="C186" s="45" t="s">
        <v>527</v>
      </c>
      <c r="D186" s="45">
        <v>10</v>
      </c>
      <c r="E186" s="45" t="s">
        <v>616</v>
      </c>
      <c r="F186" s="42" t="str">
        <f>_xlfn.XLOOKUP(E186, 'S11 Work Stations'!$A$2:$A$45, 'S11 Work Stations'!$B$2:$B$45, "NOT FOUND", 0)</f>
        <v>RAW-MAT-INV</v>
      </c>
      <c r="G186" s="45">
        <v>0</v>
      </c>
      <c r="H186" s="3">
        <v>200</v>
      </c>
    </row>
    <row r="187" spans="1:8" s="44" customFormat="1" x14ac:dyDescent="0.2">
      <c r="A187" s="224" t="str">
        <f t="shared" si="4"/>
        <v>I-027-WS-44</v>
      </c>
      <c r="B187" s="224" t="str">
        <f t="shared" si="5"/>
        <v>I-027-50</v>
      </c>
      <c r="C187" s="45" t="s">
        <v>527</v>
      </c>
      <c r="D187" s="45">
        <v>50</v>
      </c>
      <c r="E187" s="45" t="s">
        <v>617</v>
      </c>
      <c r="F187" s="42" t="str">
        <f>_xlfn.XLOOKUP(E187, 'S11 Work Stations'!$A$2:$A$45, 'S11 Work Stations'!$B$2:$B$45, "NOT FOUND", 0)</f>
        <v>FIN-GOOD-INV</v>
      </c>
      <c r="G187" s="45">
        <v>0</v>
      </c>
      <c r="H187" s="3">
        <v>200</v>
      </c>
    </row>
    <row r="188" spans="1:8" s="44" customFormat="1" x14ac:dyDescent="0.2">
      <c r="A188" s="224" t="str">
        <f t="shared" si="4"/>
        <v>I-028-WS-15</v>
      </c>
      <c r="B188" s="224" t="str">
        <f t="shared" si="5"/>
        <v>I-028-30</v>
      </c>
      <c r="C188" s="45" t="s">
        <v>528</v>
      </c>
      <c r="D188" s="45">
        <v>30</v>
      </c>
      <c r="E188" s="45" t="s">
        <v>588</v>
      </c>
      <c r="F188" s="42" t="str">
        <f>_xlfn.XLOOKUP(E188, 'S11 Work Stations'!$A$2:$A$45, 'S11 Work Stations'!$B$2:$B$45, "NOT FOUND", 0)</f>
        <v>TUR-6-Sp3-408</v>
      </c>
      <c r="G188" s="45">
        <v>360</v>
      </c>
      <c r="H188" s="3">
        <v>200</v>
      </c>
    </row>
    <row r="189" spans="1:8" s="44" customFormat="1" x14ac:dyDescent="0.2">
      <c r="A189" s="224" t="str">
        <f t="shared" si="4"/>
        <v>I-028-WS-25</v>
      </c>
      <c r="B189" s="224" t="str">
        <f t="shared" si="5"/>
        <v>I-028-50</v>
      </c>
      <c r="C189" s="45" t="s">
        <v>528</v>
      </c>
      <c r="D189" s="45">
        <v>50</v>
      </c>
      <c r="E189" s="45" t="s">
        <v>598</v>
      </c>
      <c r="F189" s="42" t="str">
        <f>_xlfn.XLOOKUP(E189, 'S11 Work Stations'!$A$2:$A$45, 'S11 Work Stations'!$B$2:$B$45, "NOT FOUND", 0)</f>
        <v>DR-2A-201</v>
      </c>
      <c r="G189" s="45">
        <v>780</v>
      </c>
      <c r="H189" s="3">
        <v>200</v>
      </c>
    </row>
    <row r="190" spans="1:8" s="44" customFormat="1" x14ac:dyDescent="0.2">
      <c r="A190" s="224" t="str">
        <f t="shared" si="4"/>
        <v>I-028-WS-29</v>
      </c>
      <c r="B190" s="224" t="str">
        <f t="shared" si="5"/>
        <v>I-028-40</v>
      </c>
      <c r="C190" s="45" t="s">
        <v>528</v>
      </c>
      <c r="D190" s="45">
        <v>40</v>
      </c>
      <c r="E190" s="45" t="s">
        <v>602</v>
      </c>
      <c r="F190" s="42" t="str">
        <f>_xlfn.XLOOKUP(E190, 'S11 Work Stations'!$A$2:$A$45, 'S11 Work Stations'!$B$2:$B$45, "NOT FOUND", 0)</f>
        <v>GR-T11-250</v>
      </c>
      <c r="G190" s="45">
        <v>360</v>
      </c>
      <c r="H190" s="3">
        <v>200</v>
      </c>
    </row>
    <row r="191" spans="1:8" s="44" customFormat="1" x14ac:dyDescent="0.2">
      <c r="A191" s="224" t="str">
        <f t="shared" si="4"/>
        <v>I-028-WS-41</v>
      </c>
      <c r="B191" s="224" t="str">
        <f t="shared" si="5"/>
        <v>I-028-20</v>
      </c>
      <c r="C191" s="45" t="s">
        <v>528</v>
      </c>
      <c r="D191" s="45">
        <v>20</v>
      </c>
      <c r="E191" s="45" t="s">
        <v>614</v>
      </c>
      <c r="F191" s="42" t="str">
        <f>_xlfn.XLOOKUP(E191, 'S11 Work Stations'!$A$2:$A$45, 'S11 Work Stations'!$B$2:$B$45, "NOT FOUND", 0)</f>
        <v>SAW-CNC-60-425</v>
      </c>
      <c r="G191" s="45">
        <v>60</v>
      </c>
      <c r="H191" s="3">
        <v>200</v>
      </c>
    </row>
    <row r="192" spans="1:8" s="44" customFormat="1" x14ac:dyDescent="0.2">
      <c r="A192" s="224" t="str">
        <f t="shared" si="4"/>
        <v>I-028-WS-43</v>
      </c>
      <c r="B192" s="224" t="str">
        <f t="shared" si="5"/>
        <v>I-028-10</v>
      </c>
      <c r="C192" s="45" t="s">
        <v>528</v>
      </c>
      <c r="D192" s="45">
        <v>10</v>
      </c>
      <c r="E192" s="45" t="s">
        <v>616</v>
      </c>
      <c r="F192" s="42" t="str">
        <f>_xlfn.XLOOKUP(E192, 'S11 Work Stations'!$A$2:$A$45, 'S11 Work Stations'!$B$2:$B$45, "NOT FOUND", 0)</f>
        <v>RAW-MAT-INV</v>
      </c>
      <c r="G192" s="45">
        <v>0</v>
      </c>
      <c r="H192" s="3">
        <v>200</v>
      </c>
    </row>
    <row r="193" spans="1:8" s="44" customFormat="1" x14ac:dyDescent="0.2">
      <c r="A193" s="224" t="str">
        <f t="shared" si="4"/>
        <v>I-028-WS-44</v>
      </c>
      <c r="B193" s="224" t="str">
        <f t="shared" si="5"/>
        <v>I-028-60</v>
      </c>
      <c r="C193" s="45" t="s">
        <v>528</v>
      </c>
      <c r="D193" s="45">
        <v>60</v>
      </c>
      <c r="E193" s="45" t="s">
        <v>617</v>
      </c>
      <c r="F193" s="42" t="str">
        <f>_xlfn.XLOOKUP(E193, 'S11 Work Stations'!$A$2:$A$45, 'S11 Work Stations'!$B$2:$B$45, "NOT FOUND", 0)</f>
        <v>FIN-GOOD-INV</v>
      </c>
      <c r="G193" s="45">
        <v>0</v>
      </c>
      <c r="H193" s="3">
        <v>200</v>
      </c>
    </row>
    <row r="194" spans="1:8" s="44" customFormat="1" x14ac:dyDescent="0.2">
      <c r="A194" s="224" t="str">
        <f t="shared" si="4"/>
        <v>I-029-WS-15</v>
      </c>
      <c r="B194" s="224" t="str">
        <f t="shared" si="5"/>
        <v>I-029-30</v>
      </c>
      <c r="C194" s="45" t="s">
        <v>529</v>
      </c>
      <c r="D194" s="45">
        <v>30</v>
      </c>
      <c r="E194" s="45" t="s">
        <v>588</v>
      </c>
      <c r="F194" s="42" t="str">
        <f>_xlfn.XLOOKUP(E194, 'S11 Work Stations'!$A$2:$A$45, 'S11 Work Stations'!$B$2:$B$45, "NOT FOUND", 0)</f>
        <v>TUR-6-Sp3-408</v>
      </c>
      <c r="G194" s="45">
        <v>420</v>
      </c>
      <c r="H194" s="3">
        <v>200</v>
      </c>
    </row>
    <row r="195" spans="1:8" s="44" customFormat="1" x14ac:dyDescent="0.2">
      <c r="A195" s="224" t="str">
        <f t="shared" ref="A195:A258" si="6">C195&amp;"-"&amp;E195</f>
        <v>I-029-WS-29</v>
      </c>
      <c r="B195" s="224" t="str">
        <f t="shared" ref="B195:B258" si="7">C195&amp;"-"&amp;D195</f>
        <v>I-029-40</v>
      </c>
      <c r="C195" s="45" t="s">
        <v>529</v>
      </c>
      <c r="D195" s="45">
        <v>40</v>
      </c>
      <c r="E195" s="45" t="s">
        <v>602</v>
      </c>
      <c r="F195" s="42" t="str">
        <f>_xlfn.XLOOKUP(E195, 'S11 Work Stations'!$A$2:$A$45, 'S11 Work Stations'!$B$2:$B$45, "NOT FOUND", 0)</f>
        <v>GR-T11-250</v>
      </c>
      <c r="G195" s="45">
        <v>360</v>
      </c>
      <c r="H195" s="3">
        <v>200</v>
      </c>
    </row>
    <row r="196" spans="1:8" s="44" customFormat="1" x14ac:dyDescent="0.2">
      <c r="A196" s="224" t="str">
        <f t="shared" si="6"/>
        <v>I-029-WS-41</v>
      </c>
      <c r="B196" s="224" t="str">
        <f t="shared" si="7"/>
        <v>I-029-20</v>
      </c>
      <c r="C196" s="45" t="s">
        <v>529</v>
      </c>
      <c r="D196" s="45">
        <v>20</v>
      </c>
      <c r="E196" s="45" t="s">
        <v>614</v>
      </c>
      <c r="F196" s="42" t="str">
        <f>_xlfn.XLOOKUP(E196, 'S11 Work Stations'!$A$2:$A$45, 'S11 Work Stations'!$B$2:$B$45, "NOT FOUND", 0)</f>
        <v>SAW-CNC-60-425</v>
      </c>
      <c r="G196" s="45">
        <v>120</v>
      </c>
      <c r="H196" s="3">
        <v>200</v>
      </c>
    </row>
    <row r="197" spans="1:8" s="44" customFormat="1" x14ac:dyDescent="0.2">
      <c r="A197" s="224" t="str">
        <f t="shared" si="6"/>
        <v>I-029-WS-43</v>
      </c>
      <c r="B197" s="224" t="str">
        <f t="shared" si="7"/>
        <v>I-029-10</v>
      </c>
      <c r="C197" s="45" t="s">
        <v>529</v>
      </c>
      <c r="D197" s="45">
        <v>10</v>
      </c>
      <c r="E197" s="45" t="s">
        <v>616</v>
      </c>
      <c r="F197" s="42" t="str">
        <f>_xlfn.XLOOKUP(E197, 'S11 Work Stations'!$A$2:$A$45, 'S11 Work Stations'!$B$2:$B$45, "NOT FOUND", 0)</f>
        <v>RAW-MAT-INV</v>
      </c>
      <c r="G197" s="45">
        <v>0</v>
      </c>
      <c r="H197" s="3">
        <v>200</v>
      </c>
    </row>
    <row r="198" spans="1:8" s="44" customFormat="1" x14ac:dyDescent="0.2">
      <c r="A198" s="224" t="str">
        <f t="shared" si="6"/>
        <v>I-029-WS-44</v>
      </c>
      <c r="B198" s="224" t="str">
        <f t="shared" si="7"/>
        <v>I-029-50</v>
      </c>
      <c r="C198" s="45" t="s">
        <v>529</v>
      </c>
      <c r="D198" s="45">
        <v>50</v>
      </c>
      <c r="E198" s="45" t="s">
        <v>617</v>
      </c>
      <c r="F198" s="42" t="str">
        <f>_xlfn.XLOOKUP(E198, 'S11 Work Stations'!$A$2:$A$45, 'S11 Work Stations'!$B$2:$B$45, "NOT FOUND", 0)</f>
        <v>FIN-GOOD-INV</v>
      </c>
      <c r="G198" s="45">
        <v>0</v>
      </c>
      <c r="H198" s="3">
        <v>200</v>
      </c>
    </row>
    <row r="199" spans="1:8" s="44" customFormat="1" x14ac:dyDescent="0.2">
      <c r="A199" s="224" t="str">
        <f t="shared" si="6"/>
        <v>I-030-WS-12</v>
      </c>
      <c r="B199" s="224" t="str">
        <f t="shared" si="7"/>
        <v>I-030-30</v>
      </c>
      <c r="C199" s="45" t="s">
        <v>530</v>
      </c>
      <c r="D199" s="45">
        <v>30</v>
      </c>
      <c r="E199" s="45" t="s">
        <v>585</v>
      </c>
      <c r="F199" s="42" t="str">
        <f>_xlfn.XLOOKUP(E199, 'S11 Work Stations'!$A$2:$A$45, 'S11 Work Stations'!$B$2:$B$45, "NOT FOUND", 0)</f>
        <v>TUR-15-250-405</v>
      </c>
      <c r="G199" s="45">
        <v>420</v>
      </c>
      <c r="H199" s="3">
        <v>200</v>
      </c>
    </row>
    <row r="200" spans="1:8" s="44" customFormat="1" x14ac:dyDescent="0.2">
      <c r="A200" s="224" t="str">
        <f t="shared" si="6"/>
        <v>I-030-WS-28</v>
      </c>
      <c r="B200" s="224" t="str">
        <f t="shared" si="7"/>
        <v>I-030-40</v>
      </c>
      <c r="C200" s="45" t="s">
        <v>530</v>
      </c>
      <c r="D200" s="45">
        <v>40</v>
      </c>
      <c r="E200" s="45" t="s">
        <v>601</v>
      </c>
      <c r="F200" s="42" t="str">
        <f>_xlfn.XLOOKUP(E200, 'S11 Work Stations'!$A$2:$A$45, 'S11 Work Stations'!$B$2:$B$45, "NOT FOUND", 0)</f>
        <v>DR-T3-204</v>
      </c>
      <c r="G200" s="45">
        <v>300</v>
      </c>
      <c r="H200" s="3">
        <v>200</v>
      </c>
    </row>
    <row r="201" spans="1:8" s="44" customFormat="1" x14ac:dyDescent="0.2">
      <c r="A201" s="224" t="str">
        <f t="shared" si="6"/>
        <v>I-030-WS-41</v>
      </c>
      <c r="B201" s="224" t="str">
        <f t="shared" si="7"/>
        <v>I-030-20</v>
      </c>
      <c r="C201" s="45" t="s">
        <v>530</v>
      </c>
      <c r="D201" s="45">
        <v>20</v>
      </c>
      <c r="E201" s="45" t="s">
        <v>614</v>
      </c>
      <c r="F201" s="42" t="str">
        <f>_xlfn.XLOOKUP(E201, 'S11 Work Stations'!$A$2:$A$45, 'S11 Work Stations'!$B$2:$B$45, "NOT FOUND", 0)</f>
        <v>SAW-CNC-60-425</v>
      </c>
      <c r="G201" s="45">
        <v>60</v>
      </c>
      <c r="H201" s="3">
        <v>200</v>
      </c>
    </row>
    <row r="202" spans="1:8" s="44" customFormat="1" x14ac:dyDescent="0.2">
      <c r="A202" s="224" t="str">
        <f t="shared" si="6"/>
        <v>I-030-WS-43</v>
      </c>
      <c r="B202" s="224" t="str">
        <f t="shared" si="7"/>
        <v>I-030-10</v>
      </c>
      <c r="C202" s="45" t="s">
        <v>530</v>
      </c>
      <c r="D202" s="45">
        <v>10</v>
      </c>
      <c r="E202" s="45" t="s">
        <v>616</v>
      </c>
      <c r="F202" s="42" t="str">
        <f>_xlfn.XLOOKUP(E202, 'S11 Work Stations'!$A$2:$A$45, 'S11 Work Stations'!$B$2:$B$45, "NOT FOUND", 0)</f>
        <v>RAW-MAT-INV</v>
      </c>
      <c r="G202" s="45">
        <v>0</v>
      </c>
      <c r="H202" s="3">
        <v>200</v>
      </c>
    </row>
    <row r="203" spans="1:8" s="44" customFormat="1" x14ac:dyDescent="0.2">
      <c r="A203" s="224" t="str">
        <f t="shared" si="6"/>
        <v>I-030-WS-44</v>
      </c>
      <c r="B203" s="224" t="str">
        <f t="shared" si="7"/>
        <v>I-030-50</v>
      </c>
      <c r="C203" s="45" t="s">
        <v>530</v>
      </c>
      <c r="D203" s="45">
        <v>50</v>
      </c>
      <c r="E203" s="45" t="s">
        <v>617</v>
      </c>
      <c r="F203" s="42" t="str">
        <f>_xlfn.XLOOKUP(E203, 'S11 Work Stations'!$A$2:$A$45, 'S11 Work Stations'!$B$2:$B$45, "NOT FOUND", 0)</f>
        <v>FIN-GOOD-INV</v>
      </c>
      <c r="G203" s="45">
        <v>0</v>
      </c>
      <c r="H203" s="3">
        <v>200</v>
      </c>
    </row>
    <row r="204" spans="1:8" s="44" customFormat="1" x14ac:dyDescent="0.2">
      <c r="A204" s="224" t="str">
        <f t="shared" si="6"/>
        <v>I-031-WS-15</v>
      </c>
      <c r="B204" s="224" t="str">
        <f t="shared" si="7"/>
        <v>I-031-30</v>
      </c>
      <c r="C204" s="45" t="s">
        <v>531</v>
      </c>
      <c r="D204" s="45">
        <v>30</v>
      </c>
      <c r="E204" s="45" t="s">
        <v>588</v>
      </c>
      <c r="F204" s="42" t="str">
        <f>_xlfn.XLOOKUP(E204, 'S11 Work Stations'!$A$2:$A$45, 'S11 Work Stations'!$B$2:$B$45, "NOT FOUND", 0)</f>
        <v>TUR-6-Sp3-408</v>
      </c>
      <c r="G204" s="45">
        <v>480</v>
      </c>
      <c r="H204" s="3">
        <v>200</v>
      </c>
    </row>
    <row r="205" spans="1:8" s="44" customFormat="1" x14ac:dyDescent="0.2">
      <c r="A205" s="224" t="str">
        <f t="shared" si="6"/>
        <v>I-031-WS-25</v>
      </c>
      <c r="B205" s="224" t="str">
        <f t="shared" si="7"/>
        <v>I-031-50</v>
      </c>
      <c r="C205" s="45" t="s">
        <v>531</v>
      </c>
      <c r="D205" s="45">
        <v>50</v>
      </c>
      <c r="E205" s="45" t="s">
        <v>598</v>
      </c>
      <c r="F205" s="42" t="str">
        <f>_xlfn.XLOOKUP(E205, 'S11 Work Stations'!$A$2:$A$45, 'S11 Work Stations'!$B$2:$B$45, "NOT FOUND", 0)</f>
        <v>DR-2A-201</v>
      </c>
      <c r="G205" s="45">
        <v>780</v>
      </c>
      <c r="H205" s="3">
        <v>200</v>
      </c>
    </row>
    <row r="206" spans="1:8" s="44" customFormat="1" x14ac:dyDescent="0.2">
      <c r="A206" s="224" t="str">
        <f t="shared" si="6"/>
        <v>I-031-WS-29</v>
      </c>
      <c r="B206" s="224" t="str">
        <f t="shared" si="7"/>
        <v>I-031-40</v>
      </c>
      <c r="C206" s="45" t="s">
        <v>531</v>
      </c>
      <c r="D206" s="45">
        <v>40</v>
      </c>
      <c r="E206" s="45" t="s">
        <v>602</v>
      </c>
      <c r="F206" s="42" t="str">
        <f>_xlfn.XLOOKUP(E206, 'S11 Work Stations'!$A$2:$A$45, 'S11 Work Stations'!$B$2:$B$45, "NOT FOUND", 0)</f>
        <v>GR-T11-250</v>
      </c>
      <c r="G206" s="45">
        <v>300</v>
      </c>
      <c r="H206" s="3">
        <v>200</v>
      </c>
    </row>
    <row r="207" spans="1:8" s="44" customFormat="1" x14ac:dyDescent="0.2">
      <c r="A207" s="224" t="str">
        <f t="shared" si="6"/>
        <v>I-031-WS-41</v>
      </c>
      <c r="B207" s="224" t="str">
        <f t="shared" si="7"/>
        <v>I-031-20</v>
      </c>
      <c r="C207" s="45" t="s">
        <v>531</v>
      </c>
      <c r="D207" s="45">
        <v>20</v>
      </c>
      <c r="E207" s="45" t="s">
        <v>614</v>
      </c>
      <c r="F207" s="42" t="str">
        <f>_xlfn.XLOOKUP(E207, 'S11 Work Stations'!$A$2:$A$45, 'S11 Work Stations'!$B$2:$B$45, "NOT FOUND", 0)</f>
        <v>SAW-CNC-60-425</v>
      </c>
      <c r="G207" s="45">
        <v>60</v>
      </c>
      <c r="H207" s="3">
        <v>200</v>
      </c>
    </row>
    <row r="208" spans="1:8" s="44" customFormat="1" x14ac:dyDescent="0.2">
      <c r="A208" s="224" t="str">
        <f t="shared" si="6"/>
        <v>I-031-WS-42</v>
      </c>
      <c r="B208" s="224" t="str">
        <f t="shared" si="7"/>
        <v>I-031-60</v>
      </c>
      <c r="C208" s="45" t="s">
        <v>531</v>
      </c>
      <c r="D208" s="45">
        <v>60</v>
      </c>
      <c r="E208" s="45" t="s">
        <v>615</v>
      </c>
      <c r="F208" s="42" t="str">
        <f>_xlfn.XLOOKUP(E208, 'S11 Work Stations'!$A$2:$A$45, 'S11 Work Stations'!$B$2:$B$45, "NOT FOUND", 0)</f>
        <v>TEMP-A01-202</v>
      </c>
      <c r="G208" s="45">
        <v>300</v>
      </c>
      <c r="H208" s="3">
        <v>200</v>
      </c>
    </row>
    <row r="209" spans="1:8" s="44" customFormat="1" x14ac:dyDescent="0.2">
      <c r="A209" s="224" t="str">
        <f t="shared" si="6"/>
        <v>I-031-WS-43</v>
      </c>
      <c r="B209" s="224" t="str">
        <f t="shared" si="7"/>
        <v>I-031-10</v>
      </c>
      <c r="C209" s="45" t="s">
        <v>531</v>
      </c>
      <c r="D209" s="45">
        <v>10</v>
      </c>
      <c r="E209" s="45" t="s">
        <v>616</v>
      </c>
      <c r="F209" s="42" t="str">
        <f>_xlfn.XLOOKUP(E209, 'S11 Work Stations'!$A$2:$A$45, 'S11 Work Stations'!$B$2:$B$45, "NOT FOUND", 0)</f>
        <v>RAW-MAT-INV</v>
      </c>
      <c r="G209" s="45">
        <v>0</v>
      </c>
      <c r="H209" s="3">
        <v>200</v>
      </c>
    </row>
    <row r="210" spans="1:8" s="44" customFormat="1" x14ac:dyDescent="0.2">
      <c r="A210" s="224" t="str">
        <f t="shared" si="6"/>
        <v>I-031-WS-44</v>
      </c>
      <c r="B210" s="224" t="str">
        <f t="shared" si="7"/>
        <v>I-031-70</v>
      </c>
      <c r="C210" s="45" t="s">
        <v>531</v>
      </c>
      <c r="D210" s="45">
        <v>70</v>
      </c>
      <c r="E210" s="45" t="s">
        <v>617</v>
      </c>
      <c r="F210" s="42" t="str">
        <f>_xlfn.XLOOKUP(E210, 'S11 Work Stations'!$A$2:$A$45, 'S11 Work Stations'!$B$2:$B$45, "NOT FOUND", 0)</f>
        <v>FIN-GOOD-INV</v>
      </c>
      <c r="G210" s="45">
        <v>0</v>
      </c>
      <c r="H210" s="3">
        <v>200</v>
      </c>
    </row>
    <row r="211" spans="1:8" s="44" customFormat="1" x14ac:dyDescent="0.2">
      <c r="A211" s="224" t="str">
        <f t="shared" si="6"/>
        <v>I-032-WS-15</v>
      </c>
      <c r="B211" s="224" t="str">
        <f t="shared" si="7"/>
        <v>I-032-30</v>
      </c>
      <c r="C211" s="45" t="s">
        <v>532</v>
      </c>
      <c r="D211" s="45">
        <v>30</v>
      </c>
      <c r="E211" s="45" t="s">
        <v>588</v>
      </c>
      <c r="F211" s="42" t="str">
        <f>_xlfn.XLOOKUP(E211, 'S11 Work Stations'!$A$2:$A$45, 'S11 Work Stations'!$B$2:$B$45, "NOT FOUND", 0)</f>
        <v>TUR-6-Sp3-408</v>
      </c>
      <c r="G211" s="45">
        <v>180</v>
      </c>
      <c r="H211" s="3">
        <v>200</v>
      </c>
    </row>
    <row r="212" spans="1:8" s="44" customFormat="1" x14ac:dyDescent="0.2">
      <c r="A212" s="224" t="str">
        <f t="shared" si="6"/>
        <v>I-032-WS-27</v>
      </c>
      <c r="B212" s="224" t="str">
        <f t="shared" si="7"/>
        <v>I-032-40</v>
      </c>
      <c r="C212" s="45" t="s">
        <v>532</v>
      </c>
      <c r="D212" s="45">
        <v>40</v>
      </c>
      <c r="E212" s="45" t="s">
        <v>600</v>
      </c>
      <c r="F212" s="42" t="str">
        <f>_xlfn.XLOOKUP(E212, 'S11 Work Stations'!$A$2:$A$45, 'S11 Work Stations'!$B$2:$B$45, "NOT FOUND", 0)</f>
        <v>GR-T1-203</v>
      </c>
      <c r="G212" s="45">
        <v>360</v>
      </c>
      <c r="H212" s="3">
        <v>200</v>
      </c>
    </row>
    <row r="213" spans="1:8" s="44" customFormat="1" x14ac:dyDescent="0.2">
      <c r="A213" s="224" t="str">
        <f t="shared" si="6"/>
        <v>I-032-WS-41</v>
      </c>
      <c r="B213" s="224" t="str">
        <f t="shared" si="7"/>
        <v>I-032-20</v>
      </c>
      <c r="C213" s="45" t="s">
        <v>532</v>
      </c>
      <c r="D213" s="45">
        <v>20</v>
      </c>
      <c r="E213" s="45" t="s">
        <v>614</v>
      </c>
      <c r="F213" s="42" t="str">
        <f>_xlfn.XLOOKUP(E213, 'S11 Work Stations'!$A$2:$A$45, 'S11 Work Stations'!$B$2:$B$45, "NOT FOUND", 0)</f>
        <v>SAW-CNC-60-425</v>
      </c>
      <c r="G213" s="45">
        <v>60</v>
      </c>
      <c r="H213" s="3">
        <v>200</v>
      </c>
    </row>
    <row r="214" spans="1:8" s="44" customFormat="1" x14ac:dyDescent="0.2">
      <c r="A214" s="224" t="str">
        <f t="shared" si="6"/>
        <v>I-032-WS-43</v>
      </c>
      <c r="B214" s="224" t="str">
        <f t="shared" si="7"/>
        <v>I-032-10</v>
      </c>
      <c r="C214" s="45" t="s">
        <v>532</v>
      </c>
      <c r="D214" s="45">
        <v>10</v>
      </c>
      <c r="E214" s="45" t="s">
        <v>616</v>
      </c>
      <c r="F214" s="42" t="str">
        <f>_xlfn.XLOOKUP(E214, 'S11 Work Stations'!$A$2:$A$45, 'S11 Work Stations'!$B$2:$B$45, "NOT FOUND", 0)</f>
        <v>RAW-MAT-INV</v>
      </c>
      <c r="G214" s="45">
        <v>0</v>
      </c>
      <c r="H214" s="3">
        <v>200</v>
      </c>
    </row>
    <row r="215" spans="1:8" s="44" customFormat="1" x14ac:dyDescent="0.2">
      <c r="A215" s="224" t="str">
        <f t="shared" si="6"/>
        <v>I-032-WS-44</v>
      </c>
      <c r="B215" s="224" t="str">
        <f t="shared" si="7"/>
        <v>I-032-50</v>
      </c>
      <c r="C215" s="45" t="s">
        <v>532</v>
      </c>
      <c r="D215" s="45">
        <v>50</v>
      </c>
      <c r="E215" s="45" t="s">
        <v>617</v>
      </c>
      <c r="F215" s="42" t="str">
        <f>_xlfn.XLOOKUP(E215, 'S11 Work Stations'!$A$2:$A$45, 'S11 Work Stations'!$B$2:$B$45, "NOT FOUND", 0)</f>
        <v>FIN-GOOD-INV</v>
      </c>
      <c r="G215" s="45">
        <v>0</v>
      </c>
      <c r="H215" s="3">
        <v>200</v>
      </c>
    </row>
    <row r="216" spans="1:8" s="44" customFormat="1" x14ac:dyDescent="0.2">
      <c r="A216" s="224" t="str">
        <f t="shared" si="6"/>
        <v>I-033-WS-16</v>
      </c>
      <c r="B216" s="224" t="str">
        <f t="shared" si="7"/>
        <v>I-033-30</v>
      </c>
      <c r="C216" s="45" t="s">
        <v>533</v>
      </c>
      <c r="D216" s="45">
        <v>30</v>
      </c>
      <c r="E216" s="45" t="s">
        <v>589</v>
      </c>
      <c r="F216" s="42" t="str">
        <f>_xlfn.XLOOKUP(E216, 'S11 Work Stations'!$A$2:$A$45, 'S11 Work Stations'!$B$2:$B$45, "NOT FOUND", 0)</f>
        <v>TUR-6-Sp4-409</v>
      </c>
      <c r="G216" s="45">
        <v>540</v>
      </c>
      <c r="H216" s="3">
        <v>200</v>
      </c>
    </row>
    <row r="217" spans="1:8" s="44" customFormat="1" x14ac:dyDescent="0.2">
      <c r="A217" s="224" t="str">
        <f t="shared" si="6"/>
        <v>I-033-WS-25</v>
      </c>
      <c r="B217" s="224" t="str">
        <f t="shared" si="7"/>
        <v>I-033-50</v>
      </c>
      <c r="C217" s="45" t="s">
        <v>533</v>
      </c>
      <c r="D217" s="45">
        <v>50</v>
      </c>
      <c r="E217" s="45" t="s">
        <v>598</v>
      </c>
      <c r="F217" s="42" t="str">
        <f>_xlfn.XLOOKUP(E217, 'S11 Work Stations'!$A$2:$A$45, 'S11 Work Stations'!$B$2:$B$45, "NOT FOUND", 0)</f>
        <v>DR-2A-201</v>
      </c>
      <c r="G217" s="45">
        <v>480</v>
      </c>
      <c r="H217" s="3">
        <v>200</v>
      </c>
    </row>
    <row r="218" spans="1:8" s="44" customFormat="1" x14ac:dyDescent="0.2">
      <c r="A218" s="224" t="str">
        <f t="shared" si="6"/>
        <v>I-033-WS-27</v>
      </c>
      <c r="B218" s="224" t="str">
        <f t="shared" si="7"/>
        <v>I-033-40</v>
      </c>
      <c r="C218" s="45" t="s">
        <v>533</v>
      </c>
      <c r="D218" s="45">
        <v>40</v>
      </c>
      <c r="E218" s="45" t="s">
        <v>600</v>
      </c>
      <c r="F218" s="42" t="str">
        <f>_xlfn.XLOOKUP(E218, 'S11 Work Stations'!$A$2:$A$45, 'S11 Work Stations'!$B$2:$B$45, "NOT FOUND", 0)</f>
        <v>GR-T1-203</v>
      </c>
      <c r="G218" s="45">
        <v>360</v>
      </c>
      <c r="H218" s="3">
        <v>200</v>
      </c>
    </row>
    <row r="219" spans="1:8" s="44" customFormat="1" x14ac:dyDescent="0.2">
      <c r="A219" s="224" t="str">
        <f t="shared" si="6"/>
        <v>I-033-WS-41</v>
      </c>
      <c r="B219" s="224" t="str">
        <f t="shared" si="7"/>
        <v>I-033-20</v>
      </c>
      <c r="C219" s="45" t="s">
        <v>533</v>
      </c>
      <c r="D219" s="45">
        <v>20</v>
      </c>
      <c r="E219" s="45" t="s">
        <v>614</v>
      </c>
      <c r="F219" s="42" t="str">
        <f>_xlfn.XLOOKUP(E219, 'S11 Work Stations'!$A$2:$A$45, 'S11 Work Stations'!$B$2:$B$45, "NOT FOUND", 0)</f>
        <v>SAW-CNC-60-425</v>
      </c>
      <c r="G219" s="45">
        <v>60</v>
      </c>
      <c r="H219" s="3">
        <v>200</v>
      </c>
    </row>
    <row r="220" spans="1:8" s="44" customFormat="1" x14ac:dyDescent="0.2">
      <c r="A220" s="224" t="str">
        <f t="shared" si="6"/>
        <v>I-033-WS-42</v>
      </c>
      <c r="B220" s="224" t="str">
        <f t="shared" si="7"/>
        <v>I-033-60</v>
      </c>
      <c r="C220" s="45" t="s">
        <v>533</v>
      </c>
      <c r="D220" s="45">
        <v>60</v>
      </c>
      <c r="E220" s="45" t="s">
        <v>615</v>
      </c>
      <c r="F220" s="42" t="str">
        <f>_xlfn.XLOOKUP(E220, 'S11 Work Stations'!$A$2:$A$45, 'S11 Work Stations'!$B$2:$B$45, "NOT FOUND", 0)</f>
        <v>TEMP-A01-202</v>
      </c>
      <c r="G220" s="45">
        <v>300</v>
      </c>
      <c r="H220" s="3">
        <v>200</v>
      </c>
    </row>
    <row r="221" spans="1:8" s="44" customFormat="1" x14ac:dyDescent="0.2">
      <c r="A221" s="224" t="str">
        <f t="shared" si="6"/>
        <v>I-033-WS-43</v>
      </c>
      <c r="B221" s="224" t="str">
        <f t="shared" si="7"/>
        <v>I-033-10</v>
      </c>
      <c r="C221" s="45" t="s">
        <v>533</v>
      </c>
      <c r="D221" s="45">
        <v>10</v>
      </c>
      <c r="E221" s="45" t="s">
        <v>616</v>
      </c>
      <c r="F221" s="42" t="str">
        <f>_xlfn.XLOOKUP(E221, 'S11 Work Stations'!$A$2:$A$45, 'S11 Work Stations'!$B$2:$B$45, "NOT FOUND", 0)</f>
        <v>RAW-MAT-INV</v>
      </c>
      <c r="G221" s="45">
        <v>0</v>
      </c>
      <c r="H221" s="3">
        <v>200</v>
      </c>
    </row>
    <row r="222" spans="1:8" s="44" customFormat="1" x14ac:dyDescent="0.2">
      <c r="A222" s="224" t="str">
        <f t="shared" si="6"/>
        <v>I-033-WS-44</v>
      </c>
      <c r="B222" s="224" t="str">
        <f t="shared" si="7"/>
        <v>I-033-70</v>
      </c>
      <c r="C222" s="45" t="s">
        <v>533</v>
      </c>
      <c r="D222" s="45">
        <v>70</v>
      </c>
      <c r="E222" s="45" t="s">
        <v>617</v>
      </c>
      <c r="F222" s="42" t="str">
        <f>_xlfn.XLOOKUP(E222, 'S11 Work Stations'!$A$2:$A$45, 'S11 Work Stations'!$B$2:$B$45, "NOT FOUND", 0)</f>
        <v>FIN-GOOD-INV</v>
      </c>
      <c r="G222" s="45">
        <v>0</v>
      </c>
      <c r="H222" s="3">
        <v>200</v>
      </c>
    </row>
    <row r="223" spans="1:8" s="44" customFormat="1" x14ac:dyDescent="0.2">
      <c r="A223" s="224" t="str">
        <f t="shared" si="6"/>
        <v>I-034-WS-16</v>
      </c>
      <c r="B223" s="224" t="str">
        <f t="shared" si="7"/>
        <v>I-034-30</v>
      </c>
      <c r="C223" s="45" t="s">
        <v>534</v>
      </c>
      <c r="D223" s="45">
        <v>30</v>
      </c>
      <c r="E223" s="45" t="s">
        <v>589</v>
      </c>
      <c r="F223" s="42" t="str">
        <f>_xlfn.XLOOKUP(E223, 'S11 Work Stations'!$A$2:$A$45, 'S11 Work Stations'!$B$2:$B$45, "NOT FOUND", 0)</f>
        <v>TUR-6-Sp4-409</v>
      </c>
      <c r="G223" s="45">
        <v>540</v>
      </c>
      <c r="H223" s="3">
        <v>200</v>
      </c>
    </row>
    <row r="224" spans="1:8" s="44" customFormat="1" x14ac:dyDescent="0.2">
      <c r="A224" s="224" t="str">
        <f t="shared" si="6"/>
        <v>I-034-WS-27</v>
      </c>
      <c r="B224" s="224" t="str">
        <f t="shared" si="7"/>
        <v>I-034-40</v>
      </c>
      <c r="C224" s="45" t="s">
        <v>534</v>
      </c>
      <c r="D224" s="45">
        <v>40</v>
      </c>
      <c r="E224" s="45" t="s">
        <v>600</v>
      </c>
      <c r="F224" s="42" t="str">
        <f>_xlfn.XLOOKUP(E224, 'S11 Work Stations'!$A$2:$A$45, 'S11 Work Stations'!$B$2:$B$45, "NOT FOUND", 0)</f>
        <v>GR-T1-203</v>
      </c>
      <c r="G224" s="45">
        <v>360</v>
      </c>
      <c r="H224" s="3">
        <v>200</v>
      </c>
    </row>
    <row r="225" spans="1:8" s="44" customFormat="1" x14ac:dyDescent="0.2">
      <c r="A225" s="224" t="str">
        <f t="shared" si="6"/>
        <v>I-034-WS-35</v>
      </c>
      <c r="B225" s="224" t="str">
        <f t="shared" si="7"/>
        <v>I-034-50</v>
      </c>
      <c r="C225" s="45" t="s">
        <v>534</v>
      </c>
      <c r="D225" s="45">
        <v>50</v>
      </c>
      <c r="E225" s="45" t="s">
        <v>608</v>
      </c>
      <c r="F225" s="42" t="str">
        <f>_xlfn.XLOOKUP(E225, 'S11 Work Stations'!$A$2:$A$45, 'S11 Work Stations'!$B$2:$B$45, "NOT FOUND", 0)</f>
        <v>SAW-35-100-254</v>
      </c>
      <c r="G225" s="45">
        <v>720</v>
      </c>
      <c r="H225" s="3">
        <v>200</v>
      </c>
    </row>
    <row r="226" spans="1:8" s="44" customFormat="1" x14ac:dyDescent="0.2">
      <c r="A226" s="224" t="str">
        <f t="shared" si="6"/>
        <v>I-034-WS-41</v>
      </c>
      <c r="B226" s="224" t="str">
        <f t="shared" si="7"/>
        <v>I-034-20</v>
      </c>
      <c r="C226" s="45" t="s">
        <v>534</v>
      </c>
      <c r="D226" s="45">
        <v>20</v>
      </c>
      <c r="E226" s="45" t="s">
        <v>614</v>
      </c>
      <c r="F226" s="42" t="str">
        <f>_xlfn.XLOOKUP(E226, 'S11 Work Stations'!$A$2:$A$45, 'S11 Work Stations'!$B$2:$B$45, "NOT FOUND", 0)</f>
        <v>SAW-CNC-60-425</v>
      </c>
      <c r="G226" s="45">
        <v>60</v>
      </c>
      <c r="H226" s="3">
        <v>200</v>
      </c>
    </row>
    <row r="227" spans="1:8" s="44" customFormat="1" x14ac:dyDescent="0.2">
      <c r="A227" s="224" t="str">
        <f t="shared" si="6"/>
        <v>I-034-WS-42</v>
      </c>
      <c r="B227" s="224" t="str">
        <f t="shared" si="7"/>
        <v>I-034-60</v>
      </c>
      <c r="C227" s="45" t="s">
        <v>534</v>
      </c>
      <c r="D227" s="45">
        <v>60</v>
      </c>
      <c r="E227" s="45" t="s">
        <v>615</v>
      </c>
      <c r="F227" s="42" t="str">
        <f>_xlfn.XLOOKUP(E227, 'S11 Work Stations'!$A$2:$A$45, 'S11 Work Stations'!$B$2:$B$45, "NOT FOUND", 0)</f>
        <v>TEMP-A01-202</v>
      </c>
      <c r="G227" s="45">
        <v>300</v>
      </c>
      <c r="H227" s="3">
        <v>200</v>
      </c>
    </row>
    <row r="228" spans="1:8" s="44" customFormat="1" x14ac:dyDescent="0.2">
      <c r="A228" s="224" t="str">
        <f t="shared" si="6"/>
        <v>I-034-WS-43</v>
      </c>
      <c r="B228" s="224" t="str">
        <f t="shared" si="7"/>
        <v>I-034-10</v>
      </c>
      <c r="C228" s="45" t="s">
        <v>534</v>
      </c>
      <c r="D228" s="45">
        <v>10</v>
      </c>
      <c r="E228" s="45" t="s">
        <v>616</v>
      </c>
      <c r="F228" s="42" t="str">
        <f>_xlfn.XLOOKUP(E228, 'S11 Work Stations'!$A$2:$A$45, 'S11 Work Stations'!$B$2:$B$45, "NOT FOUND", 0)</f>
        <v>RAW-MAT-INV</v>
      </c>
      <c r="G228" s="45">
        <v>0</v>
      </c>
      <c r="H228" s="3">
        <v>200</v>
      </c>
    </row>
    <row r="229" spans="1:8" s="44" customFormat="1" x14ac:dyDescent="0.2">
      <c r="A229" s="224" t="str">
        <f t="shared" si="6"/>
        <v>I-034-WS-44</v>
      </c>
      <c r="B229" s="224" t="str">
        <f t="shared" si="7"/>
        <v>I-034-70</v>
      </c>
      <c r="C229" s="45" t="s">
        <v>534</v>
      </c>
      <c r="D229" s="45">
        <v>70</v>
      </c>
      <c r="E229" s="45" t="s">
        <v>617</v>
      </c>
      <c r="F229" s="42" t="str">
        <f>_xlfn.XLOOKUP(E229, 'S11 Work Stations'!$A$2:$A$45, 'S11 Work Stations'!$B$2:$B$45, "NOT FOUND", 0)</f>
        <v>FIN-GOOD-INV</v>
      </c>
      <c r="G229" s="45">
        <v>0</v>
      </c>
      <c r="H229" s="3">
        <v>200</v>
      </c>
    </row>
    <row r="230" spans="1:8" s="44" customFormat="1" x14ac:dyDescent="0.2">
      <c r="A230" s="224" t="str">
        <f t="shared" si="6"/>
        <v>I-035-WS-07</v>
      </c>
      <c r="B230" s="224" t="str">
        <f t="shared" si="7"/>
        <v>I-035-30</v>
      </c>
      <c r="C230" s="45" t="s">
        <v>535</v>
      </c>
      <c r="D230" s="45">
        <v>30</v>
      </c>
      <c r="E230" s="45" t="s">
        <v>580</v>
      </c>
      <c r="F230" s="42" t="str">
        <f>_xlfn.XLOOKUP(E230, 'S11 Work Stations'!$A$2:$A$45, 'S11 Work Stations'!$B$2:$B$45, "NOT FOUND", 0)</f>
        <v>TUR-C2-367</v>
      </c>
      <c r="G230" s="45">
        <v>420</v>
      </c>
      <c r="H230" s="3">
        <v>200</v>
      </c>
    </row>
    <row r="231" spans="1:8" s="44" customFormat="1" x14ac:dyDescent="0.2">
      <c r="A231" s="224" t="str">
        <f t="shared" si="6"/>
        <v>I-035-WS-25</v>
      </c>
      <c r="B231" s="224" t="str">
        <f t="shared" si="7"/>
        <v>I-035-40</v>
      </c>
      <c r="C231" s="45" t="s">
        <v>535</v>
      </c>
      <c r="D231" s="45">
        <v>40</v>
      </c>
      <c r="E231" s="45" t="s">
        <v>598</v>
      </c>
      <c r="F231" s="42" t="str">
        <f>_xlfn.XLOOKUP(E231, 'S11 Work Stations'!$A$2:$A$45, 'S11 Work Stations'!$B$2:$B$45, "NOT FOUND", 0)</f>
        <v>DR-2A-201</v>
      </c>
      <c r="G231" s="45">
        <v>480</v>
      </c>
      <c r="H231" s="3">
        <v>200</v>
      </c>
    </row>
    <row r="232" spans="1:8" s="44" customFormat="1" x14ac:dyDescent="0.2">
      <c r="A232" s="224" t="str">
        <f t="shared" si="6"/>
        <v>I-035-WS-35</v>
      </c>
      <c r="B232" s="224" t="str">
        <f t="shared" si="7"/>
        <v>I-035-50</v>
      </c>
      <c r="C232" s="45" t="s">
        <v>535</v>
      </c>
      <c r="D232" s="45">
        <v>50</v>
      </c>
      <c r="E232" s="45" t="s">
        <v>608</v>
      </c>
      <c r="F232" s="42" t="str">
        <f>_xlfn.XLOOKUP(E232, 'S11 Work Stations'!$A$2:$A$45, 'S11 Work Stations'!$B$2:$B$45, "NOT FOUND", 0)</f>
        <v>SAW-35-100-254</v>
      </c>
      <c r="G232" s="45">
        <v>720</v>
      </c>
      <c r="H232" s="3">
        <v>200</v>
      </c>
    </row>
    <row r="233" spans="1:8" s="44" customFormat="1" x14ac:dyDescent="0.2">
      <c r="A233" s="224" t="str">
        <f t="shared" si="6"/>
        <v>I-035-WS-38</v>
      </c>
      <c r="B233" s="224" t="str">
        <f t="shared" si="7"/>
        <v>I-035-20</v>
      </c>
      <c r="C233" s="45" t="s">
        <v>535</v>
      </c>
      <c r="D233" s="45">
        <v>20</v>
      </c>
      <c r="E233" s="45" t="s">
        <v>611</v>
      </c>
      <c r="F233" s="42" t="str">
        <f>_xlfn.XLOOKUP(E233, 'S11 Work Stations'!$A$2:$A$45, 'S11 Work Stations'!$B$2:$B$45, "NOT FOUND", 0)</f>
        <v>SAW-150-423</v>
      </c>
      <c r="G233" s="45">
        <v>120</v>
      </c>
      <c r="H233" s="3">
        <v>200</v>
      </c>
    </row>
    <row r="234" spans="1:8" s="44" customFormat="1" x14ac:dyDescent="0.2">
      <c r="A234" s="224" t="str">
        <f t="shared" si="6"/>
        <v>I-035-WS-43</v>
      </c>
      <c r="B234" s="224" t="str">
        <f t="shared" si="7"/>
        <v>I-035-10</v>
      </c>
      <c r="C234" s="45" t="s">
        <v>535</v>
      </c>
      <c r="D234" s="45">
        <v>10</v>
      </c>
      <c r="E234" s="45" t="s">
        <v>616</v>
      </c>
      <c r="F234" s="42" t="str">
        <f>_xlfn.XLOOKUP(E234, 'S11 Work Stations'!$A$2:$A$45, 'S11 Work Stations'!$B$2:$B$45, "NOT FOUND", 0)</f>
        <v>RAW-MAT-INV</v>
      </c>
      <c r="G234" s="45">
        <v>0</v>
      </c>
      <c r="H234" s="3">
        <v>200</v>
      </c>
    </row>
    <row r="235" spans="1:8" s="44" customFormat="1" x14ac:dyDescent="0.2">
      <c r="A235" s="224" t="str">
        <f t="shared" si="6"/>
        <v>I-035-WS-44</v>
      </c>
      <c r="B235" s="224" t="str">
        <f t="shared" si="7"/>
        <v>I-035-60</v>
      </c>
      <c r="C235" s="45" t="s">
        <v>535</v>
      </c>
      <c r="D235" s="45">
        <v>60</v>
      </c>
      <c r="E235" s="45" t="s">
        <v>617</v>
      </c>
      <c r="F235" s="42" t="str">
        <f>_xlfn.XLOOKUP(E235, 'S11 Work Stations'!$A$2:$A$45, 'S11 Work Stations'!$B$2:$B$45, "NOT FOUND", 0)</f>
        <v>FIN-GOOD-INV</v>
      </c>
      <c r="G235" s="45">
        <v>0</v>
      </c>
      <c r="H235" s="3">
        <v>200</v>
      </c>
    </row>
    <row r="236" spans="1:8" s="44" customFormat="1" x14ac:dyDescent="0.2">
      <c r="A236" s="224" t="str">
        <f t="shared" si="6"/>
        <v>I-036-WS-07</v>
      </c>
      <c r="B236" s="224" t="str">
        <f t="shared" si="7"/>
        <v>I-036-30</v>
      </c>
      <c r="C236" s="45" t="s">
        <v>536</v>
      </c>
      <c r="D236" s="45">
        <v>30</v>
      </c>
      <c r="E236" s="45" t="s">
        <v>580</v>
      </c>
      <c r="F236" s="42" t="str">
        <f>_xlfn.XLOOKUP(E236, 'S11 Work Stations'!$A$2:$A$45, 'S11 Work Stations'!$B$2:$B$45, "NOT FOUND", 0)</f>
        <v>TUR-C2-367</v>
      </c>
      <c r="G236" s="45">
        <v>240</v>
      </c>
      <c r="H236" s="3">
        <v>200</v>
      </c>
    </row>
    <row r="237" spans="1:8" s="44" customFormat="1" x14ac:dyDescent="0.2">
      <c r="A237" s="224" t="str">
        <f t="shared" si="6"/>
        <v>I-036-WS-31</v>
      </c>
      <c r="B237" s="224" t="str">
        <f t="shared" si="7"/>
        <v>I-036-40</v>
      </c>
      <c r="C237" s="45" t="s">
        <v>536</v>
      </c>
      <c r="D237" s="45">
        <v>40</v>
      </c>
      <c r="E237" s="45" t="s">
        <v>604</v>
      </c>
      <c r="F237" s="42" t="str">
        <f>_xlfn.XLOOKUP(E237, 'S11 Work Stations'!$A$2:$A$45, 'S11 Work Stations'!$B$2:$B$45, "NOT FOUND", 0)</f>
        <v>DR-3AW-207</v>
      </c>
      <c r="G237" s="45">
        <v>240</v>
      </c>
      <c r="H237" s="3">
        <v>200</v>
      </c>
    </row>
    <row r="238" spans="1:8" s="44" customFormat="1" x14ac:dyDescent="0.2">
      <c r="A238" s="224" t="str">
        <f t="shared" si="6"/>
        <v>I-036-WS-38</v>
      </c>
      <c r="B238" s="224" t="str">
        <f t="shared" si="7"/>
        <v>I-036-20</v>
      </c>
      <c r="C238" s="45" t="s">
        <v>536</v>
      </c>
      <c r="D238" s="45">
        <v>20</v>
      </c>
      <c r="E238" s="45" t="s">
        <v>611</v>
      </c>
      <c r="F238" s="42" t="str">
        <f>_xlfn.XLOOKUP(E238, 'S11 Work Stations'!$A$2:$A$45, 'S11 Work Stations'!$B$2:$B$45, "NOT FOUND", 0)</f>
        <v>SAW-150-423</v>
      </c>
      <c r="G238" s="45">
        <v>120</v>
      </c>
      <c r="H238" s="3">
        <v>200</v>
      </c>
    </row>
    <row r="239" spans="1:8" s="44" customFormat="1" x14ac:dyDescent="0.2">
      <c r="A239" s="224" t="str">
        <f t="shared" si="6"/>
        <v>I-036-WS-43</v>
      </c>
      <c r="B239" s="224" t="str">
        <f t="shared" si="7"/>
        <v>I-036-10</v>
      </c>
      <c r="C239" s="45" t="s">
        <v>536</v>
      </c>
      <c r="D239" s="45">
        <v>10</v>
      </c>
      <c r="E239" s="45" t="s">
        <v>616</v>
      </c>
      <c r="F239" s="42" t="str">
        <f>_xlfn.XLOOKUP(E239, 'S11 Work Stations'!$A$2:$A$45, 'S11 Work Stations'!$B$2:$B$45, "NOT FOUND", 0)</f>
        <v>RAW-MAT-INV</v>
      </c>
      <c r="G239" s="45">
        <v>0</v>
      </c>
      <c r="H239" s="3">
        <v>200</v>
      </c>
    </row>
    <row r="240" spans="1:8" s="44" customFormat="1" x14ac:dyDescent="0.2">
      <c r="A240" s="224" t="str">
        <f t="shared" si="6"/>
        <v>I-036-WS-44</v>
      </c>
      <c r="B240" s="224" t="str">
        <f t="shared" si="7"/>
        <v>I-036-50</v>
      </c>
      <c r="C240" s="45" t="s">
        <v>536</v>
      </c>
      <c r="D240" s="45">
        <v>50</v>
      </c>
      <c r="E240" s="45" t="s">
        <v>617</v>
      </c>
      <c r="F240" s="42" t="str">
        <f>_xlfn.XLOOKUP(E240, 'S11 Work Stations'!$A$2:$A$45, 'S11 Work Stations'!$B$2:$B$45, "NOT FOUND", 0)</f>
        <v>FIN-GOOD-INV</v>
      </c>
      <c r="G240" s="45">
        <v>0</v>
      </c>
      <c r="H240" s="3">
        <v>200</v>
      </c>
    </row>
    <row r="241" spans="1:8" s="44" customFormat="1" x14ac:dyDescent="0.2">
      <c r="A241" s="224" t="str">
        <f t="shared" si="6"/>
        <v>I-037-WS-07</v>
      </c>
      <c r="B241" s="224" t="str">
        <f t="shared" si="7"/>
        <v>I-037-30</v>
      </c>
      <c r="C241" s="45" t="s">
        <v>180</v>
      </c>
      <c r="D241" s="45">
        <v>30</v>
      </c>
      <c r="E241" s="45" t="s">
        <v>580</v>
      </c>
      <c r="F241" s="42" t="str">
        <f>_xlfn.XLOOKUP(E241, 'S11 Work Stations'!$A$2:$A$45, 'S11 Work Stations'!$B$2:$B$45, "NOT FOUND", 0)</f>
        <v>TUR-C2-367</v>
      </c>
      <c r="G241" s="45">
        <v>300</v>
      </c>
      <c r="H241" s="3">
        <v>200</v>
      </c>
    </row>
    <row r="242" spans="1:8" s="44" customFormat="1" x14ac:dyDescent="0.2">
      <c r="A242" s="224" t="str">
        <f t="shared" si="6"/>
        <v>I-037-WS-21</v>
      </c>
      <c r="B242" s="224" t="str">
        <f t="shared" si="7"/>
        <v>I-037-40</v>
      </c>
      <c r="C242" s="45" t="s">
        <v>180</v>
      </c>
      <c r="D242" s="45">
        <v>40</v>
      </c>
      <c r="E242" s="45" t="s">
        <v>594</v>
      </c>
      <c r="F242" s="42" t="str">
        <f>_xlfn.XLOOKUP(E242, 'S11 Work Stations'!$A$2:$A$45, 'S11 Work Stations'!$B$2:$B$45, "NOT FOUND", 0)</f>
        <v>MIL-U1-605</v>
      </c>
      <c r="G242" s="45">
        <v>300</v>
      </c>
      <c r="H242" s="3">
        <v>200</v>
      </c>
    </row>
    <row r="243" spans="1:8" s="44" customFormat="1" x14ac:dyDescent="0.2">
      <c r="A243" s="224" t="str">
        <f t="shared" si="6"/>
        <v>I-037-WS-27</v>
      </c>
      <c r="B243" s="224" t="str">
        <f t="shared" si="7"/>
        <v>I-037-60</v>
      </c>
      <c r="C243" s="45" t="s">
        <v>180</v>
      </c>
      <c r="D243" s="45">
        <v>60</v>
      </c>
      <c r="E243" s="45" t="s">
        <v>600</v>
      </c>
      <c r="F243" s="42" t="str">
        <f>_xlfn.XLOOKUP(E243, 'S11 Work Stations'!$A$2:$A$45, 'S11 Work Stations'!$B$2:$B$45, "NOT FOUND", 0)</f>
        <v>GR-T1-203</v>
      </c>
      <c r="G243" s="45">
        <v>300</v>
      </c>
      <c r="H243" s="3">
        <v>200</v>
      </c>
    </row>
    <row r="244" spans="1:8" s="44" customFormat="1" x14ac:dyDescent="0.2">
      <c r="A244" s="224" t="str">
        <f t="shared" si="6"/>
        <v>I-037-WS-28</v>
      </c>
      <c r="B244" s="224" t="str">
        <f t="shared" si="7"/>
        <v>I-037-50</v>
      </c>
      <c r="C244" s="45" t="s">
        <v>180</v>
      </c>
      <c r="D244" s="45">
        <v>50</v>
      </c>
      <c r="E244" s="45" t="s">
        <v>601</v>
      </c>
      <c r="F244" s="42" t="str">
        <f>_xlfn.XLOOKUP(E244, 'S11 Work Stations'!$A$2:$A$45, 'S11 Work Stations'!$B$2:$B$45, "NOT FOUND", 0)</f>
        <v>DR-T3-204</v>
      </c>
      <c r="G244" s="45">
        <v>480</v>
      </c>
      <c r="H244" s="3">
        <v>200</v>
      </c>
    </row>
    <row r="245" spans="1:8" s="44" customFormat="1" x14ac:dyDescent="0.2">
      <c r="A245" s="224" t="str">
        <f t="shared" si="6"/>
        <v>I-037-WS-32</v>
      </c>
      <c r="B245" s="224" t="str">
        <f t="shared" si="7"/>
        <v>I-037-70</v>
      </c>
      <c r="C245" s="45" t="s">
        <v>180</v>
      </c>
      <c r="D245" s="45">
        <v>70</v>
      </c>
      <c r="E245" s="45" t="s">
        <v>605</v>
      </c>
      <c r="F245" s="42" t="str">
        <f>_xlfn.XLOOKUP(E245, 'S11 Work Stations'!$A$2:$A$45, 'S11 Work Stations'!$B$2:$B$45, "NOT FOUND", 0)</f>
        <v>SAW-30-150-251</v>
      </c>
      <c r="G245" s="45">
        <v>480</v>
      </c>
      <c r="H245" s="3">
        <v>200</v>
      </c>
    </row>
    <row r="246" spans="1:8" s="44" customFormat="1" x14ac:dyDescent="0.2">
      <c r="A246" s="224" t="str">
        <f t="shared" si="6"/>
        <v>I-037-WS-38</v>
      </c>
      <c r="B246" s="224" t="str">
        <f t="shared" si="7"/>
        <v>I-037-20</v>
      </c>
      <c r="C246" s="45" t="s">
        <v>180</v>
      </c>
      <c r="D246" s="45">
        <v>20</v>
      </c>
      <c r="E246" s="45" t="s">
        <v>611</v>
      </c>
      <c r="F246" s="42" t="str">
        <f>_xlfn.XLOOKUP(E246, 'S11 Work Stations'!$A$2:$A$45, 'S11 Work Stations'!$B$2:$B$45, "NOT FOUND", 0)</f>
        <v>SAW-150-423</v>
      </c>
      <c r="G246" s="45">
        <v>120</v>
      </c>
      <c r="H246" s="3">
        <v>200</v>
      </c>
    </row>
    <row r="247" spans="1:8" s="44" customFormat="1" x14ac:dyDescent="0.2">
      <c r="A247" s="224" t="str">
        <f t="shared" si="6"/>
        <v>I-037-WS-43</v>
      </c>
      <c r="B247" s="224" t="str">
        <f t="shared" si="7"/>
        <v>I-037-10</v>
      </c>
      <c r="C247" s="45" t="s">
        <v>180</v>
      </c>
      <c r="D247" s="45">
        <v>10</v>
      </c>
      <c r="E247" s="45" t="s">
        <v>616</v>
      </c>
      <c r="F247" s="42" t="str">
        <f>_xlfn.XLOOKUP(E247, 'S11 Work Stations'!$A$2:$A$45, 'S11 Work Stations'!$B$2:$B$45, "NOT FOUND", 0)</f>
        <v>RAW-MAT-INV</v>
      </c>
      <c r="G247" s="45">
        <v>0</v>
      </c>
      <c r="H247" s="3">
        <v>200</v>
      </c>
    </row>
    <row r="248" spans="1:8" s="44" customFormat="1" x14ac:dyDescent="0.2">
      <c r="A248" s="224" t="str">
        <f t="shared" si="6"/>
        <v>I-037-WS-44</v>
      </c>
      <c r="B248" s="224" t="str">
        <f t="shared" si="7"/>
        <v>I-037-80</v>
      </c>
      <c r="C248" s="45" t="s">
        <v>180</v>
      </c>
      <c r="D248" s="45">
        <v>80</v>
      </c>
      <c r="E248" s="45" t="s">
        <v>617</v>
      </c>
      <c r="F248" s="42" t="str">
        <f>_xlfn.XLOOKUP(E248, 'S11 Work Stations'!$A$2:$A$45, 'S11 Work Stations'!$B$2:$B$45, "NOT FOUND", 0)</f>
        <v>FIN-GOOD-INV</v>
      </c>
      <c r="G248" s="45">
        <v>0</v>
      </c>
      <c r="H248" s="3">
        <v>200</v>
      </c>
    </row>
    <row r="249" spans="1:8" s="44" customFormat="1" x14ac:dyDescent="0.2">
      <c r="A249" s="224" t="str">
        <f t="shared" si="6"/>
        <v>I-038-WS-07</v>
      </c>
      <c r="B249" s="224" t="str">
        <f t="shared" si="7"/>
        <v>I-038-30</v>
      </c>
      <c r="C249" s="45" t="s">
        <v>537</v>
      </c>
      <c r="D249" s="45">
        <v>30</v>
      </c>
      <c r="E249" s="45" t="s">
        <v>580</v>
      </c>
      <c r="F249" s="42" t="str">
        <f>_xlfn.XLOOKUP(E249, 'S11 Work Stations'!$A$2:$A$45, 'S11 Work Stations'!$B$2:$B$45, "NOT FOUND", 0)</f>
        <v>TUR-C2-367</v>
      </c>
      <c r="G249" s="45">
        <v>360</v>
      </c>
      <c r="H249" s="3">
        <v>200</v>
      </c>
    </row>
    <row r="250" spans="1:8" s="44" customFormat="1" x14ac:dyDescent="0.2">
      <c r="A250" s="224" t="str">
        <f t="shared" si="6"/>
        <v>I-038-WS-31</v>
      </c>
      <c r="B250" s="224" t="str">
        <f t="shared" si="7"/>
        <v>I-038-40</v>
      </c>
      <c r="C250" s="45" t="s">
        <v>537</v>
      </c>
      <c r="D250" s="45">
        <v>40</v>
      </c>
      <c r="E250" s="45" t="s">
        <v>604</v>
      </c>
      <c r="F250" s="42" t="str">
        <f>_xlfn.XLOOKUP(E250, 'S11 Work Stations'!$A$2:$A$45, 'S11 Work Stations'!$B$2:$B$45, "NOT FOUND", 0)</f>
        <v>DR-3AW-207</v>
      </c>
      <c r="G250" s="45">
        <v>360</v>
      </c>
      <c r="H250" s="3">
        <v>200</v>
      </c>
    </row>
    <row r="251" spans="1:8" s="44" customFormat="1" x14ac:dyDescent="0.2">
      <c r="A251" s="224" t="str">
        <f t="shared" si="6"/>
        <v>I-038-WS-35</v>
      </c>
      <c r="B251" s="224" t="str">
        <f t="shared" si="7"/>
        <v>I-038-50</v>
      </c>
      <c r="C251" s="45" t="s">
        <v>537</v>
      </c>
      <c r="D251" s="45">
        <v>50</v>
      </c>
      <c r="E251" s="45" t="s">
        <v>608</v>
      </c>
      <c r="F251" s="42" t="str">
        <f>_xlfn.XLOOKUP(E251, 'S11 Work Stations'!$A$2:$A$45, 'S11 Work Stations'!$B$2:$B$45, "NOT FOUND", 0)</f>
        <v>SAW-35-100-254</v>
      </c>
      <c r="G251" s="45">
        <v>720</v>
      </c>
      <c r="H251" s="3">
        <v>200</v>
      </c>
    </row>
    <row r="252" spans="1:8" s="44" customFormat="1" x14ac:dyDescent="0.2">
      <c r="A252" s="224" t="str">
        <f t="shared" si="6"/>
        <v>I-038-WS-38</v>
      </c>
      <c r="B252" s="224" t="str">
        <f t="shared" si="7"/>
        <v>I-038-20</v>
      </c>
      <c r="C252" s="45" t="s">
        <v>537</v>
      </c>
      <c r="D252" s="45">
        <v>20</v>
      </c>
      <c r="E252" s="45" t="s">
        <v>611</v>
      </c>
      <c r="F252" s="42" t="str">
        <f>_xlfn.XLOOKUP(E252, 'S11 Work Stations'!$A$2:$A$45, 'S11 Work Stations'!$B$2:$B$45, "NOT FOUND", 0)</f>
        <v>SAW-150-423</v>
      </c>
      <c r="G252" s="45">
        <v>120</v>
      </c>
      <c r="H252" s="3">
        <v>200</v>
      </c>
    </row>
    <row r="253" spans="1:8" s="44" customFormat="1" x14ac:dyDescent="0.2">
      <c r="A253" s="224" t="str">
        <f t="shared" si="6"/>
        <v>I-038-WS-43</v>
      </c>
      <c r="B253" s="224" t="str">
        <f t="shared" si="7"/>
        <v>I-038-10</v>
      </c>
      <c r="C253" s="45" t="s">
        <v>537</v>
      </c>
      <c r="D253" s="45">
        <v>10</v>
      </c>
      <c r="E253" s="45" t="s">
        <v>616</v>
      </c>
      <c r="F253" s="42" t="str">
        <f>_xlfn.XLOOKUP(E253, 'S11 Work Stations'!$A$2:$A$45, 'S11 Work Stations'!$B$2:$B$45, "NOT FOUND", 0)</f>
        <v>RAW-MAT-INV</v>
      </c>
      <c r="G253" s="45">
        <v>0</v>
      </c>
      <c r="H253" s="3">
        <v>200</v>
      </c>
    </row>
    <row r="254" spans="1:8" s="44" customFormat="1" x14ac:dyDescent="0.2">
      <c r="A254" s="224" t="str">
        <f t="shared" si="6"/>
        <v>I-038-WS-44</v>
      </c>
      <c r="B254" s="224" t="str">
        <f t="shared" si="7"/>
        <v>I-038-60</v>
      </c>
      <c r="C254" s="45" t="s">
        <v>537</v>
      </c>
      <c r="D254" s="45">
        <v>60</v>
      </c>
      <c r="E254" s="45" t="s">
        <v>617</v>
      </c>
      <c r="F254" s="42" t="str">
        <f>_xlfn.XLOOKUP(E254, 'S11 Work Stations'!$A$2:$A$45, 'S11 Work Stations'!$B$2:$B$45, "NOT FOUND", 0)</f>
        <v>FIN-GOOD-INV</v>
      </c>
      <c r="G254" s="45">
        <v>0</v>
      </c>
      <c r="H254" s="3">
        <v>200</v>
      </c>
    </row>
    <row r="255" spans="1:8" s="44" customFormat="1" x14ac:dyDescent="0.2">
      <c r="A255" s="224" t="str">
        <f t="shared" si="6"/>
        <v>I-039-WS-06</v>
      </c>
      <c r="B255" s="224" t="str">
        <f t="shared" si="7"/>
        <v>I-039-30</v>
      </c>
      <c r="C255" s="45" t="s">
        <v>538</v>
      </c>
      <c r="D255" s="45">
        <v>30</v>
      </c>
      <c r="E255" s="45" t="s">
        <v>579</v>
      </c>
      <c r="F255" s="42" t="str">
        <f>_xlfn.XLOOKUP(E255, 'S11 Work Stations'!$A$2:$A$45, 'S11 Work Stations'!$B$2:$B$45, "NOT FOUND", 0)</f>
        <v>TUR-C1-366</v>
      </c>
      <c r="G255" s="45">
        <v>180</v>
      </c>
      <c r="H255" s="3">
        <v>200</v>
      </c>
    </row>
    <row r="256" spans="1:8" s="44" customFormat="1" x14ac:dyDescent="0.2">
      <c r="A256" s="224" t="str">
        <f t="shared" si="6"/>
        <v>I-039-WS-31</v>
      </c>
      <c r="B256" s="224" t="str">
        <f t="shared" si="7"/>
        <v>I-039-40</v>
      </c>
      <c r="C256" s="45" t="s">
        <v>538</v>
      </c>
      <c r="D256" s="45">
        <v>40</v>
      </c>
      <c r="E256" s="45" t="s">
        <v>604</v>
      </c>
      <c r="F256" s="42" t="str">
        <f>_xlfn.XLOOKUP(E256, 'S11 Work Stations'!$A$2:$A$45, 'S11 Work Stations'!$B$2:$B$45, "NOT FOUND", 0)</f>
        <v>DR-3AW-207</v>
      </c>
      <c r="G256" s="45">
        <v>360</v>
      </c>
      <c r="H256" s="3">
        <v>200</v>
      </c>
    </row>
    <row r="257" spans="1:8" s="44" customFormat="1" x14ac:dyDescent="0.2">
      <c r="A257" s="224" t="str">
        <f t="shared" si="6"/>
        <v>I-039-WS-33</v>
      </c>
      <c r="B257" s="224" t="str">
        <f t="shared" si="7"/>
        <v>I-039-50</v>
      </c>
      <c r="C257" s="45" t="s">
        <v>538</v>
      </c>
      <c r="D257" s="45">
        <v>50</v>
      </c>
      <c r="E257" s="45" t="s">
        <v>606</v>
      </c>
      <c r="F257" s="42" t="str">
        <f>_xlfn.XLOOKUP(E257, 'S11 Work Stations'!$A$2:$A$45, 'S11 Work Stations'!$B$2:$B$45, "NOT FOUND", 0)</f>
        <v>SAW-50-150-252</v>
      </c>
      <c r="G257" s="45">
        <v>180</v>
      </c>
      <c r="H257" s="3">
        <v>200</v>
      </c>
    </row>
    <row r="258" spans="1:8" s="44" customFormat="1" x14ac:dyDescent="0.2">
      <c r="A258" s="224" t="str">
        <f t="shared" si="6"/>
        <v>I-039-WS-38</v>
      </c>
      <c r="B258" s="224" t="str">
        <f t="shared" si="7"/>
        <v>I-039-20</v>
      </c>
      <c r="C258" s="45" t="s">
        <v>538</v>
      </c>
      <c r="D258" s="45">
        <v>20</v>
      </c>
      <c r="E258" s="45" t="s">
        <v>611</v>
      </c>
      <c r="F258" s="42" t="str">
        <f>_xlfn.XLOOKUP(E258, 'S11 Work Stations'!$A$2:$A$45, 'S11 Work Stations'!$B$2:$B$45, "NOT FOUND", 0)</f>
        <v>SAW-150-423</v>
      </c>
      <c r="G258" s="45">
        <v>120</v>
      </c>
      <c r="H258" s="3">
        <v>200</v>
      </c>
    </row>
    <row r="259" spans="1:8" s="44" customFormat="1" x14ac:dyDescent="0.2">
      <c r="A259" s="224" t="str">
        <f t="shared" ref="A259:A322" si="8">C259&amp;"-"&amp;E259</f>
        <v>I-039-WS-43</v>
      </c>
      <c r="B259" s="224" t="str">
        <f t="shared" ref="B259:B322" si="9">C259&amp;"-"&amp;D259</f>
        <v>I-039-10</v>
      </c>
      <c r="C259" s="45" t="s">
        <v>538</v>
      </c>
      <c r="D259" s="45">
        <v>10</v>
      </c>
      <c r="E259" s="45" t="s">
        <v>616</v>
      </c>
      <c r="F259" s="42" t="str">
        <f>_xlfn.XLOOKUP(E259, 'S11 Work Stations'!$A$2:$A$45, 'S11 Work Stations'!$B$2:$B$45, "NOT FOUND", 0)</f>
        <v>RAW-MAT-INV</v>
      </c>
      <c r="G259" s="45">
        <v>0</v>
      </c>
      <c r="H259" s="3">
        <v>200</v>
      </c>
    </row>
    <row r="260" spans="1:8" s="44" customFormat="1" x14ac:dyDescent="0.2">
      <c r="A260" s="224" t="str">
        <f t="shared" si="8"/>
        <v>I-039-WS-44</v>
      </c>
      <c r="B260" s="224" t="str">
        <f t="shared" si="9"/>
        <v>I-039-60</v>
      </c>
      <c r="C260" s="45" t="s">
        <v>538</v>
      </c>
      <c r="D260" s="45">
        <v>60</v>
      </c>
      <c r="E260" s="45" t="s">
        <v>617</v>
      </c>
      <c r="F260" s="42" t="str">
        <f>_xlfn.XLOOKUP(E260, 'S11 Work Stations'!$A$2:$A$45, 'S11 Work Stations'!$B$2:$B$45, "NOT FOUND", 0)</f>
        <v>FIN-GOOD-INV</v>
      </c>
      <c r="G260" s="45">
        <v>0</v>
      </c>
      <c r="H260" s="3">
        <v>200</v>
      </c>
    </row>
    <row r="261" spans="1:8" s="44" customFormat="1" x14ac:dyDescent="0.2">
      <c r="A261" s="224" t="str">
        <f t="shared" si="8"/>
        <v>I-040-WS-06</v>
      </c>
      <c r="B261" s="224" t="str">
        <f t="shared" si="9"/>
        <v>I-040-30</v>
      </c>
      <c r="C261" s="45" t="s">
        <v>539</v>
      </c>
      <c r="D261" s="45">
        <v>30</v>
      </c>
      <c r="E261" s="45" t="s">
        <v>579</v>
      </c>
      <c r="F261" s="42" t="str">
        <f>_xlfn.XLOOKUP(E261, 'S11 Work Stations'!$A$2:$A$45, 'S11 Work Stations'!$B$2:$B$45, "NOT FOUND", 0)</f>
        <v>TUR-C1-366</v>
      </c>
      <c r="G261" s="45">
        <v>240</v>
      </c>
      <c r="H261" s="3">
        <v>200</v>
      </c>
    </row>
    <row r="262" spans="1:8" s="44" customFormat="1" x14ac:dyDescent="0.2">
      <c r="A262" s="224" t="str">
        <f t="shared" si="8"/>
        <v>I-040-WS-29</v>
      </c>
      <c r="B262" s="224" t="str">
        <f t="shared" si="9"/>
        <v>I-040-40</v>
      </c>
      <c r="C262" s="45" t="s">
        <v>539</v>
      </c>
      <c r="D262" s="45">
        <v>40</v>
      </c>
      <c r="E262" s="45" t="s">
        <v>602</v>
      </c>
      <c r="F262" s="42" t="str">
        <f>_xlfn.XLOOKUP(E262, 'S11 Work Stations'!$A$2:$A$45, 'S11 Work Stations'!$B$2:$B$45, "NOT FOUND", 0)</f>
        <v>GR-T11-250</v>
      </c>
      <c r="G262" s="45">
        <v>420</v>
      </c>
      <c r="H262" s="3">
        <v>200</v>
      </c>
    </row>
    <row r="263" spans="1:8" s="44" customFormat="1" x14ac:dyDescent="0.2">
      <c r="A263" s="224" t="str">
        <f t="shared" si="8"/>
        <v>I-040-WS-33</v>
      </c>
      <c r="B263" s="224" t="str">
        <f t="shared" si="9"/>
        <v>I-040-50</v>
      </c>
      <c r="C263" s="45" t="s">
        <v>539</v>
      </c>
      <c r="D263" s="45">
        <v>50</v>
      </c>
      <c r="E263" s="45" t="s">
        <v>606</v>
      </c>
      <c r="F263" s="42" t="str">
        <f>_xlfn.XLOOKUP(E263, 'S11 Work Stations'!$A$2:$A$45, 'S11 Work Stations'!$B$2:$B$45, "NOT FOUND", 0)</f>
        <v>SAW-50-150-252</v>
      </c>
      <c r="G263" s="45">
        <v>180</v>
      </c>
      <c r="H263" s="3">
        <v>200</v>
      </c>
    </row>
    <row r="264" spans="1:8" s="44" customFormat="1" x14ac:dyDescent="0.2">
      <c r="A264" s="224" t="str">
        <f t="shared" si="8"/>
        <v>I-040-WS-38</v>
      </c>
      <c r="B264" s="224" t="str">
        <f t="shared" si="9"/>
        <v>I-040-20</v>
      </c>
      <c r="C264" s="45" t="s">
        <v>539</v>
      </c>
      <c r="D264" s="45">
        <v>20</v>
      </c>
      <c r="E264" s="45" t="s">
        <v>611</v>
      </c>
      <c r="F264" s="42" t="str">
        <f>_xlfn.XLOOKUP(E264, 'S11 Work Stations'!$A$2:$A$45, 'S11 Work Stations'!$B$2:$B$45, "NOT FOUND", 0)</f>
        <v>SAW-150-423</v>
      </c>
      <c r="G264" s="45">
        <v>120</v>
      </c>
      <c r="H264" s="3">
        <v>200</v>
      </c>
    </row>
    <row r="265" spans="1:8" s="44" customFormat="1" x14ac:dyDescent="0.2">
      <c r="A265" s="224" t="str">
        <f t="shared" si="8"/>
        <v>I-040-WS-43</v>
      </c>
      <c r="B265" s="224" t="str">
        <f t="shared" si="9"/>
        <v>I-040-10</v>
      </c>
      <c r="C265" s="45" t="s">
        <v>539</v>
      </c>
      <c r="D265" s="45">
        <v>10</v>
      </c>
      <c r="E265" s="45" t="s">
        <v>616</v>
      </c>
      <c r="F265" s="42" t="str">
        <f>_xlfn.XLOOKUP(E265, 'S11 Work Stations'!$A$2:$A$45, 'S11 Work Stations'!$B$2:$B$45, "NOT FOUND", 0)</f>
        <v>RAW-MAT-INV</v>
      </c>
      <c r="G265" s="45">
        <v>0</v>
      </c>
      <c r="H265" s="3">
        <v>200</v>
      </c>
    </row>
    <row r="266" spans="1:8" s="44" customFormat="1" x14ac:dyDescent="0.2">
      <c r="A266" s="224" t="str">
        <f t="shared" si="8"/>
        <v>I-040-WS-44</v>
      </c>
      <c r="B266" s="224" t="str">
        <f t="shared" si="9"/>
        <v>I-040-60</v>
      </c>
      <c r="C266" s="45" t="s">
        <v>539</v>
      </c>
      <c r="D266" s="45">
        <v>60</v>
      </c>
      <c r="E266" s="45" t="s">
        <v>617</v>
      </c>
      <c r="F266" s="42" t="str">
        <f>_xlfn.XLOOKUP(E266, 'S11 Work Stations'!$A$2:$A$45, 'S11 Work Stations'!$B$2:$B$45, "NOT FOUND", 0)</f>
        <v>FIN-GOOD-INV</v>
      </c>
      <c r="G266" s="45">
        <v>0</v>
      </c>
      <c r="H266" s="3">
        <v>200</v>
      </c>
    </row>
    <row r="267" spans="1:8" s="44" customFormat="1" x14ac:dyDescent="0.2">
      <c r="A267" s="224" t="str">
        <f t="shared" si="8"/>
        <v>I-041-WS-06</v>
      </c>
      <c r="B267" s="224" t="str">
        <f t="shared" si="9"/>
        <v>I-041-30</v>
      </c>
      <c r="C267" s="45" t="s">
        <v>215</v>
      </c>
      <c r="D267" s="45">
        <v>30</v>
      </c>
      <c r="E267" s="45" t="s">
        <v>579</v>
      </c>
      <c r="F267" s="42" t="str">
        <f>_xlfn.XLOOKUP(E267, 'S11 Work Stations'!$A$2:$A$45, 'S11 Work Stations'!$B$2:$B$45, "NOT FOUND", 0)</f>
        <v>TUR-C1-366</v>
      </c>
      <c r="G267" s="45">
        <v>180</v>
      </c>
      <c r="H267" s="3">
        <v>200</v>
      </c>
    </row>
    <row r="268" spans="1:8" s="44" customFormat="1" x14ac:dyDescent="0.2">
      <c r="A268" s="224" t="str">
        <f t="shared" si="8"/>
        <v>I-041-WS-31</v>
      </c>
      <c r="B268" s="224" t="str">
        <f t="shared" si="9"/>
        <v>I-041-40</v>
      </c>
      <c r="C268" s="45" t="s">
        <v>215</v>
      </c>
      <c r="D268" s="45">
        <v>40</v>
      </c>
      <c r="E268" s="45" t="s">
        <v>604</v>
      </c>
      <c r="F268" s="42" t="str">
        <f>_xlfn.XLOOKUP(E268, 'S11 Work Stations'!$A$2:$A$45, 'S11 Work Stations'!$B$2:$B$45, "NOT FOUND", 0)</f>
        <v>DR-3AW-207</v>
      </c>
      <c r="G268" s="45">
        <v>300</v>
      </c>
      <c r="H268" s="3">
        <v>200</v>
      </c>
    </row>
    <row r="269" spans="1:8" s="44" customFormat="1" x14ac:dyDescent="0.2">
      <c r="A269" s="224" t="str">
        <f t="shared" si="8"/>
        <v>I-041-WS-33</v>
      </c>
      <c r="B269" s="224" t="str">
        <f t="shared" si="9"/>
        <v>I-041-50</v>
      </c>
      <c r="C269" s="45" t="s">
        <v>215</v>
      </c>
      <c r="D269" s="45">
        <v>50</v>
      </c>
      <c r="E269" s="45" t="s">
        <v>606</v>
      </c>
      <c r="F269" s="42" t="str">
        <f>_xlfn.XLOOKUP(E269, 'S11 Work Stations'!$A$2:$A$45, 'S11 Work Stations'!$B$2:$B$45, "NOT FOUND", 0)</f>
        <v>SAW-50-150-252</v>
      </c>
      <c r="G269" s="45">
        <v>180</v>
      </c>
      <c r="H269" s="3">
        <v>200</v>
      </c>
    </row>
    <row r="270" spans="1:8" s="44" customFormat="1" x14ac:dyDescent="0.2">
      <c r="A270" s="224" t="str">
        <f t="shared" si="8"/>
        <v>I-041-WS-38</v>
      </c>
      <c r="B270" s="224" t="str">
        <f t="shared" si="9"/>
        <v>I-041-20</v>
      </c>
      <c r="C270" s="45" t="s">
        <v>215</v>
      </c>
      <c r="D270" s="45">
        <v>20</v>
      </c>
      <c r="E270" s="45" t="s">
        <v>611</v>
      </c>
      <c r="F270" s="42" t="str">
        <f>_xlfn.XLOOKUP(E270, 'S11 Work Stations'!$A$2:$A$45, 'S11 Work Stations'!$B$2:$B$45, "NOT FOUND", 0)</f>
        <v>SAW-150-423</v>
      </c>
      <c r="G270" s="45">
        <v>120</v>
      </c>
      <c r="H270" s="3">
        <v>200</v>
      </c>
    </row>
    <row r="271" spans="1:8" s="44" customFormat="1" x14ac:dyDescent="0.2">
      <c r="A271" s="224" t="str">
        <f t="shared" si="8"/>
        <v>I-041-WS-43</v>
      </c>
      <c r="B271" s="224" t="str">
        <f t="shared" si="9"/>
        <v>I-041-10</v>
      </c>
      <c r="C271" s="45" t="s">
        <v>215</v>
      </c>
      <c r="D271" s="45">
        <v>10</v>
      </c>
      <c r="E271" s="45" t="s">
        <v>616</v>
      </c>
      <c r="F271" s="42" t="str">
        <f>_xlfn.XLOOKUP(E271, 'S11 Work Stations'!$A$2:$A$45, 'S11 Work Stations'!$B$2:$B$45, "NOT FOUND", 0)</f>
        <v>RAW-MAT-INV</v>
      </c>
      <c r="G271" s="45">
        <v>0</v>
      </c>
      <c r="H271" s="3">
        <v>200</v>
      </c>
    </row>
    <row r="272" spans="1:8" s="44" customFormat="1" x14ac:dyDescent="0.2">
      <c r="A272" s="224" t="str">
        <f t="shared" si="8"/>
        <v>I-041-WS-44</v>
      </c>
      <c r="B272" s="224" t="str">
        <f t="shared" si="9"/>
        <v>I-041-60</v>
      </c>
      <c r="C272" s="45" t="s">
        <v>215</v>
      </c>
      <c r="D272" s="45">
        <v>60</v>
      </c>
      <c r="E272" s="45" t="s">
        <v>617</v>
      </c>
      <c r="F272" s="42" t="str">
        <f>_xlfn.XLOOKUP(E272, 'S11 Work Stations'!$A$2:$A$45, 'S11 Work Stations'!$B$2:$B$45, "NOT FOUND", 0)</f>
        <v>FIN-GOOD-INV</v>
      </c>
      <c r="G272" s="45">
        <v>0</v>
      </c>
      <c r="H272" s="3">
        <v>200</v>
      </c>
    </row>
    <row r="273" spans="1:8" s="44" customFormat="1" x14ac:dyDescent="0.2">
      <c r="A273" s="224" t="str">
        <f t="shared" si="8"/>
        <v>I-042-WS-06</v>
      </c>
      <c r="B273" s="224" t="str">
        <f t="shared" si="9"/>
        <v>I-042-30</v>
      </c>
      <c r="C273" s="45" t="s">
        <v>540</v>
      </c>
      <c r="D273" s="45">
        <v>30</v>
      </c>
      <c r="E273" s="45" t="s">
        <v>579</v>
      </c>
      <c r="F273" s="42" t="str">
        <f>_xlfn.XLOOKUP(E273, 'S11 Work Stations'!$A$2:$A$45, 'S11 Work Stations'!$B$2:$B$45, "NOT FOUND", 0)</f>
        <v>TUR-C1-366</v>
      </c>
      <c r="G273" s="45">
        <v>180</v>
      </c>
      <c r="H273" s="3">
        <v>200</v>
      </c>
    </row>
    <row r="274" spans="1:8" s="44" customFormat="1" x14ac:dyDescent="0.2">
      <c r="A274" s="224" t="str">
        <f t="shared" si="8"/>
        <v>I-042-WS-26</v>
      </c>
      <c r="B274" s="224" t="str">
        <f t="shared" si="9"/>
        <v>I-042-40</v>
      </c>
      <c r="C274" s="45" t="s">
        <v>540</v>
      </c>
      <c r="D274" s="45">
        <v>40</v>
      </c>
      <c r="E274" s="45" t="s">
        <v>599</v>
      </c>
      <c r="F274" s="42" t="str">
        <f>_xlfn.XLOOKUP(E274, 'S11 Work Stations'!$A$2:$A$45, 'S11 Work Stations'!$B$2:$B$45, "NOT FOUND", 0)</f>
        <v>DR-2A2-202</v>
      </c>
      <c r="G274" s="45">
        <v>240</v>
      </c>
      <c r="H274" s="3">
        <v>200</v>
      </c>
    </row>
    <row r="275" spans="1:8" s="44" customFormat="1" x14ac:dyDescent="0.2">
      <c r="A275" s="224" t="str">
        <f t="shared" si="8"/>
        <v>I-042-WS-33</v>
      </c>
      <c r="B275" s="224" t="str">
        <f t="shared" si="9"/>
        <v>I-042-50</v>
      </c>
      <c r="C275" s="45" t="s">
        <v>540</v>
      </c>
      <c r="D275" s="45">
        <v>50</v>
      </c>
      <c r="E275" s="45" t="s">
        <v>606</v>
      </c>
      <c r="F275" s="42" t="str">
        <f>_xlfn.XLOOKUP(E275, 'S11 Work Stations'!$A$2:$A$45, 'S11 Work Stations'!$B$2:$B$45, "NOT FOUND", 0)</f>
        <v>SAW-50-150-252</v>
      </c>
      <c r="G275" s="45">
        <v>180</v>
      </c>
      <c r="H275" s="3">
        <v>200</v>
      </c>
    </row>
    <row r="276" spans="1:8" s="44" customFormat="1" x14ac:dyDescent="0.2">
      <c r="A276" s="224" t="str">
        <f t="shared" si="8"/>
        <v>I-042-WS-38</v>
      </c>
      <c r="B276" s="224" t="str">
        <f t="shared" si="9"/>
        <v>I-042-20</v>
      </c>
      <c r="C276" s="45" t="s">
        <v>540</v>
      </c>
      <c r="D276" s="45">
        <v>20</v>
      </c>
      <c r="E276" s="45" t="s">
        <v>611</v>
      </c>
      <c r="F276" s="42" t="str">
        <f>_xlfn.XLOOKUP(E276, 'S11 Work Stations'!$A$2:$A$45, 'S11 Work Stations'!$B$2:$B$45, "NOT FOUND", 0)</f>
        <v>SAW-150-423</v>
      </c>
      <c r="G276" s="45">
        <v>120</v>
      </c>
      <c r="H276" s="3">
        <v>200</v>
      </c>
    </row>
    <row r="277" spans="1:8" s="44" customFormat="1" x14ac:dyDescent="0.2">
      <c r="A277" s="224" t="str">
        <f t="shared" si="8"/>
        <v>I-042-WS-43</v>
      </c>
      <c r="B277" s="224" t="str">
        <f t="shared" si="9"/>
        <v>I-042-10</v>
      </c>
      <c r="C277" s="45" t="s">
        <v>540</v>
      </c>
      <c r="D277" s="45">
        <v>10</v>
      </c>
      <c r="E277" s="45" t="s">
        <v>616</v>
      </c>
      <c r="F277" s="42" t="str">
        <f>_xlfn.XLOOKUP(E277, 'S11 Work Stations'!$A$2:$A$45, 'S11 Work Stations'!$B$2:$B$45, "NOT FOUND", 0)</f>
        <v>RAW-MAT-INV</v>
      </c>
      <c r="G277" s="45">
        <v>0</v>
      </c>
      <c r="H277" s="3">
        <v>200</v>
      </c>
    </row>
    <row r="278" spans="1:8" s="44" customFormat="1" x14ac:dyDescent="0.2">
      <c r="A278" s="224" t="str">
        <f t="shared" si="8"/>
        <v>I-042-WS-44</v>
      </c>
      <c r="B278" s="224" t="str">
        <f t="shared" si="9"/>
        <v>I-042-60</v>
      </c>
      <c r="C278" s="45" t="s">
        <v>540</v>
      </c>
      <c r="D278" s="45">
        <v>60</v>
      </c>
      <c r="E278" s="45" t="s">
        <v>617</v>
      </c>
      <c r="F278" s="42" t="str">
        <f>_xlfn.XLOOKUP(E278, 'S11 Work Stations'!$A$2:$A$45, 'S11 Work Stations'!$B$2:$B$45, "NOT FOUND", 0)</f>
        <v>FIN-GOOD-INV</v>
      </c>
      <c r="G278" s="45">
        <v>0</v>
      </c>
      <c r="H278" s="3">
        <v>200</v>
      </c>
    </row>
    <row r="279" spans="1:8" s="44" customFormat="1" x14ac:dyDescent="0.2">
      <c r="A279" s="224" t="str">
        <f t="shared" si="8"/>
        <v>I-043-WS-06</v>
      </c>
      <c r="B279" s="224" t="str">
        <f t="shared" si="9"/>
        <v>I-043-30</v>
      </c>
      <c r="C279" s="45" t="s">
        <v>211</v>
      </c>
      <c r="D279" s="45">
        <v>30</v>
      </c>
      <c r="E279" s="45" t="s">
        <v>579</v>
      </c>
      <c r="F279" s="42" t="str">
        <f>_xlfn.XLOOKUP(E279, 'S11 Work Stations'!$A$2:$A$45, 'S11 Work Stations'!$B$2:$B$45, "NOT FOUND", 0)</f>
        <v>TUR-C1-366</v>
      </c>
      <c r="G279" s="45">
        <v>240</v>
      </c>
      <c r="H279" s="3">
        <v>200</v>
      </c>
    </row>
    <row r="280" spans="1:8" s="44" customFormat="1" x14ac:dyDescent="0.2">
      <c r="A280" s="224" t="str">
        <f t="shared" si="8"/>
        <v>I-043-WS-07</v>
      </c>
      <c r="B280" s="224" t="str">
        <f t="shared" si="9"/>
        <v>I-043-30</v>
      </c>
      <c r="C280" s="45" t="s">
        <v>211</v>
      </c>
      <c r="D280" s="45">
        <v>30</v>
      </c>
      <c r="E280" s="45" t="s">
        <v>580</v>
      </c>
      <c r="F280" s="42" t="str">
        <f>_xlfn.XLOOKUP(E280, 'S11 Work Stations'!$A$2:$A$45, 'S11 Work Stations'!$B$2:$B$45, "NOT FOUND", 0)</f>
        <v>TUR-C2-367</v>
      </c>
      <c r="G280" s="45">
        <v>240</v>
      </c>
      <c r="H280" s="3">
        <v>200</v>
      </c>
    </row>
    <row r="281" spans="1:8" s="44" customFormat="1" x14ac:dyDescent="0.2">
      <c r="A281" s="224" t="str">
        <f t="shared" si="8"/>
        <v>I-043-WS-21</v>
      </c>
      <c r="B281" s="224" t="str">
        <f t="shared" si="9"/>
        <v>I-043-40</v>
      </c>
      <c r="C281" s="45" t="s">
        <v>211</v>
      </c>
      <c r="D281" s="45">
        <v>40</v>
      </c>
      <c r="E281" s="45" t="s">
        <v>594</v>
      </c>
      <c r="F281" s="42" t="str">
        <f>_xlfn.XLOOKUP(E281, 'S11 Work Stations'!$A$2:$A$45, 'S11 Work Stations'!$B$2:$B$45, "NOT FOUND", 0)</f>
        <v>MIL-U1-605</v>
      </c>
      <c r="G281" s="45">
        <v>240</v>
      </c>
      <c r="H281" s="3">
        <v>200</v>
      </c>
    </row>
    <row r="282" spans="1:8" s="44" customFormat="1" x14ac:dyDescent="0.2">
      <c r="A282" s="224" t="str">
        <f t="shared" si="8"/>
        <v>I-043-WS-27</v>
      </c>
      <c r="B282" s="224" t="str">
        <f t="shared" si="9"/>
        <v>I-043-60</v>
      </c>
      <c r="C282" s="45" t="s">
        <v>211</v>
      </c>
      <c r="D282" s="45">
        <v>60</v>
      </c>
      <c r="E282" s="45" t="s">
        <v>600</v>
      </c>
      <c r="F282" s="42" t="str">
        <f>_xlfn.XLOOKUP(E282, 'S11 Work Stations'!$A$2:$A$45, 'S11 Work Stations'!$B$2:$B$45, "NOT FOUND", 0)</f>
        <v>GR-T1-203</v>
      </c>
      <c r="G282" s="45">
        <v>240</v>
      </c>
      <c r="H282" s="3">
        <v>200</v>
      </c>
    </row>
    <row r="283" spans="1:8" s="44" customFormat="1" x14ac:dyDescent="0.2">
      <c r="A283" s="224" t="str">
        <f t="shared" si="8"/>
        <v>I-043-WS-28</v>
      </c>
      <c r="B283" s="224" t="str">
        <f t="shared" si="9"/>
        <v>I-043-50</v>
      </c>
      <c r="C283" s="45" t="s">
        <v>211</v>
      </c>
      <c r="D283" s="45">
        <v>50</v>
      </c>
      <c r="E283" s="45" t="s">
        <v>601</v>
      </c>
      <c r="F283" s="42" t="str">
        <f>_xlfn.XLOOKUP(E283, 'S11 Work Stations'!$A$2:$A$45, 'S11 Work Stations'!$B$2:$B$45, "NOT FOUND", 0)</f>
        <v>DR-T3-204</v>
      </c>
      <c r="G283" s="45">
        <v>120</v>
      </c>
      <c r="H283" s="3">
        <v>200</v>
      </c>
    </row>
    <row r="284" spans="1:8" s="44" customFormat="1" x14ac:dyDescent="0.2">
      <c r="A284" s="224" t="str">
        <f t="shared" si="8"/>
        <v>I-043-WS-32</v>
      </c>
      <c r="B284" s="224" t="str">
        <f t="shared" si="9"/>
        <v>I-043-70</v>
      </c>
      <c r="C284" s="45" t="s">
        <v>211</v>
      </c>
      <c r="D284" s="45">
        <v>70</v>
      </c>
      <c r="E284" s="45" t="s">
        <v>605</v>
      </c>
      <c r="F284" s="42" t="str">
        <f>_xlfn.XLOOKUP(E284, 'S11 Work Stations'!$A$2:$A$45, 'S11 Work Stations'!$B$2:$B$45, "NOT FOUND", 0)</f>
        <v>SAW-30-150-251</v>
      </c>
      <c r="G284" s="45">
        <v>180</v>
      </c>
      <c r="H284" s="3">
        <v>200</v>
      </c>
    </row>
    <row r="285" spans="1:8" s="44" customFormat="1" x14ac:dyDescent="0.2">
      <c r="A285" s="224" t="str">
        <f t="shared" si="8"/>
        <v>I-043-WS-38</v>
      </c>
      <c r="B285" s="224" t="str">
        <f t="shared" si="9"/>
        <v>I-043-20</v>
      </c>
      <c r="C285" s="45" t="s">
        <v>211</v>
      </c>
      <c r="D285" s="45">
        <v>20</v>
      </c>
      <c r="E285" s="45" t="s">
        <v>611</v>
      </c>
      <c r="F285" s="42" t="str">
        <f>_xlfn.XLOOKUP(E285, 'S11 Work Stations'!$A$2:$A$45, 'S11 Work Stations'!$B$2:$B$45, "NOT FOUND", 0)</f>
        <v>SAW-150-423</v>
      </c>
      <c r="G285" s="45">
        <v>120</v>
      </c>
      <c r="H285" s="3">
        <v>200</v>
      </c>
    </row>
    <row r="286" spans="1:8" s="44" customFormat="1" x14ac:dyDescent="0.2">
      <c r="A286" s="224" t="str">
        <f t="shared" si="8"/>
        <v>I-043-WS-43</v>
      </c>
      <c r="B286" s="224" t="str">
        <f t="shared" si="9"/>
        <v>I-043-10</v>
      </c>
      <c r="C286" s="45" t="s">
        <v>211</v>
      </c>
      <c r="D286" s="45">
        <v>10</v>
      </c>
      <c r="E286" s="45" t="s">
        <v>616</v>
      </c>
      <c r="F286" s="42" t="str">
        <f>_xlfn.XLOOKUP(E286, 'S11 Work Stations'!$A$2:$A$45, 'S11 Work Stations'!$B$2:$B$45, "NOT FOUND", 0)</f>
        <v>RAW-MAT-INV</v>
      </c>
      <c r="G286" s="45">
        <v>0</v>
      </c>
      <c r="H286" s="3">
        <v>200</v>
      </c>
    </row>
    <row r="287" spans="1:8" s="44" customFormat="1" x14ac:dyDescent="0.2">
      <c r="A287" s="224" t="str">
        <f t="shared" si="8"/>
        <v>I-043-WS-44</v>
      </c>
      <c r="B287" s="224" t="str">
        <f t="shared" si="9"/>
        <v>I-043-80</v>
      </c>
      <c r="C287" s="45" t="s">
        <v>211</v>
      </c>
      <c r="D287" s="45">
        <v>80</v>
      </c>
      <c r="E287" s="45" t="s">
        <v>617</v>
      </c>
      <c r="F287" s="42" t="str">
        <f>_xlfn.XLOOKUP(E287, 'S11 Work Stations'!$A$2:$A$45, 'S11 Work Stations'!$B$2:$B$45, "NOT FOUND", 0)</f>
        <v>FIN-GOOD-INV</v>
      </c>
      <c r="G287" s="45">
        <v>0</v>
      </c>
      <c r="H287" s="3">
        <v>200</v>
      </c>
    </row>
    <row r="288" spans="1:8" s="44" customFormat="1" x14ac:dyDescent="0.2">
      <c r="A288" s="224" t="str">
        <f t="shared" si="8"/>
        <v>I-044-WS-06</v>
      </c>
      <c r="B288" s="224" t="str">
        <f t="shared" si="9"/>
        <v>I-044-30</v>
      </c>
      <c r="C288" s="45" t="s">
        <v>207</v>
      </c>
      <c r="D288" s="45">
        <v>30</v>
      </c>
      <c r="E288" s="45" t="s">
        <v>579</v>
      </c>
      <c r="F288" s="42" t="str">
        <f>_xlfn.XLOOKUP(E288, 'S11 Work Stations'!$A$2:$A$45, 'S11 Work Stations'!$B$2:$B$45, "NOT FOUND", 0)</f>
        <v>TUR-C1-366</v>
      </c>
      <c r="G288" s="45">
        <v>240</v>
      </c>
      <c r="H288" s="3">
        <v>200</v>
      </c>
    </row>
    <row r="289" spans="1:8" s="44" customFormat="1" x14ac:dyDescent="0.2">
      <c r="A289" s="224" t="str">
        <f t="shared" si="8"/>
        <v>I-044-WS-26</v>
      </c>
      <c r="B289" s="224" t="str">
        <f t="shared" si="9"/>
        <v>I-044-40</v>
      </c>
      <c r="C289" s="45" t="s">
        <v>207</v>
      </c>
      <c r="D289" s="45">
        <v>40</v>
      </c>
      <c r="E289" s="45" t="s">
        <v>599</v>
      </c>
      <c r="F289" s="42" t="str">
        <f>_xlfn.XLOOKUP(E289, 'S11 Work Stations'!$A$2:$A$45, 'S11 Work Stations'!$B$2:$B$45, "NOT FOUND", 0)</f>
        <v>DR-2A2-202</v>
      </c>
      <c r="G289" s="45">
        <v>240</v>
      </c>
      <c r="H289" s="3">
        <v>200</v>
      </c>
    </row>
    <row r="290" spans="1:8" s="44" customFormat="1" x14ac:dyDescent="0.2">
      <c r="A290" s="224" t="str">
        <f t="shared" si="8"/>
        <v>I-044-WS-34</v>
      </c>
      <c r="B290" s="224" t="str">
        <f t="shared" si="9"/>
        <v>I-044-50</v>
      </c>
      <c r="C290" s="45" t="s">
        <v>207</v>
      </c>
      <c r="D290" s="45">
        <v>50</v>
      </c>
      <c r="E290" s="45" t="s">
        <v>607</v>
      </c>
      <c r="F290" s="42" t="str">
        <f>_xlfn.XLOOKUP(E290, 'S11 Work Stations'!$A$2:$A$45, 'S11 Work Stations'!$B$2:$B$45, "NOT FOUND", 0)</f>
        <v>SAW-30-160-252</v>
      </c>
      <c r="G290" s="45">
        <v>180</v>
      </c>
      <c r="H290" s="3">
        <v>200</v>
      </c>
    </row>
    <row r="291" spans="1:8" s="44" customFormat="1" x14ac:dyDescent="0.2">
      <c r="A291" s="224" t="str">
        <f t="shared" si="8"/>
        <v>I-044-WS-38</v>
      </c>
      <c r="B291" s="224" t="str">
        <f t="shared" si="9"/>
        <v>I-044-20</v>
      </c>
      <c r="C291" s="45" t="s">
        <v>207</v>
      </c>
      <c r="D291" s="45">
        <v>20</v>
      </c>
      <c r="E291" s="45" t="s">
        <v>611</v>
      </c>
      <c r="F291" s="42" t="str">
        <f>_xlfn.XLOOKUP(E291, 'S11 Work Stations'!$A$2:$A$45, 'S11 Work Stations'!$B$2:$B$45, "NOT FOUND", 0)</f>
        <v>SAW-150-423</v>
      </c>
      <c r="G291" s="45">
        <v>120</v>
      </c>
      <c r="H291" s="3">
        <v>200</v>
      </c>
    </row>
    <row r="292" spans="1:8" s="44" customFormat="1" x14ac:dyDescent="0.2">
      <c r="A292" s="224" t="str">
        <f t="shared" si="8"/>
        <v>I-044-WS-43</v>
      </c>
      <c r="B292" s="224" t="str">
        <f t="shared" si="9"/>
        <v>I-044-10</v>
      </c>
      <c r="C292" s="45" t="s">
        <v>207</v>
      </c>
      <c r="D292" s="45">
        <v>10</v>
      </c>
      <c r="E292" s="45" t="s">
        <v>616</v>
      </c>
      <c r="F292" s="42" t="str">
        <f>_xlfn.XLOOKUP(E292, 'S11 Work Stations'!$A$2:$A$45, 'S11 Work Stations'!$B$2:$B$45, "NOT FOUND", 0)</f>
        <v>RAW-MAT-INV</v>
      </c>
      <c r="G292" s="45">
        <v>0</v>
      </c>
      <c r="H292" s="3">
        <v>200</v>
      </c>
    </row>
    <row r="293" spans="1:8" s="44" customFormat="1" x14ac:dyDescent="0.2">
      <c r="A293" s="224" t="str">
        <f t="shared" si="8"/>
        <v>I-044-WS-44</v>
      </c>
      <c r="B293" s="224" t="str">
        <f t="shared" si="9"/>
        <v>I-044-60</v>
      </c>
      <c r="C293" s="45" t="s">
        <v>207</v>
      </c>
      <c r="D293" s="45">
        <v>60</v>
      </c>
      <c r="E293" s="45" t="s">
        <v>617</v>
      </c>
      <c r="F293" s="42" t="str">
        <f>_xlfn.XLOOKUP(E293, 'S11 Work Stations'!$A$2:$A$45, 'S11 Work Stations'!$B$2:$B$45, "NOT FOUND", 0)</f>
        <v>FIN-GOOD-INV</v>
      </c>
      <c r="G293" s="45">
        <v>0</v>
      </c>
      <c r="H293" s="3">
        <v>200</v>
      </c>
    </row>
    <row r="294" spans="1:8" s="44" customFormat="1" x14ac:dyDescent="0.2">
      <c r="A294" s="224" t="str">
        <f t="shared" si="8"/>
        <v>I-045-WS-06</v>
      </c>
      <c r="B294" s="224" t="str">
        <f t="shared" si="9"/>
        <v>I-045-30</v>
      </c>
      <c r="C294" s="45" t="s">
        <v>541</v>
      </c>
      <c r="D294" s="45">
        <v>30</v>
      </c>
      <c r="E294" s="45" t="s">
        <v>579</v>
      </c>
      <c r="F294" s="42" t="str">
        <f>_xlfn.XLOOKUP(E294, 'S11 Work Stations'!$A$2:$A$45, 'S11 Work Stations'!$B$2:$B$45, "NOT FOUND", 0)</f>
        <v>TUR-C1-366</v>
      </c>
      <c r="G294" s="45">
        <v>540</v>
      </c>
      <c r="H294" s="3">
        <v>200</v>
      </c>
    </row>
    <row r="295" spans="1:8" s="44" customFormat="1" x14ac:dyDescent="0.2">
      <c r="A295" s="224" t="str">
        <f t="shared" si="8"/>
        <v>I-045-WS-26</v>
      </c>
      <c r="B295" s="224" t="str">
        <f t="shared" si="9"/>
        <v>I-045-40</v>
      </c>
      <c r="C295" s="45" t="s">
        <v>541</v>
      </c>
      <c r="D295" s="45">
        <v>40</v>
      </c>
      <c r="E295" s="45" t="s">
        <v>599</v>
      </c>
      <c r="F295" s="42" t="str">
        <f>_xlfn.XLOOKUP(E295, 'S11 Work Stations'!$A$2:$A$45, 'S11 Work Stations'!$B$2:$B$45, "NOT FOUND", 0)</f>
        <v>DR-2A2-202</v>
      </c>
      <c r="G295" s="45">
        <v>180</v>
      </c>
      <c r="H295" s="3">
        <v>200</v>
      </c>
    </row>
    <row r="296" spans="1:8" s="44" customFormat="1" x14ac:dyDescent="0.2">
      <c r="A296" s="224" t="str">
        <f t="shared" si="8"/>
        <v>I-045-WS-34</v>
      </c>
      <c r="B296" s="224" t="str">
        <f t="shared" si="9"/>
        <v>I-045-50</v>
      </c>
      <c r="C296" s="45" t="s">
        <v>541</v>
      </c>
      <c r="D296" s="45">
        <v>50</v>
      </c>
      <c r="E296" s="45" t="s">
        <v>607</v>
      </c>
      <c r="F296" s="42" t="str">
        <f>_xlfn.XLOOKUP(E296, 'S11 Work Stations'!$A$2:$A$45, 'S11 Work Stations'!$B$2:$B$45, "NOT FOUND", 0)</f>
        <v>SAW-30-160-252</v>
      </c>
      <c r="G296" s="45">
        <v>180</v>
      </c>
      <c r="H296" s="3">
        <v>200</v>
      </c>
    </row>
    <row r="297" spans="1:8" s="44" customFormat="1" x14ac:dyDescent="0.2">
      <c r="A297" s="224" t="str">
        <f t="shared" si="8"/>
        <v>I-045-WS-38</v>
      </c>
      <c r="B297" s="224" t="str">
        <f t="shared" si="9"/>
        <v>I-045-20</v>
      </c>
      <c r="C297" s="45" t="s">
        <v>541</v>
      </c>
      <c r="D297" s="45">
        <v>20</v>
      </c>
      <c r="E297" s="45" t="s">
        <v>611</v>
      </c>
      <c r="F297" s="42" t="str">
        <f>_xlfn.XLOOKUP(E297, 'S11 Work Stations'!$A$2:$A$45, 'S11 Work Stations'!$B$2:$B$45, "NOT FOUND", 0)</f>
        <v>SAW-150-423</v>
      </c>
      <c r="G297" s="45">
        <v>120</v>
      </c>
      <c r="H297" s="3">
        <v>200</v>
      </c>
    </row>
    <row r="298" spans="1:8" s="44" customFormat="1" x14ac:dyDescent="0.2">
      <c r="A298" s="224" t="str">
        <f t="shared" si="8"/>
        <v>I-045-WS-43</v>
      </c>
      <c r="B298" s="224" t="str">
        <f t="shared" si="9"/>
        <v>I-045-10</v>
      </c>
      <c r="C298" s="45" t="s">
        <v>541</v>
      </c>
      <c r="D298" s="45">
        <v>10</v>
      </c>
      <c r="E298" s="45" t="s">
        <v>616</v>
      </c>
      <c r="F298" s="42" t="str">
        <f>_xlfn.XLOOKUP(E298, 'S11 Work Stations'!$A$2:$A$45, 'S11 Work Stations'!$B$2:$B$45, "NOT FOUND", 0)</f>
        <v>RAW-MAT-INV</v>
      </c>
      <c r="G298" s="45">
        <v>0</v>
      </c>
      <c r="H298" s="3">
        <v>200</v>
      </c>
    </row>
    <row r="299" spans="1:8" s="44" customFormat="1" x14ac:dyDescent="0.2">
      <c r="A299" s="224" t="str">
        <f t="shared" si="8"/>
        <v>I-045-WS-44</v>
      </c>
      <c r="B299" s="224" t="str">
        <f t="shared" si="9"/>
        <v>I-045-60</v>
      </c>
      <c r="C299" s="45" t="s">
        <v>541</v>
      </c>
      <c r="D299" s="45">
        <v>60</v>
      </c>
      <c r="E299" s="45" t="s">
        <v>617</v>
      </c>
      <c r="F299" s="42" t="str">
        <f>_xlfn.XLOOKUP(E299, 'S11 Work Stations'!$A$2:$A$45, 'S11 Work Stations'!$B$2:$B$45, "NOT FOUND", 0)</f>
        <v>FIN-GOOD-INV</v>
      </c>
      <c r="G299" s="45">
        <v>0</v>
      </c>
      <c r="H299" s="3">
        <v>200</v>
      </c>
    </row>
    <row r="300" spans="1:8" s="44" customFormat="1" x14ac:dyDescent="0.2">
      <c r="A300" s="224" t="str">
        <f t="shared" si="8"/>
        <v>I-046-WS-06</v>
      </c>
      <c r="B300" s="224" t="str">
        <f t="shared" si="9"/>
        <v>I-046-30</v>
      </c>
      <c r="C300" s="45" t="s">
        <v>542</v>
      </c>
      <c r="D300" s="45">
        <v>30</v>
      </c>
      <c r="E300" s="45" t="s">
        <v>579</v>
      </c>
      <c r="F300" s="42" t="str">
        <f>_xlfn.XLOOKUP(E300, 'S11 Work Stations'!$A$2:$A$45, 'S11 Work Stations'!$B$2:$B$45, "NOT FOUND", 0)</f>
        <v>TUR-C1-366</v>
      </c>
      <c r="G300" s="45">
        <v>480</v>
      </c>
      <c r="H300" s="3">
        <v>200</v>
      </c>
    </row>
    <row r="301" spans="1:8" s="44" customFormat="1" x14ac:dyDescent="0.2">
      <c r="A301" s="224" t="str">
        <f t="shared" si="8"/>
        <v>I-046-WS-26</v>
      </c>
      <c r="B301" s="224" t="str">
        <f t="shared" si="9"/>
        <v>I-046-40</v>
      </c>
      <c r="C301" s="45" t="s">
        <v>542</v>
      </c>
      <c r="D301" s="45">
        <v>40</v>
      </c>
      <c r="E301" s="45" t="s">
        <v>599</v>
      </c>
      <c r="F301" s="42" t="str">
        <f>_xlfn.XLOOKUP(E301, 'S11 Work Stations'!$A$2:$A$45, 'S11 Work Stations'!$B$2:$B$45, "NOT FOUND", 0)</f>
        <v>DR-2A2-202</v>
      </c>
      <c r="G301" s="45">
        <v>180</v>
      </c>
      <c r="H301" s="3">
        <v>200</v>
      </c>
    </row>
    <row r="302" spans="1:8" s="44" customFormat="1" x14ac:dyDescent="0.2">
      <c r="A302" s="224" t="str">
        <f t="shared" si="8"/>
        <v>I-046-WS-34</v>
      </c>
      <c r="B302" s="224" t="str">
        <f t="shared" si="9"/>
        <v>I-046-50</v>
      </c>
      <c r="C302" s="45" t="s">
        <v>542</v>
      </c>
      <c r="D302" s="45">
        <v>50</v>
      </c>
      <c r="E302" s="45" t="s">
        <v>607</v>
      </c>
      <c r="F302" s="42" t="str">
        <f>_xlfn.XLOOKUP(E302, 'S11 Work Stations'!$A$2:$A$45, 'S11 Work Stations'!$B$2:$B$45, "NOT FOUND", 0)</f>
        <v>SAW-30-160-252</v>
      </c>
      <c r="G302" s="45">
        <v>180</v>
      </c>
      <c r="H302" s="3">
        <v>200</v>
      </c>
    </row>
    <row r="303" spans="1:8" s="44" customFormat="1" x14ac:dyDescent="0.2">
      <c r="A303" s="224" t="str">
        <f t="shared" si="8"/>
        <v>I-046-WS-39</v>
      </c>
      <c r="B303" s="224" t="str">
        <f t="shared" si="9"/>
        <v>I-046-20</v>
      </c>
      <c r="C303" s="45" t="s">
        <v>542</v>
      </c>
      <c r="D303" s="45">
        <v>20</v>
      </c>
      <c r="E303" s="45" t="s">
        <v>612</v>
      </c>
      <c r="F303" s="42" t="str">
        <f>_xlfn.XLOOKUP(E303, 'S11 Work Stations'!$A$2:$A$45, 'S11 Work Stations'!$B$2:$B$45, "NOT FOUND", 0)</f>
        <v>SAW-400-424</v>
      </c>
      <c r="G303" s="45">
        <v>120</v>
      </c>
      <c r="H303" s="3">
        <v>200</v>
      </c>
    </row>
    <row r="304" spans="1:8" s="44" customFormat="1" x14ac:dyDescent="0.2">
      <c r="A304" s="224" t="str">
        <f t="shared" si="8"/>
        <v>I-046-WS-43</v>
      </c>
      <c r="B304" s="224" t="str">
        <f t="shared" si="9"/>
        <v>I-046-10</v>
      </c>
      <c r="C304" s="45" t="s">
        <v>542</v>
      </c>
      <c r="D304" s="45">
        <v>10</v>
      </c>
      <c r="E304" s="45" t="s">
        <v>616</v>
      </c>
      <c r="F304" s="42" t="str">
        <f>_xlfn.XLOOKUP(E304, 'S11 Work Stations'!$A$2:$A$45, 'S11 Work Stations'!$B$2:$B$45, "NOT FOUND", 0)</f>
        <v>RAW-MAT-INV</v>
      </c>
      <c r="G304" s="45">
        <v>0</v>
      </c>
      <c r="H304" s="3">
        <v>200</v>
      </c>
    </row>
    <row r="305" spans="1:8" s="44" customFormat="1" x14ac:dyDescent="0.2">
      <c r="A305" s="224" t="str">
        <f t="shared" si="8"/>
        <v>I-046-WS-44</v>
      </c>
      <c r="B305" s="224" t="str">
        <f t="shared" si="9"/>
        <v>I-046-60</v>
      </c>
      <c r="C305" s="45" t="s">
        <v>542</v>
      </c>
      <c r="D305" s="45">
        <v>60</v>
      </c>
      <c r="E305" s="45" t="s">
        <v>617</v>
      </c>
      <c r="F305" s="42" t="str">
        <f>_xlfn.XLOOKUP(E305, 'S11 Work Stations'!$A$2:$A$45, 'S11 Work Stations'!$B$2:$B$45, "NOT FOUND", 0)</f>
        <v>FIN-GOOD-INV</v>
      </c>
      <c r="G305" s="45">
        <v>0</v>
      </c>
      <c r="H305" s="3">
        <v>200</v>
      </c>
    </row>
    <row r="306" spans="1:8" s="44" customFormat="1" x14ac:dyDescent="0.2">
      <c r="A306" s="224" t="str">
        <f t="shared" si="8"/>
        <v>I-047-WS-06</v>
      </c>
      <c r="B306" s="224" t="str">
        <f t="shared" si="9"/>
        <v>I-047-30</v>
      </c>
      <c r="C306" s="45" t="s">
        <v>543</v>
      </c>
      <c r="D306" s="45">
        <v>30</v>
      </c>
      <c r="E306" s="45" t="s">
        <v>579</v>
      </c>
      <c r="F306" s="42" t="str">
        <f>_xlfn.XLOOKUP(E306, 'S11 Work Stations'!$A$2:$A$45, 'S11 Work Stations'!$B$2:$B$45, "NOT FOUND", 0)</f>
        <v>TUR-C1-366</v>
      </c>
      <c r="G306" s="45">
        <v>480</v>
      </c>
      <c r="H306" s="3">
        <v>200</v>
      </c>
    </row>
    <row r="307" spans="1:8" s="44" customFormat="1" x14ac:dyDescent="0.2">
      <c r="A307" s="224" t="str">
        <f t="shared" si="8"/>
        <v>I-047-WS-23</v>
      </c>
      <c r="B307" s="224" t="str">
        <f t="shared" si="9"/>
        <v>I-047-60</v>
      </c>
      <c r="C307" s="45" t="s">
        <v>543</v>
      </c>
      <c r="D307" s="45">
        <v>60</v>
      </c>
      <c r="E307" s="45" t="s">
        <v>596</v>
      </c>
      <c r="F307" s="42" t="str">
        <f>_xlfn.XLOOKUP(E307, 'S11 Work Stations'!$A$2:$A$45, 'S11 Work Stations'!$B$2:$B$45, "NOT FOUND", 0)</f>
        <v>MIL-U2-607</v>
      </c>
      <c r="G307" s="45">
        <v>180</v>
      </c>
      <c r="H307" s="3">
        <v>200</v>
      </c>
    </row>
    <row r="308" spans="1:8" s="44" customFormat="1" x14ac:dyDescent="0.2">
      <c r="A308" s="224" t="str">
        <f t="shared" si="8"/>
        <v>I-047-WS-26</v>
      </c>
      <c r="B308" s="224" t="str">
        <f t="shared" si="9"/>
        <v>I-047-40</v>
      </c>
      <c r="C308" s="45" t="s">
        <v>543</v>
      </c>
      <c r="D308" s="45">
        <v>40</v>
      </c>
      <c r="E308" s="45" t="s">
        <v>599</v>
      </c>
      <c r="F308" s="42" t="str">
        <f>_xlfn.XLOOKUP(E308, 'S11 Work Stations'!$A$2:$A$45, 'S11 Work Stations'!$B$2:$B$45, "NOT FOUND", 0)</f>
        <v>DR-2A2-202</v>
      </c>
      <c r="G308" s="45">
        <v>120</v>
      </c>
      <c r="H308" s="3">
        <v>200</v>
      </c>
    </row>
    <row r="309" spans="1:8" s="44" customFormat="1" x14ac:dyDescent="0.2">
      <c r="A309" s="224" t="str">
        <f t="shared" si="8"/>
        <v>I-047-WS-33</v>
      </c>
      <c r="B309" s="224" t="str">
        <f t="shared" si="9"/>
        <v>I-047-50</v>
      </c>
      <c r="C309" s="45" t="s">
        <v>543</v>
      </c>
      <c r="D309" s="45">
        <v>50</v>
      </c>
      <c r="E309" s="45" t="s">
        <v>606</v>
      </c>
      <c r="F309" s="42" t="str">
        <f>_xlfn.XLOOKUP(E309, 'S11 Work Stations'!$A$2:$A$45, 'S11 Work Stations'!$B$2:$B$45, "NOT FOUND", 0)</f>
        <v>SAW-50-150-252</v>
      </c>
      <c r="G309" s="45">
        <v>360</v>
      </c>
      <c r="H309" s="3">
        <v>200</v>
      </c>
    </row>
    <row r="310" spans="1:8" s="44" customFormat="1" x14ac:dyDescent="0.2">
      <c r="A310" s="224" t="str">
        <f t="shared" si="8"/>
        <v>I-047-WS-39</v>
      </c>
      <c r="B310" s="224" t="str">
        <f t="shared" si="9"/>
        <v>I-047-20</v>
      </c>
      <c r="C310" s="45" t="s">
        <v>543</v>
      </c>
      <c r="D310" s="45">
        <v>20</v>
      </c>
      <c r="E310" s="45" t="s">
        <v>612</v>
      </c>
      <c r="F310" s="42" t="str">
        <f>_xlfn.XLOOKUP(E310, 'S11 Work Stations'!$A$2:$A$45, 'S11 Work Stations'!$B$2:$B$45, "NOT FOUND", 0)</f>
        <v>SAW-400-424</v>
      </c>
      <c r="G310" s="45">
        <v>120</v>
      </c>
      <c r="H310" s="3">
        <v>200</v>
      </c>
    </row>
    <row r="311" spans="1:8" s="44" customFormat="1" x14ac:dyDescent="0.2">
      <c r="A311" s="224" t="str">
        <f t="shared" si="8"/>
        <v>I-047-WS-43</v>
      </c>
      <c r="B311" s="224" t="str">
        <f t="shared" si="9"/>
        <v>I-047-10</v>
      </c>
      <c r="C311" s="45" t="s">
        <v>543</v>
      </c>
      <c r="D311" s="45">
        <v>10</v>
      </c>
      <c r="E311" s="45" t="s">
        <v>616</v>
      </c>
      <c r="F311" s="42" t="str">
        <f>_xlfn.XLOOKUP(E311, 'S11 Work Stations'!$A$2:$A$45, 'S11 Work Stations'!$B$2:$B$45, "NOT FOUND", 0)</f>
        <v>RAW-MAT-INV</v>
      </c>
      <c r="G311" s="45">
        <v>0</v>
      </c>
      <c r="H311" s="3">
        <v>200</v>
      </c>
    </row>
    <row r="312" spans="1:8" s="44" customFormat="1" x14ac:dyDescent="0.2">
      <c r="A312" s="224" t="str">
        <f t="shared" si="8"/>
        <v>I-047-WS-44</v>
      </c>
      <c r="B312" s="224" t="str">
        <f t="shared" si="9"/>
        <v>I-047-70</v>
      </c>
      <c r="C312" s="45" t="s">
        <v>543</v>
      </c>
      <c r="D312" s="45">
        <v>70</v>
      </c>
      <c r="E312" s="45" t="s">
        <v>617</v>
      </c>
      <c r="F312" s="42" t="str">
        <f>_xlfn.XLOOKUP(E312, 'S11 Work Stations'!$A$2:$A$45, 'S11 Work Stations'!$B$2:$B$45, "NOT FOUND", 0)</f>
        <v>FIN-GOOD-INV</v>
      </c>
      <c r="G312" s="45">
        <v>0</v>
      </c>
      <c r="H312" s="3">
        <v>200</v>
      </c>
    </row>
    <row r="313" spans="1:8" s="44" customFormat="1" x14ac:dyDescent="0.2">
      <c r="A313" s="224" t="str">
        <f t="shared" si="8"/>
        <v>I-048-WS-06</v>
      </c>
      <c r="B313" s="224" t="str">
        <f t="shared" si="9"/>
        <v>I-048-30</v>
      </c>
      <c r="C313" s="45" t="s">
        <v>544</v>
      </c>
      <c r="D313" s="45">
        <v>30</v>
      </c>
      <c r="E313" s="45" t="s">
        <v>579</v>
      </c>
      <c r="F313" s="42" t="str">
        <f>_xlfn.XLOOKUP(E313, 'S11 Work Stations'!$A$2:$A$45, 'S11 Work Stations'!$B$2:$B$45, "NOT FOUND", 0)</f>
        <v>TUR-C1-366</v>
      </c>
      <c r="G313" s="45">
        <v>360</v>
      </c>
      <c r="H313" s="3">
        <v>200</v>
      </c>
    </row>
    <row r="314" spans="1:8" s="44" customFormat="1" x14ac:dyDescent="0.2">
      <c r="A314" s="224" t="str">
        <f t="shared" si="8"/>
        <v>I-048-WS-25</v>
      </c>
      <c r="B314" s="224" t="str">
        <f t="shared" si="9"/>
        <v>I-048-60</v>
      </c>
      <c r="C314" s="45" t="s">
        <v>544</v>
      </c>
      <c r="D314" s="45">
        <v>60</v>
      </c>
      <c r="E314" s="45" t="s">
        <v>598</v>
      </c>
      <c r="F314" s="42" t="str">
        <f>_xlfn.XLOOKUP(E314, 'S11 Work Stations'!$A$2:$A$45, 'S11 Work Stations'!$B$2:$B$45, "NOT FOUND", 0)</f>
        <v>DR-2A-201</v>
      </c>
      <c r="G314" s="45">
        <v>1440</v>
      </c>
      <c r="H314" s="3">
        <v>200</v>
      </c>
    </row>
    <row r="315" spans="1:8" s="44" customFormat="1" x14ac:dyDescent="0.2">
      <c r="A315" s="224" t="str">
        <f t="shared" si="8"/>
        <v>I-048-WS-30</v>
      </c>
      <c r="B315" s="224" t="str">
        <f t="shared" si="9"/>
        <v>I-048-40</v>
      </c>
      <c r="C315" s="45" t="s">
        <v>544</v>
      </c>
      <c r="D315" s="45">
        <v>40</v>
      </c>
      <c r="E315" s="45" t="s">
        <v>603</v>
      </c>
      <c r="F315" s="42" t="str">
        <f>_xlfn.XLOOKUP(E315, 'S11 Work Stations'!$A$2:$A$45, 'S11 Work Stations'!$B$2:$B$45, "NOT FOUND", 0)</f>
        <v>DR-3A-206</v>
      </c>
      <c r="G315" s="45">
        <v>300</v>
      </c>
      <c r="H315" s="3">
        <v>200</v>
      </c>
    </row>
    <row r="316" spans="1:8" s="44" customFormat="1" x14ac:dyDescent="0.2">
      <c r="A316" s="224" t="str">
        <f t="shared" si="8"/>
        <v>I-048-WS-33</v>
      </c>
      <c r="B316" s="224" t="str">
        <f t="shared" si="9"/>
        <v>I-048-50</v>
      </c>
      <c r="C316" s="45" t="s">
        <v>544</v>
      </c>
      <c r="D316" s="45">
        <v>50</v>
      </c>
      <c r="E316" s="45" t="s">
        <v>606</v>
      </c>
      <c r="F316" s="42" t="str">
        <f>_xlfn.XLOOKUP(E316, 'S11 Work Stations'!$A$2:$A$45, 'S11 Work Stations'!$B$2:$B$45, "NOT FOUND", 0)</f>
        <v>SAW-50-150-252</v>
      </c>
      <c r="G316" s="45">
        <v>420</v>
      </c>
      <c r="H316" s="3">
        <v>200</v>
      </c>
    </row>
    <row r="317" spans="1:8" s="44" customFormat="1" x14ac:dyDescent="0.2">
      <c r="A317" s="224" t="str">
        <f t="shared" si="8"/>
        <v>I-048-WS-39</v>
      </c>
      <c r="B317" s="224" t="str">
        <f t="shared" si="9"/>
        <v>I-048-20</v>
      </c>
      <c r="C317" s="45" t="s">
        <v>544</v>
      </c>
      <c r="D317" s="45">
        <v>20</v>
      </c>
      <c r="E317" s="45" t="s">
        <v>612</v>
      </c>
      <c r="F317" s="42" t="str">
        <f>_xlfn.XLOOKUP(E317, 'S11 Work Stations'!$A$2:$A$45, 'S11 Work Stations'!$B$2:$B$45, "NOT FOUND", 0)</f>
        <v>SAW-400-424</v>
      </c>
      <c r="G317" s="45">
        <v>120</v>
      </c>
      <c r="H317" s="3">
        <v>200</v>
      </c>
    </row>
    <row r="318" spans="1:8" s="44" customFormat="1" x14ac:dyDescent="0.2">
      <c r="A318" s="224" t="str">
        <f t="shared" si="8"/>
        <v>I-048-WS-43</v>
      </c>
      <c r="B318" s="224" t="str">
        <f t="shared" si="9"/>
        <v>I-048-10</v>
      </c>
      <c r="C318" s="45" t="s">
        <v>544</v>
      </c>
      <c r="D318" s="45">
        <v>10</v>
      </c>
      <c r="E318" s="45" t="s">
        <v>616</v>
      </c>
      <c r="F318" s="42" t="str">
        <f>_xlfn.XLOOKUP(E318, 'S11 Work Stations'!$A$2:$A$45, 'S11 Work Stations'!$B$2:$B$45, "NOT FOUND", 0)</f>
        <v>RAW-MAT-INV</v>
      </c>
      <c r="G318" s="45">
        <v>0</v>
      </c>
      <c r="H318" s="3">
        <v>200</v>
      </c>
    </row>
    <row r="319" spans="1:8" s="44" customFormat="1" x14ac:dyDescent="0.2">
      <c r="A319" s="224" t="str">
        <f t="shared" si="8"/>
        <v>I-048-WS-44</v>
      </c>
      <c r="B319" s="224" t="str">
        <f t="shared" si="9"/>
        <v>I-048-70</v>
      </c>
      <c r="C319" s="45" t="s">
        <v>544</v>
      </c>
      <c r="D319" s="45">
        <v>70</v>
      </c>
      <c r="E319" s="45" t="s">
        <v>617</v>
      </c>
      <c r="F319" s="42" t="str">
        <f>_xlfn.XLOOKUP(E319, 'S11 Work Stations'!$A$2:$A$45, 'S11 Work Stations'!$B$2:$B$45, "NOT FOUND", 0)</f>
        <v>FIN-GOOD-INV</v>
      </c>
      <c r="G319" s="45">
        <v>0</v>
      </c>
      <c r="H319" s="3">
        <v>200</v>
      </c>
    </row>
    <row r="320" spans="1:8" s="44" customFormat="1" x14ac:dyDescent="0.2">
      <c r="A320" s="224" t="str">
        <f t="shared" si="8"/>
        <v>I-049-WS-06</v>
      </c>
      <c r="B320" s="224" t="str">
        <f t="shared" si="9"/>
        <v>I-049-30</v>
      </c>
      <c r="C320" s="45" t="s">
        <v>545</v>
      </c>
      <c r="D320" s="45">
        <v>30</v>
      </c>
      <c r="E320" s="45" t="s">
        <v>579</v>
      </c>
      <c r="F320" s="42" t="str">
        <f>_xlfn.XLOOKUP(E320, 'S11 Work Stations'!$A$2:$A$45, 'S11 Work Stations'!$B$2:$B$45, "NOT FOUND", 0)</f>
        <v>TUR-C1-366</v>
      </c>
      <c r="G320" s="45">
        <v>360</v>
      </c>
      <c r="H320" s="3">
        <v>200</v>
      </c>
    </row>
    <row r="321" spans="1:8" s="44" customFormat="1" x14ac:dyDescent="0.2">
      <c r="A321" s="224" t="str">
        <f t="shared" si="8"/>
        <v>I-049-WS-23</v>
      </c>
      <c r="B321" s="224" t="str">
        <f t="shared" si="9"/>
        <v>I-049-60</v>
      </c>
      <c r="C321" s="45" t="s">
        <v>545</v>
      </c>
      <c r="D321" s="45">
        <v>60</v>
      </c>
      <c r="E321" s="45" t="s">
        <v>596</v>
      </c>
      <c r="F321" s="42" t="str">
        <f>_xlfn.XLOOKUP(E321, 'S11 Work Stations'!$A$2:$A$45, 'S11 Work Stations'!$B$2:$B$45, "NOT FOUND", 0)</f>
        <v>MIL-U2-607</v>
      </c>
      <c r="G321" s="45">
        <v>180</v>
      </c>
      <c r="H321" s="3">
        <v>200</v>
      </c>
    </row>
    <row r="322" spans="1:8" s="44" customFormat="1" x14ac:dyDescent="0.2">
      <c r="A322" s="224" t="str">
        <f t="shared" si="8"/>
        <v>I-049-WS-30</v>
      </c>
      <c r="B322" s="224" t="str">
        <f t="shared" si="9"/>
        <v>I-049-40</v>
      </c>
      <c r="C322" s="45" t="s">
        <v>545</v>
      </c>
      <c r="D322" s="45">
        <v>40</v>
      </c>
      <c r="E322" s="45" t="s">
        <v>603</v>
      </c>
      <c r="F322" s="42" t="str">
        <f>_xlfn.XLOOKUP(E322, 'S11 Work Stations'!$A$2:$A$45, 'S11 Work Stations'!$B$2:$B$45, "NOT FOUND", 0)</f>
        <v>DR-3A-206</v>
      </c>
      <c r="G322" s="45">
        <v>300</v>
      </c>
      <c r="H322" s="3">
        <v>200</v>
      </c>
    </row>
    <row r="323" spans="1:8" s="44" customFormat="1" x14ac:dyDescent="0.2">
      <c r="A323" s="224" t="str">
        <f t="shared" ref="A323:A386" si="10">C323&amp;"-"&amp;E323</f>
        <v>I-049-WS-35</v>
      </c>
      <c r="B323" s="224" t="str">
        <f t="shared" ref="B323:B386" si="11">C323&amp;"-"&amp;D323</f>
        <v>I-049-50</v>
      </c>
      <c r="C323" s="45" t="s">
        <v>545</v>
      </c>
      <c r="D323" s="45">
        <v>50</v>
      </c>
      <c r="E323" s="45" t="s">
        <v>608</v>
      </c>
      <c r="F323" s="42" t="str">
        <f>_xlfn.XLOOKUP(E323, 'S11 Work Stations'!$A$2:$A$45, 'S11 Work Stations'!$B$2:$B$45, "NOT FOUND", 0)</f>
        <v>SAW-35-100-254</v>
      </c>
      <c r="G323" s="45">
        <v>480</v>
      </c>
      <c r="H323" s="3">
        <v>200</v>
      </c>
    </row>
    <row r="324" spans="1:8" s="44" customFormat="1" x14ac:dyDescent="0.2">
      <c r="A324" s="224" t="str">
        <f t="shared" si="10"/>
        <v>I-049-WS-39</v>
      </c>
      <c r="B324" s="224" t="str">
        <f t="shared" si="11"/>
        <v>I-049-20</v>
      </c>
      <c r="C324" s="45" t="s">
        <v>545</v>
      </c>
      <c r="D324" s="45">
        <v>20</v>
      </c>
      <c r="E324" s="45" t="s">
        <v>612</v>
      </c>
      <c r="F324" s="42" t="str">
        <f>_xlfn.XLOOKUP(E324, 'S11 Work Stations'!$A$2:$A$45, 'S11 Work Stations'!$B$2:$B$45, "NOT FOUND", 0)</f>
        <v>SAW-400-424</v>
      </c>
      <c r="G324" s="45">
        <v>120</v>
      </c>
      <c r="H324" s="3">
        <v>200</v>
      </c>
    </row>
    <row r="325" spans="1:8" s="44" customFormat="1" x14ac:dyDescent="0.2">
      <c r="A325" s="224" t="str">
        <f t="shared" si="10"/>
        <v>I-049-WS-43</v>
      </c>
      <c r="B325" s="224" t="str">
        <f t="shared" si="11"/>
        <v>I-049-10</v>
      </c>
      <c r="C325" s="45" t="s">
        <v>545</v>
      </c>
      <c r="D325" s="45">
        <v>10</v>
      </c>
      <c r="E325" s="45" t="s">
        <v>616</v>
      </c>
      <c r="F325" s="42" t="str">
        <f>_xlfn.XLOOKUP(E325, 'S11 Work Stations'!$A$2:$A$45, 'S11 Work Stations'!$B$2:$B$45, "NOT FOUND", 0)</f>
        <v>RAW-MAT-INV</v>
      </c>
      <c r="G325" s="45">
        <v>0</v>
      </c>
      <c r="H325" s="3">
        <v>200</v>
      </c>
    </row>
    <row r="326" spans="1:8" s="44" customFormat="1" x14ac:dyDescent="0.2">
      <c r="A326" s="224" t="str">
        <f t="shared" si="10"/>
        <v>I-049-WS-44</v>
      </c>
      <c r="B326" s="224" t="str">
        <f t="shared" si="11"/>
        <v>I-049-70</v>
      </c>
      <c r="C326" s="45" t="s">
        <v>545</v>
      </c>
      <c r="D326" s="45">
        <v>70</v>
      </c>
      <c r="E326" s="45" t="s">
        <v>617</v>
      </c>
      <c r="F326" s="42" t="str">
        <f>_xlfn.XLOOKUP(E326, 'S11 Work Stations'!$A$2:$A$45, 'S11 Work Stations'!$B$2:$B$45, "NOT FOUND", 0)</f>
        <v>FIN-GOOD-INV</v>
      </c>
      <c r="G326" s="45">
        <v>0</v>
      </c>
      <c r="H326" s="3">
        <v>200</v>
      </c>
    </row>
    <row r="327" spans="1:8" s="44" customFormat="1" x14ac:dyDescent="0.2">
      <c r="A327" s="224" t="str">
        <f t="shared" si="10"/>
        <v>I-050-WS-07</v>
      </c>
      <c r="B327" s="224" t="str">
        <f t="shared" si="11"/>
        <v>I-050-30</v>
      </c>
      <c r="C327" s="45" t="s">
        <v>546</v>
      </c>
      <c r="D327" s="45">
        <v>30</v>
      </c>
      <c r="E327" s="45" t="s">
        <v>580</v>
      </c>
      <c r="F327" s="42" t="str">
        <f>_xlfn.XLOOKUP(E327, 'S11 Work Stations'!$A$2:$A$45, 'S11 Work Stations'!$B$2:$B$45, "NOT FOUND", 0)</f>
        <v>TUR-C2-367</v>
      </c>
      <c r="G327" s="45">
        <v>300</v>
      </c>
      <c r="H327" s="3">
        <v>200</v>
      </c>
    </row>
    <row r="328" spans="1:8" s="44" customFormat="1" x14ac:dyDescent="0.2">
      <c r="A328" s="224" t="str">
        <f t="shared" si="10"/>
        <v>I-050-WS-25</v>
      </c>
      <c r="B328" s="224" t="str">
        <f t="shared" si="11"/>
        <v>I-050-60</v>
      </c>
      <c r="C328" s="45" t="s">
        <v>546</v>
      </c>
      <c r="D328" s="45">
        <v>60</v>
      </c>
      <c r="E328" s="45" t="s">
        <v>598</v>
      </c>
      <c r="F328" s="42" t="str">
        <f>_xlfn.XLOOKUP(E328, 'S11 Work Stations'!$A$2:$A$45, 'S11 Work Stations'!$B$2:$B$45, "NOT FOUND", 0)</f>
        <v>DR-2A-201</v>
      </c>
      <c r="G328" s="45">
        <v>420</v>
      </c>
      <c r="H328" s="3">
        <v>200</v>
      </c>
    </row>
    <row r="329" spans="1:8" s="44" customFormat="1" x14ac:dyDescent="0.2">
      <c r="A329" s="224" t="str">
        <f t="shared" si="10"/>
        <v>I-050-WS-30</v>
      </c>
      <c r="B329" s="224" t="str">
        <f t="shared" si="11"/>
        <v>I-050-40</v>
      </c>
      <c r="C329" s="45" t="s">
        <v>546</v>
      </c>
      <c r="D329" s="45">
        <v>40</v>
      </c>
      <c r="E329" s="45" t="s">
        <v>603</v>
      </c>
      <c r="F329" s="42" t="str">
        <f>_xlfn.XLOOKUP(E329, 'S11 Work Stations'!$A$2:$A$45, 'S11 Work Stations'!$B$2:$B$45, "NOT FOUND", 0)</f>
        <v>DR-3A-206</v>
      </c>
      <c r="G329" s="45">
        <v>300</v>
      </c>
      <c r="H329" s="3">
        <v>200</v>
      </c>
    </row>
    <row r="330" spans="1:8" s="44" customFormat="1" x14ac:dyDescent="0.2">
      <c r="A330" s="224" t="str">
        <f t="shared" si="10"/>
        <v>I-050-WS-35</v>
      </c>
      <c r="B330" s="224" t="str">
        <f t="shared" si="11"/>
        <v>I-050-50</v>
      </c>
      <c r="C330" s="45" t="s">
        <v>546</v>
      </c>
      <c r="D330" s="45">
        <v>50</v>
      </c>
      <c r="E330" s="45" t="s">
        <v>608</v>
      </c>
      <c r="F330" s="42" t="str">
        <f>_xlfn.XLOOKUP(E330, 'S11 Work Stations'!$A$2:$A$45, 'S11 Work Stations'!$B$2:$B$45, "NOT FOUND", 0)</f>
        <v>SAW-35-100-254</v>
      </c>
      <c r="G330" s="45">
        <v>180</v>
      </c>
      <c r="H330" s="3">
        <v>200</v>
      </c>
    </row>
    <row r="331" spans="1:8" s="44" customFormat="1" x14ac:dyDescent="0.2">
      <c r="A331" s="224" t="str">
        <f t="shared" si="10"/>
        <v>I-050-WS-39</v>
      </c>
      <c r="B331" s="224" t="str">
        <f t="shared" si="11"/>
        <v>I-050-20</v>
      </c>
      <c r="C331" s="45" t="s">
        <v>546</v>
      </c>
      <c r="D331" s="45">
        <v>20</v>
      </c>
      <c r="E331" s="45" t="s">
        <v>612</v>
      </c>
      <c r="F331" s="42" t="str">
        <f>_xlfn.XLOOKUP(E331, 'S11 Work Stations'!$A$2:$A$45, 'S11 Work Stations'!$B$2:$B$45, "NOT FOUND", 0)</f>
        <v>SAW-400-424</v>
      </c>
      <c r="G331" s="45">
        <v>120</v>
      </c>
      <c r="H331" s="3">
        <v>200</v>
      </c>
    </row>
    <row r="332" spans="1:8" s="44" customFormat="1" x14ac:dyDescent="0.2">
      <c r="A332" s="224" t="str">
        <f t="shared" si="10"/>
        <v>I-050-WS-43</v>
      </c>
      <c r="B332" s="224" t="str">
        <f t="shared" si="11"/>
        <v>I-050-10</v>
      </c>
      <c r="C332" s="45" t="s">
        <v>546</v>
      </c>
      <c r="D332" s="45">
        <v>10</v>
      </c>
      <c r="E332" s="45" t="s">
        <v>616</v>
      </c>
      <c r="F332" s="42" t="str">
        <f>_xlfn.XLOOKUP(E332, 'S11 Work Stations'!$A$2:$A$45, 'S11 Work Stations'!$B$2:$B$45, "NOT FOUND", 0)</f>
        <v>RAW-MAT-INV</v>
      </c>
      <c r="G332" s="45">
        <v>0</v>
      </c>
      <c r="H332" s="3">
        <v>200</v>
      </c>
    </row>
    <row r="333" spans="1:8" s="44" customFormat="1" x14ac:dyDescent="0.2">
      <c r="A333" s="224" t="str">
        <f t="shared" si="10"/>
        <v>I-050-WS-44</v>
      </c>
      <c r="B333" s="224" t="str">
        <f t="shared" si="11"/>
        <v>I-050-70</v>
      </c>
      <c r="C333" s="45" t="s">
        <v>546</v>
      </c>
      <c r="D333" s="45">
        <v>70</v>
      </c>
      <c r="E333" s="45" t="s">
        <v>617</v>
      </c>
      <c r="F333" s="42" t="str">
        <f>_xlfn.XLOOKUP(E333, 'S11 Work Stations'!$A$2:$A$45, 'S11 Work Stations'!$B$2:$B$45, "NOT FOUND", 0)</f>
        <v>FIN-GOOD-INV</v>
      </c>
      <c r="G333" s="45">
        <v>0</v>
      </c>
      <c r="H333" s="3">
        <v>200</v>
      </c>
    </row>
    <row r="334" spans="1:8" s="44" customFormat="1" x14ac:dyDescent="0.2">
      <c r="A334" s="224" t="str">
        <f t="shared" si="10"/>
        <v>I-051-WS-07</v>
      </c>
      <c r="B334" s="224" t="str">
        <f t="shared" si="11"/>
        <v>I-051-30</v>
      </c>
      <c r="C334" s="45" t="s">
        <v>547</v>
      </c>
      <c r="D334" s="45">
        <v>30</v>
      </c>
      <c r="E334" s="45" t="s">
        <v>580</v>
      </c>
      <c r="F334" s="42" t="str">
        <f>_xlfn.XLOOKUP(E334, 'S11 Work Stations'!$A$2:$A$45, 'S11 Work Stations'!$B$2:$B$45, "NOT FOUND", 0)</f>
        <v>TUR-C2-367</v>
      </c>
      <c r="G334" s="45">
        <v>420</v>
      </c>
      <c r="H334" s="3">
        <v>200</v>
      </c>
    </row>
    <row r="335" spans="1:8" s="44" customFormat="1" x14ac:dyDescent="0.2">
      <c r="A335" s="224" t="str">
        <f t="shared" si="10"/>
        <v>I-051-WS-40</v>
      </c>
      <c r="B335" s="224" t="str">
        <f t="shared" si="11"/>
        <v>I-051-20</v>
      </c>
      <c r="C335" s="45" t="s">
        <v>547</v>
      </c>
      <c r="D335" s="45">
        <v>20</v>
      </c>
      <c r="E335" s="45" t="s">
        <v>613</v>
      </c>
      <c r="F335" s="42" t="str">
        <f>_xlfn.XLOOKUP(E335, 'S11 Work Stations'!$A$2:$A$45, 'S11 Work Stations'!$B$2:$B$45, "NOT FOUND", 0)</f>
        <v>SAW-CNC-40-425</v>
      </c>
      <c r="G335" s="45">
        <v>120</v>
      </c>
      <c r="H335" s="3">
        <v>200</v>
      </c>
    </row>
    <row r="336" spans="1:8" s="44" customFormat="1" x14ac:dyDescent="0.2">
      <c r="A336" s="224" t="str">
        <f t="shared" si="10"/>
        <v>I-051-WS-43</v>
      </c>
      <c r="B336" s="224" t="str">
        <f t="shared" si="11"/>
        <v>I-051-10</v>
      </c>
      <c r="C336" s="45" t="s">
        <v>547</v>
      </c>
      <c r="D336" s="45">
        <v>10</v>
      </c>
      <c r="E336" s="45" t="s">
        <v>616</v>
      </c>
      <c r="F336" s="42" t="str">
        <f>_xlfn.XLOOKUP(E336, 'S11 Work Stations'!$A$2:$A$45, 'S11 Work Stations'!$B$2:$B$45, "NOT FOUND", 0)</f>
        <v>RAW-MAT-INV</v>
      </c>
      <c r="G336" s="45">
        <v>0</v>
      </c>
      <c r="H336" s="3">
        <v>200</v>
      </c>
    </row>
    <row r="337" spans="1:8" s="44" customFormat="1" x14ac:dyDescent="0.2">
      <c r="A337" s="224" t="str">
        <f t="shared" si="10"/>
        <v>I-051-WS-44</v>
      </c>
      <c r="B337" s="224" t="str">
        <f t="shared" si="11"/>
        <v>I-051-40</v>
      </c>
      <c r="C337" s="45" t="s">
        <v>547</v>
      </c>
      <c r="D337" s="45">
        <v>40</v>
      </c>
      <c r="E337" s="45" t="s">
        <v>617</v>
      </c>
      <c r="F337" s="42" t="str">
        <f>_xlfn.XLOOKUP(E337, 'S11 Work Stations'!$A$2:$A$45, 'S11 Work Stations'!$B$2:$B$45, "NOT FOUND", 0)</f>
        <v>FIN-GOOD-INV</v>
      </c>
      <c r="G337" s="45">
        <v>0</v>
      </c>
      <c r="H337" s="3">
        <v>200</v>
      </c>
    </row>
    <row r="338" spans="1:8" s="44" customFormat="1" x14ac:dyDescent="0.2">
      <c r="A338" s="224" t="str">
        <f t="shared" si="10"/>
        <v>I-052-WS-07</v>
      </c>
      <c r="B338" s="224" t="str">
        <f t="shared" si="11"/>
        <v>I-052-30</v>
      </c>
      <c r="C338" s="45" t="s">
        <v>184</v>
      </c>
      <c r="D338" s="45">
        <v>30</v>
      </c>
      <c r="E338" s="45" t="s">
        <v>580</v>
      </c>
      <c r="F338" s="42" t="str">
        <f>_xlfn.XLOOKUP(E338, 'S11 Work Stations'!$A$2:$A$45, 'S11 Work Stations'!$B$2:$B$45, "NOT FOUND", 0)</f>
        <v>TUR-C2-367</v>
      </c>
      <c r="G338" s="45">
        <v>420</v>
      </c>
      <c r="H338" s="3">
        <v>200</v>
      </c>
    </row>
    <row r="339" spans="1:8" s="44" customFormat="1" x14ac:dyDescent="0.2">
      <c r="A339" s="224" t="str">
        <f t="shared" si="10"/>
        <v>I-052-WS-08</v>
      </c>
      <c r="B339" s="224" t="str">
        <f t="shared" si="11"/>
        <v>I-052-40</v>
      </c>
      <c r="C339" s="45" t="s">
        <v>184</v>
      </c>
      <c r="D339" s="45">
        <v>40</v>
      </c>
      <c r="E339" s="45" t="s">
        <v>581</v>
      </c>
      <c r="F339" s="42" t="str">
        <f>_xlfn.XLOOKUP(E339, 'S11 Work Stations'!$A$2:$A$45, 'S11 Work Stations'!$B$2:$B$45, "NOT FOUND", 0)</f>
        <v>MIL-10-150-401</v>
      </c>
      <c r="G339" s="45">
        <v>480</v>
      </c>
      <c r="H339" s="3">
        <v>200</v>
      </c>
    </row>
    <row r="340" spans="1:8" s="44" customFormat="1" x14ac:dyDescent="0.2">
      <c r="A340" s="224" t="str">
        <f t="shared" si="10"/>
        <v>I-052-WS-20</v>
      </c>
      <c r="B340" s="224" t="str">
        <f t="shared" si="11"/>
        <v>I-052-50</v>
      </c>
      <c r="C340" s="45" t="s">
        <v>184</v>
      </c>
      <c r="D340" s="45">
        <v>50</v>
      </c>
      <c r="E340" s="45" t="s">
        <v>593</v>
      </c>
      <c r="F340" s="42" t="str">
        <f>_xlfn.XLOOKUP(E340, 'S11 Work Stations'!$A$2:$A$45, 'S11 Work Stations'!$B$2:$B$45, "NOT FOUND", 0)</f>
        <v>MIL-H21-604</v>
      </c>
      <c r="G340" s="45">
        <v>180</v>
      </c>
      <c r="H340" s="3">
        <v>200</v>
      </c>
    </row>
    <row r="341" spans="1:8" s="44" customFormat="1" x14ac:dyDescent="0.2">
      <c r="A341" s="224" t="str">
        <f t="shared" si="10"/>
        <v>I-052-WS-26</v>
      </c>
      <c r="B341" s="224" t="str">
        <f t="shared" si="11"/>
        <v>I-052-60</v>
      </c>
      <c r="C341" s="45" t="s">
        <v>184</v>
      </c>
      <c r="D341" s="45">
        <v>60</v>
      </c>
      <c r="E341" s="45" t="s">
        <v>599</v>
      </c>
      <c r="F341" s="42" t="str">
        <f>_xlfn.XLOOKUP(E341, 'S11 Work Stations'!$A$2:$A$45, 'S11 Work Stations'!$B$2:$B$45, "NOT FOUND", 0)</f>
        <v>DR-2A2-202</v>
      </c>
      <c r="G341" s="45">
        <v>180</v>
      </c>
      <c r="H341" s="3">
        <v>200</v>
      </c>
    </row>
    <row r="342" spans="1:8" s="44" customFormat="1" x14ac:dyDescent="0.2">
      <c r="A342" s="224" t="str">
        <f t="shared" si="10"/>
        <v>I-052-WS-32</v>
      </c>
      <c r="B342" s="224" t="str">
        <f t="shared" si="11"/>
        <v>I-052-70</v>
      </c>
      <c r="C342" s="45" t="s">
        <v>184</v>
      </c>
      <c r="D342" s="45">
        <v>70</v>
      </c>
      <c r="E342" s="45" t="s">
        <v>605</v>
      </c>
      <c r="F342" s="42" t="str">
        <f>_xlfn.XLOOKUP(E342, 'S11 Work Stations'!$A$2:$A$45, 'S11 Work Stations'!$B$2:$B$45, "NOT FOUND", 0)</f>
        <v>SAW-30-150-251</v>
      </c>
      <c r="G342" s="45">
        <v>180</v>
      </c>
      <c r="H342" s="3">
        <v>200</v>
      </c>
    </row>
    <row r="343" spans="1:8" s="44" customFormat="1" x14ac:dyDescent="0.2">
      <c r="A343" s="224" t="str">
        <f t="shared" si="10"/>
        <v>I-052-WS-40</v>
      </c>
      <c r="B343" s="224" t="str">
        <f t="shared" si="11"/>
        <v>I-052-20</v>
      </c>
      <c r="C343" s="45" t="s">
        <v>184</v>
      </c>
      <c r="D343" s="45">
        <v>20</v>
      </c>
      <c r="E343" s="45" t="s">
        <v>613</v>
      </c>
      <c r="F343" s="42" t="str">
        <f>_xlfn.XLOOKUP(E343, 'S11 Work Stations'!$A$2:$A$45, 'S11 Work Stations'!$B$2:$B$45, "NOT FOUND", 0)</f>
        <v>SAW-CNC-40-425</v>
      </c>
      <c r="G343" s="45">
        <v>120</v>
      </c>
      <c r="H343" s="3">
        <v>200</v>
      </c>
    </row>
    <row r="344" spans="1:8" s="44" customFormat="1" x14ac:dyDescent="0.2">
      <c r="A344" s="224" t="str">
        <f t="shared" si="10"/>
        <v>I-052-WS-43</v>
      </c>
      <c r="B344" s="224" t="str">
        <f t="shared" si="11"/>
        <v>I-052-10</v>
      </c>
      <c r="C344" s="45" t="s">
        <v>184</v>
      </c>
      <c r="D344" s="45">
        <v>10</v>
      </c>
      <c r="E344" s="45" t="s">
        <v>616</v>
      </c>
      <c r="F344" s="42" t="str">
        <f>_xlfn.XLOOKUP(E344, 'S11 Work Stations'!$A$2:$A$45, 'S11 Work Stations'!$B$2:$B$45, "NOT FOUND", 0)</f>
        <v>RAW-MAT-INV</v>
      </c>
      <c r="G344" s="45">
        <v>0</v>
      </c>
      <c r="H344" s="3">
        <v>200</v>
      </c>
    </row>
    <row r="345" spans="1:8" s="44" customFormat="1" x14ac:dyDescent="0.2">
      <c r="A345" s="224" t="str">
        <f t="shared" si="10"/>
        <v>I-052-WS-44</v>
      </c>
      <c r="B345" s="224" t="str">
        <f t="shared" si="11"/>
        <v>I-052-80</v>
      </c>
      <c r="C345" s="45" t="s">
        <v>184</v>
      </c>
      <c r="D345" s="45">
        <v>80</v>
      </c>
      <c r="E345" s="45" t="s">
        <v>617</v>
      </c>
      <c r="F345" s="42" t="str">
        <f>_xlfn.XLOOKUP(E345, 'S11 Work Stations'!$A$2:$A$45, 'S11 Work Stations'!$B$2:$B$45, "NOT FOUND", 0)</f>
        <v>FIN-GOOD-INV</v>
      </c>
      <c r="G345" s="45">
        <v>0</v>
      </c>
      <c r="H345" s="3">
        <v>200</v>
      </c>
    </row>
    <row r="346" spans="1:8" s="44" customFormat="1" x14ac:dyDescent="0.2">
      <c r="A346" s="224" t="str">
        <f t="shared" si="10"/>
        <v>I-053-WS-03</v>
      </c>
      <c r="B346" s="224" t="str">
        <f t="shared" si="11"/>
        <v>I-053-40</v>
      </c>
      <c r="C346" s="45" t="s">
        <v>188</v>
      </c>
      <c r="D346" s="45">
        <v>40</v>
      </c>
      <c r="E346" s="45" t="s">
        <v>576</v>
      </c>
      <c r="F346" s="42" t="str">
        <f>_xlfn.XLOOKUP(E346, 'S11 Work Stations'!$A$2:$A$45, 'S11 Work Stations'!$B$2:$B$45, "NOT FOUND", 0)</f>
        <v>MIL-A31-363</v>
      </c>
      <c r="G346" s="45">
        <v>420</v>
      </c>
      <c r="H346" s="3">
        <v>200</v>
      </c>
    </row>
    <row r="347" spans="1:8" s="44" customFormat="1" x14ac:dyDescent="0.2">
      <c r="A347" s="224" t="str">
        <f t="shared" si="10"/>
        <v>I-053-WS-04</v>
      </c>
      <c r="B347" s="224" t="str">
        <f t="shared" si="11"/>
        <v>I-053-30</v>
      </c>
      <c r="C347" s="45" t="s">
        <v>188</v>
      </c>
      <c r="D347" s="45">
        <v>30</v>
      </c>
      <c r="E347" s="45" t="s">
        <v>577</v>
      </c>
      <c r="F347" s="42" t="str">
        <f>_xlfn.XLOOKUP(E347, 'S11 Work Stations'!$A$2:$A$45, 'S11 Work Stations'!$B$2:$B$45, "NOT FOUND", 0)</f>
        <v>TUR-A4-364</v>
      </c>
      <c r="G347" s="45">
        <v>180</v>
      </c>
      <c r="H347" s="3">
        <v>200</v>
      </c>
    </row>
    <row r="348" spans="1:8" s="44" customFormat="1" x14ac:dyDescent="0.2">
      <c r="A348" s="224" t="str">
        <f t="shared" si="10"/>
        <v>I-053-WS-23</v>
      </c>
      <c r="B348" s="224" t="str">
        <f t="shared" si="11"/>
        <v>I-053-50</v>
      </c>
      <c r="C348" s="45" t="s">
        <v>188</v>
      </c>
      <c r="D348" s="45">
        <v>50</v>
      </c>
      <c r="E348" s="45" t="s">
        <v>596</v>
      </c>
      <c r="F348" s="42" t="str">
        <f>_xlfn.XLOOKUP(E348, 'S11 Work Stations'!$A$2:$A$45, 'S11 Work Stations'!$B$2:$B$45, "NOT FOUND", 0)</f>
        <v>MIL-U2-607</v>
      </c>
      <c r="G348" s="45">
        <v>420</v>
      </c>
      <c r="H348" s="3">
        <v>200</v>
      </c>
    </row>
    <row r="349" spans="1:8" s="44" customFormat="1" x14ac:dyDescent="0.2">
      <c r="A349" s="224" t="str">
        <f t="shared" si="10"/>
        <v>I-053-WS-31</v>
      </c>
      <c r="B349" s="224" t="str">
        <f t="shared" si="11"/>
        <v>I-053-60</v>
      </c>
      <c r="C349" s="45" t="s">
        <v>188</v>
      </c>
      <c r="D349" s="45">
        <v>60</v>
      </c>
      <c r="E349" s="45" t="s">
        <v>604</v>
      </c>
      <c r="F349" s="42" t="str">
        <f>_xlfn.XLOOKUP(E349, 'S11 Work Stations'!$A$2:$A$45, 'S11 Work Stations'!$B$2:$B$45, "NOT FOUND", 0)</f>
        <v>DR-3AW-207</v>
      </c>
      <c r="G349" s="45">
        <v>180</v>
      </c>
      <c r="H349" s="3">
        <v>200</v>
      </c>
    </row>
    <row r="350" spans="1:8" s="44" customFormat="1" x14ac:dyDescent="0.2">
      <c r="A350" s="224" t="str">
        <f t="shared" si="10"/>
        <v>I-053-WS-32</v>
      </c>
      <c r="B350" s="224" t="str">
        <f t="shared" si="11"/>
        <v>I-053-70</v>
      </c>
      <c r="C350" s="45" t="s">
        <v>188</v>
      </c>
      <c r="D350" s="45">
        <v>70</v>
      </c>
      <c r="E350" s="45" t="s">
        <v>605</v>
      </c>
      <c r="F350" s="42" t="str">
        <f>_xlfn.XLOOKUP(E350, 'S11 Work Stations'!$A$2:$A$45, 'S11 Work Stations'!$B$2:$B$45, "NOT FOUND", 0)</f>
        <v>SAW-30-150-251</v>
      </c>
      <c r="G350" s="45">
        <v>180</v>
      </c>
      <c r="H350" s="3">
        <v>200</v>
      </c>
    </row>
    <row r="351" spans="1:8" s="44" customFormat="1" x14ac:dyDescent="0.2">
      <c r="A351" s="224" t="str">
        <f t="shared" si="10"/>
        <v>I-053-WS-40</v>
      </c>
      <c r="B351" s="224" t="str">
        <f t="shared" si="11"/>
        <v>I-053-20</v>
      </c>
      <c r="C351" s="45" t="s">
        <v>188</v>
      </c>
      <c r="D351" s="45">
        <v>20</v>
      </c>
      <c r="E351" s="45" t="s">
        <v>613</v>
      </c>
      <c r="F351" s="42" t="str">
        <f>_xlfn.XLOOKUP(E351, 'S11 Work Stations'!$A$2:$A$45, 'S11 Work Stations'!$B$2:$B$45, "NOT FOUND", 0)</f>
        <v>SAW-CNC-40-425</v>
      </c>
      <c r="G351" s="45">
        <v>180</v>
      </c>
      <c r="H351" s="3">
        <v>200</v>
      </c>
    </row>
    <row r="352" spans="1:8" s="44" customFormat="1" x14ac:dyDescent="0.2">
      <c r="A352" s="224" t="str">
        <f t="shared" si="10"/>
        <v>I-053-WS-43</v>
      </c>
      <c r="B352" s="224" t="str">
        <f t="shared" si="11"/>
        <v>I-053-10</v>
      </c>
      <c r="C352" s="45" t="s">
        <v>188</v>
      </c>
      <c r="D352" s="45">
        <v>10</v>
      </c>
      <c r="E352" s="45" t="s">
        <v>616</v>
      </c>
      <c r="F352" s="42" t="str">
        <f>_xlfn.XLOOKUP(E352, 'S11 Work Stations'!$A$2:$A$45, 'S11 Work Stations'!$B$2:$B$45, "NOT FOUND", 0)</f>
        <v>RAW-MAT-INV</v>
      </c>
      <c r="G352" s="45">
        <v>0</v>
      </c>
      <c r="H352" s="3">
        <v>200</v>
      </c>
    </row>
    <row r="353" spans="1:8" s="44" customFormat="1" x14ac:dyDescent="0.2">
      <c r="A353" s="224" t="str">
        <f t="shared" si="10"/>
        <v>I-053-WS-44</v>
      </c>
      <c r="B353" s="224" t="str">
        <f t="shared" si="11"/>
        <v>I-053-80</v>
      </c>
      <c r="C353" s="45" t="s">
        <v>188</v>
      </c>
      <c r="D353" s="45">
        <v>80</v>
      </c>
      <c r="E353" s="45" t="s">
        <v>617</v>
      </c>
      <c r="F353" s="42" t="str">
        <f>_xlfn.XLOOKUP(E353, 'S11 Work Stations'!$A$2:$A$45, 'S11 Work Stations'!$B$2:$B$45, "NOT FOUND", 0)</f>
        <v>FIN-GOOD-INV</v>
      </c>
      <c r="G353" s="45">
        <v>0</v>
      </c>
      <c r="H353" s="3">
        <v>200</v>
      </c>
    </row>
    <row r="354" spans="1:8" s="44" customFormat="1" x14ac:dyDescent="0.2">
      <c r="A354" s="224" t="str">
        <f t="shared" si="10"/>
        <v>I-054-WS-03</v>
      </c>
      <c r="B354" s="224" t="str">
        <f t="shared" si="11"/>
        <v>I-054-40</v>
      </c>
      <c r="C354" s="45" t="s">
        <v>209</v>
      </c>
      <c r="D354" s="45">
        <v>40</v>
      </c>
      <c r="E354" s="45" t="s">
        <v>576</v>
      </c>
      <c r="F354" s="42" t="str">
        <f>_xlfn.XLOOKUP(E354, 'S11 Work Stations'!$A$2:$A$45, 'S11 Work Stations'!$B$2:$B$45, "NOT FOUND", 0)</f>
        <v>MIL-A31-363</v>
      </c>
      <c r="G354" s="45">
        <v>120</v>
      </c>
      <c r="H354" s="3">
        <v>200</v>
      </c>
    </row>
    <row r="355" spans="1:8" s="44" customFormat="1" x14ac:dyDescent="0.2">
      <c r="A355" s="224" t="str">
        <f t="shared" si="10"/>
        <v>I-054-WS-04</v>
      </c>
      <c r="B355" s="224" t="str">
        <f t="shared" si="11"/>
        <v>I-054-30</v>
      </c>
      <c r="C355" s="45" t="s">
        <v>209</v>
      </c>
      <c r="D355" s="45">
        <v>30</v>
      </c>
      <c r="E355" s="45" t="s">
        <v>577</v>
      </c>
      <c r="F355" s="42" t="str">
        <f>_xlfn.XLOOKUP(E355, 'S11 Work Stations'!$A$2:$A$45, 'S11 Work Stations'!$B$2:$B$45, "NOT FOUND", 0)</f>
        <v>TUR-A4-364</v>
      </c>
      <c r="G355" s="45">
        <v>420</v>
      </c>
      <c r="H355" s="3">
        <v>200</v>
      </c>
    </row>
    <row r="356" spans="1:8" s="44" customFormat="1" x14ac:dyDescent="0.2">
      <c r="A356" s="224" t="str">
        <f t="shared" si="10"/>
        <v>I-054-WS-23</v>
      </c>
      <c r="B356" s="224" t="str">
        <f t="shared" si="11"/>
        <v>I-054-50</v>
      </c>
      <c r="C356" s="45" t="s">
        <v>209</v>
      </c>
      <c r="D356" s="45">
        <v>50</v>
      </c>
      <c r="E356" s="45" t="s">
        <v>596</v>
      </c>
      <c r="F356" s="42" t="str">
        <f>_xlfn.XLOOKUP(E356, 'S11 Work Stations'!$A$2:$A$45, 'S11 Work Stations'!$B$2:$B$45, "NOT FOUND", 0)</f>
        <v>MIL-U2-607</v>
      </c>
      <c r="G356" s="45">
        <v>120</v>
      </c>
      <c r="H356" s="3">
        <v>200</v>
      </c>
    </row>
    <row r="357" spans="1:8" s="44" customFormat="1" x14ac:dyDescent="0.2">
      <c r="A357" s="224" t="str">
        <f t="shared" si="10"/>
        <v>I-054-WS-31</v>
      </c>
      <c r="B357" s="224" t="str">
        <f t="shared" si="11"/>
        <v>I-054-60</v>
      </c>
      <c r="C357" s="45" t="s">
        <v>209</v>
      </c>
      <c r="D357" s="45">
        <v>60</v>
      </c>
      <c r="E357" s="45" t="s">
        <v>604</v>
      </c>
      <c r="F357" s="42" t="str">
        <f>_xlfn.XLOOKUP(E357, 'S11 Work Stations'!$A$2:$A$45, 'S11 Work Stations'!$B$2:$B$45, "NOT FOUND", 0)</f>
        <v>DR-3AW-207</v>
      </c>
      <c r="G357" s="45">
        <v>360</v>
      </c>
      <c r="H357" s="3">
        <v>200</v>
      </c>
    </row>
    <row r="358" spans="1:8" s="44" customFormat="1" x14ac:dyDescent="0.2">
      <c r="A358" s="224" t="str">
        <f t="shared" si="10"/>
        <v>I-054-WS-32</v>
      </c>
      <c r="B358" s="224" t="str">
        <f t="shared" si="11"/>
        <v>I-054-70</v>
      </c>
      <c r="C358" s="45" t="s">
        <v>209</v>
      </c>
      <c r="D358" s="45">
        <v>70</v>
      </c>
      <c r="E358" s="45" t="s">
        <v>605</v>
      </c>
      <c r="F358" s="42" t="str">
        <f>_xlfn.XLOOKUP(E358, 'S11 Work Stations'!$A$2:$A$45, 'S11 Work Stations'!$B$2:$B$45, "NOT FOUND", 0)</f>
        <v>SAW-30-150-251</v>
      </c>
      <c r="G358" s="45">
        <v>120</v>
      </c>
      <c r="H358" s="3">
        <v>200</v>
      </c>
    </row>
    <row r="359" spans="1:8" s="44" customFormat="1" x14ac:dyDescent="0.2">
      <c r="A359" s="224" t="str">
        <f t="shared" si="10"/>
        <v>I-054-WS-40</v>
      </c>
      <c r="B359" s="224" t="str">
        <f t="shared" si="11"/>
        <v>I-054-20</v>
      </c>
      <c r="C359" s="45" t="s">
        <v>209</v>
      </c>
      <c r="D359" s="45">
        <v>20</v>
      </c>
      <c r="E359" s="45" t="s">
        <v>613</v>
      </c>
      <c r="F359" s="42" t="str">
        <f>_xlfn.XLOOKUP(E359, 'S11 Work Stations'!$A$2:$A$45, 'S11 Work Stations'!$B$2:$B$45, "NOT FOUND", 0)</f>
        <v>SAW-CNC-40-425</v>
      </c>
      <c r="G359" s="45">
        <v>120</v>
      </c>
      <c r="H359" s="3">
        <v>200</v>
      </c>
    </row>
    <row r="360" spans="1:8" s="44" customFormat="1" x14ac:dyDescent="0.2">
      <c r="A360" s="224" t="str">
        <f t="shared" si="10"/>
        <v>I-054-WS-42</v>
      </c>
      <c r="B360" s="224" t="str">
        <f t="shared" si="11"/>
        <v>I-054-80</v>
      </c>
      <c r="C360" s="45" t="s">
        <v>209</v>
      </c>
      <c r="D360" s="45">
        <v>80</v>
      </c>
      <c r="E360" s="45" t="s">
        <v>615</v>
      </c>
      <c r="F360" s="42" t="str">
        <f>_xlfn.XLOOKUP(E360, 'S11 Work Stations'!$A$2:$A$45, 'S11 Work Stations'!$B$2:$B$45, "NOT FOUND", 0)</f>
        <v>TEMP-A01-202</v>
      </c>
      <c r="G360" s="45">
        <v>360</v>
      </c>
      <c r="H360" s="3">
        <v>200</v>
      </c>
    </row>
    <row r="361" spans="1:8" s="44" customFormat="1" x14ac:dyDescent="0.2">
      <c r="A361" s="224" t="str">
        <f t="shared" si="10"/>
        <v>I-054-WS-43</v>
      </c>
      <c r="B361" s="224" t="str">
        <f t="shared" si="11"/>
        <v>I-054-10</v>
      </c>
      <c r="C361" s="45" t="s">
        <v>209</v>
      </c>
      <c r="D361" s="45">
        <v>10</v>
      </c>
      <c r="E361" s="45" t="s">
        <v>616</v>
      </c>
      <c r="F361" s="42" t="str">
        <f>_xlfn.XLOOKUP(E361, 'S11 Work Stations'!$A$2:$A$45, 'S11 Work Stations'!$B$2:$B$45, "NOT FOUND", 0)</f>
        <v>RAW-MAT-INV</v>
      </c>
      <c r="G361" s="45">
        <v>0</v>
      </c>
      <c r="H361" s="3">
        <v>200</v>
      </c>
    </row>
    <row r="362" spans="1:8" s="44" customFormat="1" x14ac:dyDescent="0.2">
      <c r="A362" s="224" t="str">
        <f t="shared" si="10"/>
        <v>I-054-WS-44</v>
      </c>
      <c r="B362" s="224" t="str">
        <f t="shared" si="11"/>
        <v>I-054-90</v>
      </c>
      <c r="C362" s="45" t="s">
        <v>209</v>
      </c>
      <c r="D362" s="45">
        <v>90</v>
      </c>
      <c r="E362" s="45" t="s">
        <v>617</v>
      </c>
      <c r="F362" s="42" t="str">
        <f>_xlfn.XLOOKUP(E362, 'S11 Work Stations'!$A$2:$A$45, 'S11 Work Stations'!$B$2:$B$45, "NOT FOUND", 0)</f>
        <v>FIN-GOOD-INV</v>
      </c>
      <c r="G362" s="45">
        <v>0</v>
      </c>
      <c r="H362" s="3">
        <v>200</v>
      </c>
    </row>
    <row r="363" spans="1:8" s="44" customFormat="1" x14ac:dyDescent="0.2">
      <c r="A363" s="224" t="str">
        <f t="shared" si="10"/>
        <v>I-055-WS-12</v>
      </c>
      <c r="B363" s="224" t="str">
        <f t="shared" si="11"/>
        <v>I-055-30</v>
      </c>
      <c r="C363" s="45" t="s">
        <v>548</v>
      </c>
      <c r="D363" s="45">
        <v>30</v>
      </c>
      <c r="E363" s="45" t="s">
        <v>585</v>
      </c>
      <c r="F363" s="42" t="str">
        <f>_xlfn.XLOOKUP(E363, 'S11 Work Stations'!$A$2:$A$45, 'S11 Work Stations'!$B$2:$B$45, "NOT FOUND", 0)</f>
        <v>TUR-15-250-405</v>
      </c>
      <c r="G363" s="45">
        <v>540</v>
      </c>
      <c r="H363" s="3">
        <v>200</v>
      </c>
    </row>
    <row r="364" spans="1:8" s="44" customFormat="1" x14ac:dyDescent="0.2">
      <c r="A364" s="224" t="str">
        <f t="shared" si="10"/>
        <v>I-055-WS-26</v>
      </c>
      <c r="B364" s="224" t="str">
        <f t="shared" si="11"/>
        <v>I-055-40</v>
      </c>
      <c r="C364" s="45" t="s">
        <v>548</v>
      </c>
      <c r="D364" s="45">
        <v>40</v>
      </c>
      <c r="E364" s="45" t="s">
        <v>599</v>
      </c>
      <c r="F364" s="42" t="str">
        <f>_xlfn.XLOOKUP(E364, 'S11 Work Stations'!$A$2:$A$45, 'S11 Work Stations'!$B$2:$B$45, "NOT FOUND", 0)</f>
        <v>DR-2A2-202</v>
      </c>
      <c r="G364" s="45">
        <v>360</v>
      </c>
      <c r="H364" s="3">
        <v>200</v>
      </c>
    </row>
    <row r="365" spans="1:8" s="44" customFormat="1" x14ac:dyDescent="0.2">
      <c r="A365" s="224" t="str">
        <f t="shared" si="10"/>
        <v>I-055-WS-40</v>
      </c>
      <c r="B365" s="224" t="str">
        <f t="shared" si="11"/>
        <v>I-055-20</v>
      </c>
      <c r="C365" s="45" t="s">
        <v>548</v>
      </c>
      <c r="D365" s="45">
        <v>20</v>
      </c>
      <c r="E365" s="45" t="s">
        <v>613</v>
      </c>
      <c r="F365" s="42" t="str">
        <f>_xlfn.XLOOKUP(E365, 'S11 Work Stations'!$A$2:$A$45, 'S11 Work Stations'!$B$2:$B$45, "NOT FOUND", 0)</f>
        <v>SAW-CNC-40-425</v>
      </c>
      <c r="G365" s="45">
        <v>120</v>
      </c>
      <c r="H365" s="3">
        <v>200</v>
      </c>
    </row>
    <row r="366" spans="1:8" s="44" customFormat="1" x14ac:dyDescent="0.2">
      <c r="A366" s="224" t="str">
        <f t="shared" si="10"/>
        <v>I-055-WS-43</v>
      </c>
      <c r="B366" s="224" t="str">
        <f t="shared" si="11"/>
        <v>I-055-10</v>
      </c>
      <c r="C366" s="45" t="s">
        <v>548</v>
      </c>
      <c r="D366" s="45">
        <v>10</v>
      </c>
      <c r="E366" s="45" t="s">
        <v>616</v>
      </c>
      <c r="F366" s="42" t="str">
        <f>_xlfn.XLOOKUP(E366, 'S11 Work Stations'!$A$2:$A$45, 'S11 Work Stations'!$B$2:$B$45, "NOT FOUND", 0)</f>
        <v>RAW-MAT-INV</v>
      </c>
      <c r="G366" s="45">
        <v>0</v>
      </c>
      <c r="H366" s="3">
        <v>200</v>
      </c>
    </row>
    <row r="367" spans="1:8" s="44" customFormat="1" x14ac:dyDescent="0.2">
      <c r="A367" s="224" t="str">
        <f t="shared" si="10"/>
        <v>I-055-WS-44</v>
      </c>
      <c r="B367" s="224" t="str">
        <f t="shared" si="11"/>
        <v>I-055-50</v>
      </c>
      <c r="C367" s="45" t="s">
        <v>548</v>
      </c>
      <c r="D367" s="45">
        <v>50</v>
      </c>
      <c r="E367" s="45" t="s">
        <v>617</v>
      </c>
      <c r="F367" s="42" t="str">
        <f>_xlfn.XLOOKUP(E367, 'S11 Work Stations'!$A$2:$A$45, 'S11 Work Stations'!$B$2:$B$45, "NOT FOUND", 0)</f>
        <v>FIN-GOOD-INV</v>
      </c>
      <c r="G367" s="45">
        <v>0</v>
      </c>
      <c r="H367" s="3">
        <v>200</v>
      </c>
    </row>
    <row r="368" spans="1:8" s="44" customFormat="1" x14ac:dyDescent="0.2">
      <c r="A368" s="224" t="str">
        <f t="shared" si="10"/>
        <v>I-056-WS-12</v>
      </c>
      <c r="B368" s="224" t="str">
        <f t="shared" si="11"/>
        <v>I-056-30</v>
      </c>
      <c r="C368" s="45" t="s">
        <v>549</v>
      </c>
      <c r="D368" s="45">
        <v>30</v>
      </c>
      <c r="E368" s="45" t="s">
        <v>585</v>
      </c>
      <c r="F368" s="42" t="str">
        <f>_xlfn.XLOOKUP(E368, 'S11 Work Stations'!$A$2:$A$45, 'S11 Work Stations'!$B$2:$B$45, "NOT FOUND", 0)</f>
        <v>TUR-15-250-405</v>
      </c>
      <c r="G368" s="45">
        <v>420</v>
      </c>
      <c r="H368" s="3">
        <v>200</v>
      </c>
    </row>
    <row r="369" spans="1:8" s="44" customFormat="1" x14ac:dyDescent="0.2">
      <c r="A369" s="224" t="str">
        <f t="shared" si="10"/>
        <v>I-056-WS-27</v>
      </c>
      <c r="B369" s="224" t="str">
        <f t="shared" si="11"/>
        <v>I-056-40</v>
      </c>
      <c r="C369" s="45" t="s">
        <v>549</v>
      </c>
      <c r="D369" s="45">
        <v>40</v>
      </c>
      <c r="E369" s="45" t="s">
        <v>600</v>
      </c>
      <c r="F369" s="42" t="str">
        <f>_xlfn.XLOOKUP(E369, 'S11 Work Stations'!$A$2:$A$45, 'S11 Work Stations'!$B$2:$B$45, "NOT FOUND", 0)</f>
        <v>GR-T1-203</v>
      </c>
      <c r="G369" s="45">
        <v>300</v>
      </c>
      <c r="H369" s="3">
        <v>200</v>
      </c>
    </row>
    <row r="370" spans="1:8" s="44" customFormat="1" x14ac:dyDescent="0.2">
      <c r="A370" s="224" t="str">
        <f t="shared" si="10"/>
        <v>I-056-WS-40</v>
      </c>
      <c r="B370" s="224" t="str">
        <f t="shared" si="11"/>
        <v>I-056-20</v>
      </c>
      <c r="C370" s="45" t="s">
        <v>549</v>
      </c>
      <c r="D370" s="45">
        <v>20</v>
      </c>
      <c r="E370" s="45" t="s">
        <v>613</v>
      </c>
      <c r="F370" s="42" t="str">
        <f>_xlfn.XLOOKUP(E370, 'S11 Work Stations'!$A$2:$A$45, 'S11 Work Stations'!$B$2:$B$45, "NOT FOUND", 0)</f>
        <v>SAW-CNC-40-425</v>
      </c>
      <c r="G370" s="45">
        <v>180</v>
      </c>
      <c r="H370" s="3">
        <v>200</v>
      </c>
    </row>
    <row r="371" spans="1:8" s="44" customFormat="1" x14ac:dyDescent="0.2">
      <c r="A371" s="224" t="str">
        <f t="shared" si="10"/>
        <v>I-056-WS-43</v>
      </c>
      <c r="B371" s="224" t="str">
        <f t="shared" si="11"/>
        <v>I-056-10</v>
      </c>
      <c r="C371" s="45" t="s">
        <v>549</v>
      </c>
      <c r="D371" s="45">
        <v>10</v>
      </c>
      <c r="E371" s="45" t="s">
        <v>616</v>
      </c>
      <c r="F371" s="42" t="str">
        <f>_xlfn.XLOOKUP(E371, 'S11 Work Stations'!$A$2:$A$45, 'S11 Work Stations'!$B$2:$B$45, "NOT FOUND", 0)</f>
        <v>RAW-MAT-INV</v>
      </c>
      <c r="G371" s="45">
        <v>0</v>
      </c>
      <c r="H371" s="3">
        <v>200</v>
      </c>
    </row>
    <row r="372" spans="1:8" s="44" customFormat="1" x14ac:dyDescent="0.2">
      <c r="A372" s="224" t="str">
        <f t="shared" si="10"/>
        <v>I-056-WS-44</v>
      </c>
      <c r="B372" s="224" t="str">
        <f t="shared" si="11"/>
        <v>I-056-50</v>
      </c>
      <c r="C372" s="45" t="s">
        <v>549</v>
      </c>
      <c r="D372" s="45">
        <v>50</v>
      </c>
      <c r="E372" s="45" t="s">
        <v>617</v>
      </c>
      <c r="F372" s="42" t="str">
        <f>_xlfn.XLOOKUP(E372, 'S11 Work Stations'!$A$2:$A$45, 'S11 Work Stations'!$B$2:$B$45, "NOT FOUND", 0)</f>
        <v>FIN-GOOD-INV</v>
      </c>
      <c r="G372" s="45">
        <v>0</v>
      </c>
      <c r="H372" s="3">
        <v>200</v>
      </c>
    </row>
    <row r="373" spans="1:8" s="44" customFormat="1" x14ac:dyDescent="0.2">
      <c r="A373" s="224" t="str">
        <f t="shared" si="10"/>
        <v>I-057-WS-12</v>
      </c>
      <c r="B373" s="224" t="str">
        <f t="shared" si="11"/>
        <v>I-057-30</v>
      </c>
      <c r="C373" s="45" t="s">
        <v>550</v>
      </c>
      <c r="D373" s="45">
        <v>30</v>
      </c>
      <c r="E373" s="45" t="s">
        <v>585</v>
      </c>
      <c r="F373" s="42" t="str">
        <f>_xlfn.XLOOKUP(E373, 'S11 Work Stations'!$A$2:$A$45, 'S11 Work Stations'!$B$2:$B$45, "NOT FOUND", 0)</f>
        <v>TUR-15-250-405</v>
      </c>
      <c r="G373" s="45">
        <v>420</v>
      </c>
      <c r="H373" s="3">
        <v>200</v>
      </c>
    </row>
    <row r="374" spans="1:8" s="44" customFormat="1" x14ac:dyDescent="0.2">
      <c r="A374" s="224" t="str">
        <f t="shared" si="10"/>
        <v>I-057-WS-27</v>
      </c>
      <c r="B374" s="224" t="str">
        <f t="shared" si="11"/>
        <v>I-057-40</v>
      </c>
      <c r="C374" s="45" t="s">
        <v>550</v>
      </c>
      <c r="D374" s="45">
        <v>40</v>
      </c>
      <c r="E374" s="45" t="s">
        <v>600</v>
      </c>
      <c r="F374" s="42" t="str">
        <f>_xlfn.XLOOKUP(E374, 'S11 Work Stations'!$A$2:$A$45, 'S11 Work Stations'!$B$2:$B$45, "NOT FOUND", 0)</f>
        <v>GR-T1-203</v>
      </c>
      <c r="G374" s="45">
        <v>300</v>
      </c>
      <c r="H374" s="3">
        <v>200</v>
      </c>
    </row>
    <row r="375" spans="1:8" s="44" customFormat="1" x14ac:dyDescent="0.2">
      <c r="A375" s="224" t="str">
        <f t="shared" si="10"/>
        <v>I-057-WS-40</v>
      </c>
      <c r="B375" s="224" t="str">
        <f t="shared" si="11"/>
        <v>I-057-20</v>
      </c>
      <c r="C375" s="45" t="s">
        <v>550</v>
      </c>
      <c r="D375" s="45">
        <v>20</v>
      </c>
      <c r="E375" s="45" t="s">
        <v>613</v>
      </c>
      <c r="F375" s="42" t="str">
        <f>_xlfn.XLOOKUP(E375, 'S11 Work Stations'!$A$2:$A$45, 'S11 Work Stations'!$B$2:$B$45, "NOT FOUND", 0)</f>
        <v>SAW-CNC-40-425</v>
      </c>
      <c r="G375" s="45">
        <v>120</v>
      </c>
      <c r="H375" s="3">
        <v>200</v>
      </c>
    </row>
    <row r="376" spans="1:8" s="44" customFormat="1" x14ac:dyDescent="0.2">
      <c r="A376" s="224" t="str">
        <f t="shared" si="10"/>
        <v>I-057-WS-43</v>
      </c>
      <c r="B376" s="224" t="str">
        <f t="shared" si="11"/>
        <v>I-057-10</v>
      </c>
      <c r="C376" s="45" t="s">
        <v>550</v>
      </c>
      <c r="D376" s="45">
        <v>10</v>
      </c>
      <c r="E376" s="45" t="s">
        <v>616</v>
      </c>
      <c r="F376" s="42" t="str">
        <f>_xlfn.XLOOKUP(E376, 'S11 Work Stations'!$A$2:$A$45, 'S11 Work Stations'!$B$2:$B$45, "NOT FOUND", 0)</f>
        <v>RAW-MAT-INV</v>
      </c>
      <c r="G376" s="45">
        <v>0</v>
      </c>
      <c r="H376" s="3">
        <v>200</v>
      </c>
    </row>
    <row r="377" spans="1:8" s="44" customFormat="1" x14ac:dyDescent="0.2">
      <c r="A377" s="224" t="str">
        <f t="shared" si="10"/>
        <v>I-057-WS-44</v>
      </c>
      <c r="B377" s="224" t="str">
        <f t="shared" si="11"/>
        <v>I-057-50</v>
      </c>
      <c r="C377" s="45" t="s">
        <v>550</v>
      </c>
      <c r="D377" s="45">
        <v>50</v>
      </c>
      <c r="E377" s="45" t="s">
        <v>617</v>
      </c>
      <c r="F377" s="42" t="str">
        <f>_xlfn.XLOOKUP(E377, 'S11 Work Stations'!$A$2:$A$45, 'S11 Work Stations'!$B$2:$B$45, "NOT FOUND", 0)</f>
        <v>FIN-GOOD-INV</v>
      </c>
      <c r="G377" s="45">
        <v>0</v>
      </c>
      <c r="H377" s="3">
        <v>200</v>
      </c>
    </row>
    <row r="378" spans="1:8" s="44" customFormat="1" x14ac:dyDescent="0.2">
      <c r="A378" s="224" t="str">
        <f t="shared" si="10"/>
        <v>I-058-WS-12</v>
      </c>
      <c r="B378" s="224" t="str">
        <f t="shared" si="11"/>
        <v>I-058-30</v>
      </c>
      <c r="C378" s="45" t="s">
        <v>551</v>
      </c>
      <c r="D378" s="45">
        <v>30</v>
      </c>
      <c r="E378" s="45" t="s">
        <v>585</v>
      </c>
      <c r="F378" s="42" t="str">
        <f>_xlfn.XLOOKUP(E378, 'S11 Work Stations'!$A$2:$A$45, 'S11 Work Stations'!$B$2:$B$45, "NOT FOUND", 0)</f>
        <v>TUR-15-250-405</v>
      </c>
      <c r="G378" s="45">
        <v>780</v>
      </c>
      <c r="H378" s="3">
        <v>200</v>
      </c>
    </row>
    <row r="379" spans="1:8" s="44" customFormat="1" x14ac:dyDescent="0.2">
      <c r="A379" s="224" t="str">
        <f t="shared" si="10"/>
        <v>I-058-WS-27</v>
      </c>
      <c r="B379" s="224" t="str">
        <f t="shared" si="11"/>
        <v>I-058-40</v>
      </c>
      <c r="C379" s="45" t="s">
        <v>551</v>
      </c>
      <c r="D379" s="45">
        <v>40</v>
      </c>
      <c r="E379" s="45" t="s">
        <v>600</v>
      </c>
      <c r="F379" s="42" t="str">
        <f>_xlfn.XLOOKUP(E379, 'S11 Work Stations'!$A$2:$A$45, 'S11 Work Stations'!$B$2:$B$45, "NOT FOUND", 0)</f>
        <v>GR-T1-203</v>
      </c>
      <c r="G379" s="45">
        <v>240</v>
      </c>
      <c r="H379" s="3">
        <v>200</v>
      </c>
    </row>
    <row r="380" spans="1:8" s="44" customFormat="1" x14ac:dyDescent="0.2">
      <c r="A380" s="224" t="str">
        <f t="shared" si="10"/>
        <v>I-058-WS-40</v>
      </c>
      <c r="B380" s="224" t="str">
        <f t="shared" si="11"/>
        <v>I-058-20</v>
      </c>
      <c r="C380" s="45" t="s">
        <v>551</v>
      </c>
      <c r="D380" s="45">
        <v>20</v>
      </c>
      <c r="E380" s="45" t="s">
        <v>613</v>
      </c>
      <c r="F380" s="42" t="str">
        <f>_xlfn.XLOOKUP(E380, 'S11 Work Stations'!$A$2:$A$45, 'S11 Work Stations'!$B$2:$B$45, "NOT FOUND", 0)</f>
        <v>SAW-CNC-40-425</v>
      </c>
      <c r="G380" s="45">
        <v>120</v>
      </c>
      <c r="H380" s="3">
        <v>200</v>
      </c>
    </row>
    <row r="381" spans="1:8" s="44" customFormat="1" x14ac:dyDescent="0.2">
      <c r="A381" s="224" t="str">
        <f t="shared" si="10"/>
        <v>I-058-WS-43</v>
      </c>
      <c r="B381" s="224" t="str">
        <f t="shared" si="11"/>
        <v>I-058-10</v>
      </c>
      <c r="C381" s="45" t="s">
        <v>551</v>
      </c>
      <c r="D381" s="45">
        <v>10</v>
      </c>
      <c r="E381" s="45" t="s">
        <v>616</v>
      </c>
      <c r="F381" s="42" t="str">
        <f>_xlfn.XLOOKUP(E381, 'S11 Work Stations'!$A$2:$A$45, 'S11 Work Stations'!$B$2:$B$45, "NOT FOUND", 0)</f>
        <v>RAW-MAT-INV</v>
      </c>
      <c r="G381" s="45">
        <v>0</v>
      </c>
      <c r="H381" s="3">
        <v>200</v>
      </c>
    </row>
    <row r="382" spans="1:8" s="44" customFormat="1" x14ac:dyDescent="0.2">
      <c r="A382" s="224" t="str">
        <f t="shared" si="10"/>
        <v>I-058-WS-44</v>
      </c>
      <c r="B382" s="224" t="str">
        <f t="shared" si="11"/>
        <v>I-058-50</v>
      </c>
      <c r="C382" s="45" t="s">
        <v>551</v>
      </c>
      <c r="D382" s="45">
        <v>50</v>
      </c>
      <c r="E382" s="45" t="s">
        <v>617</v>
      </c>
      <c r="F382" s="42" t="str">
        <f>_xlfn.XLOOKUP(E382, 'S11 Work Stations'!$A$2:$A$45, 'S11 Work Stations'!$B$2:$B$45, "NOT FOUND", 0)</f>
        <v>FIN-GOOD-INV</v>
      </c>
      <c r="G382" s="45">
        <v>0</v>
      </c>
      <c r="H382" s="3">
        <v>200</v>
      </c>
    </row>
    <row r="383" spans="1:8" s="44" customFormat="1" x14ac:dyDescent="0.2">
      <c r="A383" s="224" t="str">
        <f t="shared" si="10"/>
        <v>I-059-WS-12</v>
      </c>
      <c r="B383" s="224" t="str">
        <f t="shared" si="11"/>
        <v>I-059-30</v>
      </c>
      <c r="C383" s="45" t="s">
        <v>552</v>
      </c>
      <c r="D383" s="45">
        <v>30</v>
      </c>
      <c r="E383" s="45" t="s">
        <v>585</v>
      </c>
      <c r="F383" s="42" t="str">
        <f>_xlfn.XLOOKUP(E383, 'S11 Work Stations'!$A$2:$A$45, 'S11 Work Stations'!$B$2:$B$45, "NOT FOUND", 0)</f>
        <v>TUR-15-250-405</v>
      </c>
      <c r="G383" s="45">
        <v>840</v>
      </c>
      <c r="H383" s="3">
        <v>200</v>
      </c>
    </row>
    <row r="384" spans="1:8" s="44" customFormat="1" x14ac:dyDescent="0.2">
      <c r="A384" s="224" t="str">
        <f t="shared" si="10"/>
        <v>I-059-WS-40</v>
      </c>
      <c r="B384" s="224" t="str">
        <f t="shared" si="11"/>
        <v>I-059-20</v>
      </c>
      <c r="C384" s="45" t="s">
        <v>552</v>
      </c>
      <c r="D384" s="45">
        <v>20</v>
      </c>
      <c r="E384" s="45" t="s">
        <v>613</v>
      </c>
      <c r="F384" s="42" t="str">
        <f>_xlfn.XLOOKUP(E384, 'S11 Work Stations'!$A$2:$A$45, 'S11 Work Stations'!$B$2:$B$45, "NOT FOUND", 0)</f>
        <v>SAW-CNC-40-425</v>
      </c>
      <c r="G384" s="45">
        <v>180</v>
      </c>
      <c r="H384" s="3">
        <v>200</v>
      </c>
    </row>
    <row r="385" spans="1:8" s="44" customFormat="1" x14ac:dyDescent="0.2">
      <c r="A385" s="224" t="str">
        <f t="shared" si="10"/>
        <v>I-059-WS-43</v>
      </c>
      <c r="B385" s="224" t="str">
        <f t="shared" si="11"/>
        <v>I-059-10</v>
      </c>
      <c r="C385" s="45" t="s">
        <v>552</v>
      </c>
      <c r="D385" s="45">
        <v>10</v>
      </c>
      <c r="E385" s="45" t="s">
        <v>616</v>
      </c>
      <c r="F385" s="42" t="str">
        <f>_xlfn.XLOOKUP(E385, 'S11 Work Stations'!$A$2:$A$45, 'S11 Work Stations'!$B$2:$B$45, "NOT FOUND", 0)</f>
        <v>RAW-MAT-INV</v>
      </c>
      <c r="G385" s="45">
        <v>0</v>
      </c>
      <c r="H385" s="3">
        <v>200</v>
      </c>
    </row>
    <row r="386" spans="1:8" s="44" customFormat="1" x14ac:dyDescent="0.2">
      <c r="A386" s="224" t="str">
        <f t="shared" si="10"/>
        <v>I-059-WS-44</v>
      </c>
      <c r="B386" s="224" t="str">
        <f t="shared" si="11"/>
        <v>I-059-40</v>
      </c>
      <c r="C386" s="45" t="s">
        <v>552</v>
      </c>
      <c r="D386" s="45">
        <v>40</v>
      </c>
      <c r="E386" s="45" t="s">
        <v>617</v>
      </c>
      <c r="F386" s="42" t="str">
        <f>_xlfn.XLOOKUP(E386, 'S11 Work Stations'!$A$2:$A$45, 'S11 Work Stations'!$B$2:$B$45, "NOT FOUND", 0)</f>
        <v>FIN-GOOD-INV</v>
      </c>
      <c r="G386" s="45">
        <v>0</v>
      </c>
      <c r="H386" s="3">
        <v>200</v>
      </c>
    </row>
    <row r="387" spans="1:8" s="44" customFormat="1" x14ac:dyDescent="0.2">
      <c r="A387" s="224" t="str">
        <f t="shared" ref="A387:A450" si="12">C387&amp;"-"&amp;E387</f>
        <v>I-060-WS-11</v>
      </c>
      <c r="B387" s="224" t="str">
        <f t="shared" ref="B387:B450" si="13">C387&amp;"-"&amp;D387</f>
        <v>I-060-30</v>
      </c>
      <c r="C387" s="45" t="s">
        <v>553</v>
      </c>
      <c r="D387" s="45">
        <v>30</v>
      </c>
      <c r="E387" s="45" t="s">
        <v>584</v>
      </c>
      <c r="F387" s="42" t="str">
        <f>_xlfn.XLOOKUP(E387, 'S11 Work Stations'!$A$2:$A$45, 'S11 Work Stations'!$B$2:$B$45, "NOT FOUND", 0)</f>
        <v>TUR-40-100-404</v>
      </c>
      <c r="G387" s="45">
        <v>840</v>
      </c>
      <c r="H387" s="3">
        <v>200</v>
      </c>
    </row>
    <row r="388" spans="1:8" s="44" customFormat="1" x14ac:dyDescent="0.2">
      <c r="A388" s="224" t="str">
        <f t="shared" si="12"/>
        <v>I-060-WS-40</v>
      </c>
      <c r="B388" s="224" t="str">
        <f t="shared" si="13"/>
        <v>I-060-20</v>
      </c>
      <c r="C388" s="45" t="s">
        <v>553</v>
      </c>
      <c r="D388" s="45">
        <v>20</v>
      </c>
      <c r="E388" s="45" t="s">
        <v>613</v>
      </c>
      <c r="F388" s="42" t="str">
        <f>_xlfn.XLOOKUP(E388, 'S11 Work Stations'!$A$2:$A$45, 'S11 Work Stations'!$B$2:$B$45, "NOT FOUND", 0)</f>
        <v>SAW-CNC-40-425</v>
      </c>
      <c r="G388" s="45">
        <v>120</v>
      </c>
      <c r="H388" s="3">
        <v>200</v>
      </c>
    </row>
    <row r="389" spans="1:8" s="44" customFormat="1" x14ac:dyDescent="0.2">
      <c r="A389" s="224" t="str">
        <f t="shared" si="12"/>
        <v>I-060-WS-43</v>
      </c>
      <c r="B389" s="224" t="str">
        <f t="shared" si="13"/>
        <v>I-060-10</v>
      </c>
      <c r="C389" s="45" t="s">
        <v>553</v>
      </c>
      <c r="D389" s="45">
        <v>10</v>
      </c>
      <c r="E389" s="45" t="s">
        <v>616</v>
      </c>
      <c r="F389" s="42" t="str">
        <f>_xlfn.XLOOKUP(E389, 'S11 Work Stations'!$A$2:$A$45, 'S11 Work Stations'!$B$2:$B$45, "NOT FOUND", 0)</f>
        <v>RAW-MAT-INV</v>
      </c>
      <c r="G389" s="45">
        <v>0</v>
      </c>
      <c r="H389" s="3">
        <v>200</v>
      </c>
    </row>
    <row r="390" spans="1:8" s="44" customFormat="1" x14ac:dyDescent="0.2">
      <c r="A390" s="224" t="str">
        <f t="shared" si="12"/>
        <v>I-060-WS-44</v>
      </c>
      <c r="B390" s="224" t="str">
        <f t="shared" si="13"/>
        <v>I-060-40</v>
      </c>
      <c r="C390" s="45" t="s">
        <v>553</v>
      </c>
      <c r="D390" s="45">
        <v>40</v>
      </c>
      <c r="E390" s="45" t="s">
        <v>617</v>
      </c>
      <c r="F390" s="42" t="str">
        <f>_xlfn.XLOOKUP(E390, 'S11 Work Stations'!$A$2:$A$45, 'S11 Work Stations'!$B$2:$B$45, "NOT FOUND", 0)</f>
        <v>FIN-GOOD-INV</v>
      </c>
      <c r="G390" s="45">
        <v>0</v>
      </c>
      <c r="H390" s="3">
        <v>200</v>
      </c>
    </row>
    <row r="391" spans="1:8" s="44" customFormat="1" x14ac:dyDescent="0.2">
      <c r="A391" s="224" t="str">
        <f t="shared" si="12"/>
        <v>I-061-WS-11</v>
      </c>
      <c r="B391" s="224" t="str">
        <f t="shared" si="13"/>
        <v>I-061-30</v>
      </c>
      <c r="C391" s="45" t="s">
        <v>554</v>
      </c>
      <c r="D391" s="45">
        <v>30</v>
      </c>
      <c r="E391" s="45" t="s">
        <v>584</v>
      </c>
      <c r="F391" s="42" t="str">
        <f>_xlfn.XLOOKUP(E391, 'S11 Work Stations'!$A$2:$A$45, 'S11 Work Stations'!$B$2:$B$45, "NOT FOUND", 0)</f>
        <v>TUR-40-100-404</v>
      </c>
      <c r="G391" s="45">
        <v>1080</v>
      </c>
      <c r="H391" s="3">
        <v>200</v>
      </c>
    </row>
    <row r="392" spans="1:8" s="44" customFormat="1" x14ac:dyDescent="0.2">
      <c r="A392" s="224" t="str">
        <f t="shared" si="12"/>
        <v>I-061-WS-26</v>
      </c>
      <c r="B392" s="224" t="str">
        <f t="shared" si="13"/>
        <v>I-061-40</v>
      </c>
      <c r="C392" s="45" t="s">
        <v>554</v>
      </c>
      <c r="D392" s="45">
        <v>40</v>
      </c>
      <c r="E392" s="45" t="s">
        <v>599</v>
      </c>
      <c r="F392" s="42" t="str">
        <f>_xlfn.XLOOKUP(E392, 'S11 Work Stations'!$A$2:$A$45, 'S11 Work Stations'!$B$2:$B$45, "NOT FOUND", 0)</f>
        <v>DR-2A2-202</v>
      </c>
      <c r="G392" s="45">
        <v>480</v>
      </c>
      <c r="H392" s="3">
        <v>200</v>
      </c>
    </row>
    <row r="393" spans="1:8" s="44" customFormat="1" x14ac:dyDescent="0.2">
      <c r="A393" s="224" t="str">
        <f t="shared" si="12"/>
        <v>I-061-WS-40</v>
      </c>
      <c r="B393" s="224" t="str">
        <f t="shared" si="13"/>
        <v>I-061-20</v>
      </c>
      <c r="C393" s="45" t="s">
        <v>554</v>
      </c>
      <c r="D393" s="45">
        <v>20</v>
      </c>
      <c r="E393" s="45" t="s">
        <v>613</v>
      </c>
      <c r="F393" s="42" t="str">
        <f>_xlfn.XLOOKUP(E393, 'S11 Work Stations'!$A$2:$A$45, 'S11 Work Stations'!$B$2:$B$45, "NOT FOUND", 0)</f>
        <v>SAW-CNC-40-425</v>
      </c>
      <c r="G393" s="45">
        <v>120</v>
      </c>
      <c r="H393" s="3">
        <v>200</v>
      </c>
    </row>
    <row r="394" spans="1:8" s="44" customFormat="1" x14ac:dyDescent="0.2">
      <c r="A394" s="224" t="str">
        <f t="shared" si="12"/>
        <v>I-061-WS-43</v>
      </c>
      <c r="B394" s="224" t="str">
        <f t="shared" si="13"/>
        <v>I-061-10</v>
      </c>
      <c r="C394" s="45" t="s">
        <v>554</v>
      </c>
      <c r="D394" s="45">
        <v>10</v>
      </c>
      <c r="E394" s="45" t="s">
        <v>616</v>
      </c>
      <c r="F394" s="42" t="str">
        <f>_xlfn.XLOOKUP(E394, 'S11 Work Stations'!$A$2:$A$45, 'S11 Work Stations'!$B$2:$B$45, "NOT FOUND", 0)</f>
        <v>RAW-MAT-INV</v>
      </c>
      <c r="G394" s="45">
        <v>0</v>
      </c>
      <c r="H394" s="3">
        <v>200</v>
      </c>
    </row>
    <row r="395" spans="1:8" s="44" customFormat="1" x14ac:dyDescent="0.2">
      <c r="A395" s="224" t="str">
        <f t="shared" si="12"/>
        <v>I-061-WS-44</v>
      </c>
      <c r="B395" s="224" t="str">
        <f t="shared" si="13"/>
        <v>I-061-50</v>
      </c>
      <c r="C395" s="45" t="s">
        <v>554</v>
      </c>
      <c r="D395" s="45">
        <v>50</v>
      </c>
      <c r="E395" s="45" t="s">
        <v>617</v>
      </c>
      <c r="F395" s="42" t="str">
        <f>_xlfn.XLOOKUP(E395, 'S11 Work Stations'!$A$2:$A$45, 'S11 Work Stations'!$B$2:$B$45, "NOT FOUND", 0)</f>
        <v>FIN-GOOD-INV</v>
      </c>
      <c r="G395" s="45">
        <v>0</v>
      </c>
      <c r="H395" s="3">
        <v>200</v>
      </c>
    </row>
    <row r="396" spans="1:8" s="44" customFormat="1" x14ac:dyDescent="0.2">
      <c r="A396" s="224" t="str">
        <f t="shared" si="12"/>
        <v>I-062-WS-11</v>
      </c>
      <c r="B396" s="224" t="str">
        <f t="shared" si="13"/>
        <v>I-062-30</v>
      </c>
      <c r="C396" s="45" t="s">
        <v>555</v>
      </c>
      <c r="D396" s="45">
        <v>30</v>
      </c>
      <c r="E396" s="45" t="s">
        <v>584</v>
      </c>
      <c r="F396" s="42" t="str">
        <f>_xlfn.XLOOKUP(E396, 'S11 Work Stations'!$A$2:$A$45, 'S11 Work Stations'!$B$2:$B$45, "NOT FOUND", 0)</f>
        <v>TUR-40-100-404</v>
      </c>
      <c r="G396" s="45">
        <v>1080</v>
      </c>
      <c r="H396" s="3">
        <v>200</v>
      </c>
    </row>
    <row r="397" spans="1:8" s="44" customFormat="1" x14ac:dyDescent="0.2">
      <c r="A397" s="224" t="str">
        <f t="shared" si="12"/>
        <v>I-062-WS-27</v>
      </c>
      <c r="B397" s="224" t="str">
        <f t="shared" si="13"/>
        <v>I-062-40</v>
      </c>
      <c r="C397" s="45" t="s">
        <v>555</v>
      </c>
      <c r="D397" s="45">
        <v>40</v>
      </c>
      <c r="E397" s="45" t="s">
        <v>600</v>
      </c>
      <c r="F397" s="42" t="str">
        <f>_xlfn.XLOOKUP(E397, 'S11 Work Stations'!$A$2:$A$45, 'S11 Work Stations'!$B$2:$B$45, "NOT FOUND", 0)</f>
        <v>GR-T1-203</v>
      </c>
      <c r="G397" s="45">
        <v>360</v>
      </c>
      <c r="H397" s="3">
        <v>200</v>
      </c>
    </row>
    <row r="398" spans="1:8" s="44" customFormat="1" x14ac:dyDescent="0.2">
      <c r="A398" s="224" t="str">
        <f t="shared" si="12"/>
        <v>I-062-WS-34</v>
      </c>
      <c r="B398" s="224" t="str">
        <f t="shared" si="13"/>
        <v>I-062-50</v>
      </c>
      <c r="C398" s="45" t="s">
        <v>555</v>
      </c>
      <c r="D398" s="45">
        <v>50</v>
      </c>
      <c r="E398" s="45" t="s">
        <v>607</v>
      </c>
      <c r="F398" s="42" t="str">
        <f>_xlfn.XLOOKUP(E398, 'S11 Work Stations'!$A$2:$A$45, 'S11 Work Stations'!$B$2:$B$45, "NOT FOUND", 0)</f>
        <v>SAW-30-160-252</v>
      </c>
      <c r="G398" s="45">
        <v>420</v>
      </c>
      <c r="H398" s="3">
        <v>200</v>
      </c>
    </row>
    <row r="399" spans="1:8" s="44" customFormat="1" x14ac:dyDescent="0.2">
      <c r="A399" s="224" t="str">
        <f t="shared" si="12"/>
        <v>I-062-WS-40</v>
      </c>
      <c r="B399" s="224" t="str">
        <f t="shared" si="13"/>
        <v>I-062-20</v>
      </c>
      <c r="C399" s="45" t="s">
        <v>555</v>
      </c>
      <c r="D399" s="45">
        <v>20</v>
      </c>
      <c r="E399" s="45" t="s">
        <v>613</v>
      </c>
      <c r="F399" s="42" t="str">
        <f>_xlfn.XLOOKUP(E399, 'S11 Work Stations'!$A$2:$A$45, 'S11 Work Stations'!$B$2:$B$45, "NOT FOUND", 0)</f>
        <v>SAW-CNC-40-425</v>
      </c>
      <c r="G399" s="45">
        <v>180</v>
      </c>
      <c r="H399" s="3">
        <v>200</v>
      </c>
    </row>
    <row r="400" spans="1:8" s="44" customFormat="1" x14ac:dyDescent="0.2">
      <c r="A400" s="224" t="str">
        <f t="shared" si="12"/>
        <v>I-062-WS-43</v>
      </c>
      <c r="B400" s="224" t="str">
        <f t="shared" si="13"/>
        <v>I-062-10</v>
      </c>
      <c r="C400" s="45" t="s">
        <v>555</v>
      </c>
      <c r="D400" s="45">
        <v>10</v>
      </c>
      <c r="E400" s="45" t="s">
        <v>616</v>
      </c>
      <c r="F400" s="42" t="str">
        <f>_xlfn.XLOOKUP(E400, 'S11 Work Stations'!$A$2:$A$45, 'S11 Work Stations'!$B$2:$B$45, "NOT FOUND", 0)</f>
        <v>RAW-MAT-INV</v>
      </c>
      <c r="G400" s="45">
        <v>0</v>
      </c>
      <c r="H400" s="3">
        <v>200</v>
      </c>
    </row>
    <row r="401" spans="1:8" s="44" customFormat="1" x14ac:dyDescent="0.2">
      <c r="A401" s="224" t="str">
        <f t="shared" si="12"/>
        <v>I-062-WS-44</v>
      </c>
      <c r="B401" s="224" t="str">
        <f t="shared" si="13"/>
        <v>I-062-60</v>
      </c>
      <c r="C401" s="45" t="s">
        <v>555</v>
      </c>
      <c r="D401" s="45">
        <v>60</v>
      </c>
      <c r="E401" s="45" t="s">
        <v>617</v>
      </c>
      <c r="F401" s="42" t="str">
        <f>_xlfn.XLOOKUP(E401, 'S11 Work Stations'!$A$2:$A$45, 'S11 Work Stations'!$B$2:$B$45, "NOT FOUND", 0)</f>
        <v>FIN-GOOD-INV</v>
      </c>
      <c r="G401" s="45">
        <v>0</v>
      </c>
      <c r="H401" s="3">
        <v>200</v>
      </c>
    </row>
    <row r="402" spans="1:8" s="44" customFormat="1" x14ac:dyDescent="0.2">
      <c r="A402" s="224" t="str">
        <f t="shared" si="12"/>
        <v>I-063-WS-09</v>
      </c>
      <c r="B402" s="224" t="str">
        <f t="shared" si="13"/>
        <v>I-063-30</v>
      </c>
      <c r="C402" s="45" t="s">
        <v>556</v>
      </c>
      <c r="D402" s="45">
        <v>30</v>
      </c>
      <c r="E402" s="45" t="s">
        <v>582</v>
      </c>
      <c r="F402" s="42" t="str">
        <f>_xlfn.XLOOKUP(E402, 'S11 Work Stations'!$A$2:$A$45, 'S11 Work Stations'!$B$2:$B$45, "NOT FOUND", 0)</f>
        <v>TUR-20-120-402</v>
      </c>
      <c r="G402" s="45">
        <v>1080</v>
      </c>
      <c r="H402" s="3">
        <v>200</v>
      </c>
    </row>
    <row r="403" spans="1:8" s="44" customFormat="1" x14ac:dyDescent="0.2">
      <c r="A403" s="224" t="str">
        <f t="shared" si="12"/>
        <v>I-063-WS-26</v>
      </c>
      <c r="B403" s="224" t="str">
        <f t="shared" si="13"/>
        <v>I-063-40</v>
      </c>
      <c r="C403" s="45" t="s">
        <v>556</v>
      </c>
      <c r="D403" s="45">
        <v>40</v>
      </c>
      <c r="E403" s="45" t="s">
        <v>599</v>
      </c>
      <c r="F403" s="42" t="str">
        <f>_xlfn.XLOOKUP(E403, 'S11 Work Stations'!$A$2:$A$45, 'S11 Work Stations'!$B$2:$B$45, "NOT FOUND", 0)</f>
        <v>DR-2A2-202</v>
      </c>
      <c r="G403" s="45">
        <v>360</v>
      </c>
      <c r="H403" s="3">
        <v>200</v>
      </c>
    </row>
    <row r="404" spans="1:8" s="44" customFormat="1" x14ac:dyDescent="0.2">
      <c r="A404" s="224" t="str">
        <f t="shared" si="12"/>
        <v>I-063-WS-40</v>
      </c>
      <c r="B404" s="224" t="str">
        <f t="shared" si="13"/>
        <v>I-063-20</v>
      </c>
      <c r="C404" s="45" t="s">
        <v>556</v>
      </c>
      <c r="D404" s="45">
        <v>20</v>
      </c>
      <c r="E404" s="45" t="s">
        <v>613</v>
      </c>
      <c r="F404" s="42" t="str">
        <f>_xlfn.XLOOKUP(E404, 'S11 Work Stations'!$A$2:$A$45, 'S11 Work Stations'!$B$2:$B$45, "NOT FOUND", 0)</f>
        <v>SAW-CNC-40-425</v>
      </c>
      <c r="G404" s="45">
        <v>120</v>
      </c>
      <c r="H404" s="3">
        <v>200</v>
      </c>
    </row>
    <row r="405" spans="1:8" s="44" customFormat="1" x14ac:dyDescent="0.2">
      <c r="A405" s="224" t="str">
        <f t="shared" si="12"/>
        <v>I-063-WS-43</v>
      </c>
      <c r="B405" s="224" t="str">
        <f t="shared" si="13"/>
        <v>I-063-10</v>
      </c>
      <c r="C405" s="45" t="s">
        <v>556</v>
      </c>
      <c r="D405" s="45">
        <v>10</v>
      </c>
      <c r="E405" s="45" t="s">
        <v>616</v>
      </c>
      <c r="F405" s="42" t="str">
        <f>_xlfn.XLOOKUP(E405, 'S11 Work Stations'!$A$2:$A$45, 'S11 Work Stations'!$B$2:$B$45, "NOT FOUND", 0)</f>
        <v>RAW-MAT-INV</v>
      </c>
      <c r="G405" s="45">
        <v>0</v>
      </c>
      <c r="H405" s="3">
        <v>200</v>
      </c>
    </row>
    <row r="406" spans="1:8" s="44" customFormat="1" x14ac:dyDescent="0.2">
      <c r="A406" s="224" t="str">
        <f t="shared" si="12"/>
        <v>I-063-WS-44</v>
      </c>
      <c r="B406" s="224" t="str">
        <f t="shared" si="13"/>
        <v>I-063-50</v>
      </c>
      <c r="C406" s="45" t="s">
        <v>556</v>
      </c>
      <c r="D406" s="45">
        <v>50</v>
      </c>
      <c r="E406" s="45" t="s">
        <v>617</v>
      </c>
      <c r="F406" s="42" t="str">
        <f>_xlfn.XLOOKUP(E406, 'S11 Work Stations'!$A$2:$A$45, 'S11 Work Stations'!$B$2:$B$45, "NOT FOUND", 0)</f>
        <v>FIN-GOOD-INV</v>
      </c>
      <c r="G406" s="45">
        <v>0</v>
      </c>
      <c r="H406" s="3">
        <v>200</v>
      </c>
    </row>
    <row r="407" spans="1:8" s="44" customFormat="1" x14ac:dyDescent="0.2">
      <c r="A407" s="224" t="str">
        <f t="shared" si="12"/>
        <v>I-064-WS-03</v>
      </c>
      <c r="B407" s="224" t="str">
        <f t="shared" si="13"/>
        <v>I-064-40</v>
      </c>
      <c r="C407" s="45" t="s">
        <v>182</v>
      </c>
      <c r="D407" s="45">
        <v>40</v>
      </c>
      <c r="E407" s="45" t="s">
        <v>576</v>
      </c>
      <c r="F407" s="42" t="str">
        <f>_xlfn.XLOOKUP(E407, 'S11 Work Stations'!$A$2:$A$45, 'S11 Work Stations'!$B$2:$B$45, "NOT FOUND", 0)</f>
        <v>MIL-A31-363</v>
      </c>
      <c r="G407" s="45">
        <v>120</v>
      </c>
      <c r="H407" s="3">
        <v>200</v>
      </c>
    </row>
    <row r="408" spans="1:8" s="44" customFormat="1" x14ac:dyDescent="0.2">
      <c r="A408" s="224" t="str">
        <f t="shared" si="12"/>
        <v>I-064-WS-04</v>
      </c>
      <c r="B408" s="224" t="str">
        <f t="shared" si="13"/>
        <v>I-064-30</v>
      </c>
      <c r="C408" s="45" t="s">
        <v>182</v>
      </c>
      <c r="D408" s="45">
        <v>30</v>
      </c>
      <c r="E408" s="45" t="s">
        <v>577</v>
      </c>
      <c r="F408" s="42" t="str">
        <f>_xlfn.XLOOKUP(E408, 'S11 Work Stations'!$A$2:$A$45, 'S11 Work Stations'!$B$2:$B$45, "NOT FOUND", 0)</f>
        <v>TUR-A4-364</v>
      </c>
      <c r="G408" s="45">
        <v>120</v>
      </c>
      <c r="H408" s="3">
        <v>200</v>
      </c>
    </row>
    <row r="409" spans="1:8" s="44" customFormat="1" x14ac:dyDescent="0.2">
      <c r="A409" s="224" t="str">
        <f t="shared" si="12"/>
        <v>I-064-WS-23</v>
      </c>
      <c r="B409" s="224" t="str">
        <f t="shared" si="13"/>
        <v>I-064-50</v>
      </c>
      <c r="C409" s="45" t="s">
        <v>182</v>
      </c>
      <c r="D409" s="45">
        <v>50</v>
      </c>
      <c r="E409" s="45" t="s">
        <v>596</v>
      </c>
      <c r="F409" s="42" t="str">
        <f>_xlfn.XLOOKUP(E409, 'S11 Work Stations'!$A$2:$A$45, 'S11 Work Stations'!$B$2:$B$45, "NOT FOUND", 0)</f>
        <v>MIL-U2-607</v>
      </c>
      <c r="G409" s="45">
        <v>180</v>
      </c>
      <c r="H409" s="3">
        <v>200</v>
      </c>
    </row>
    <row r="410" spans="1:8" s="44" customFormat="1" x14ac:dyDescent="0.2">
      <c r="A410" s="224" t="str">
        <f t="shared" si="12"/>
        <v>I-064-WS-31</v>
      </c>
      <c r="B410" s="224" t="str">
        <f t="shared" si="13"/>
        <v>I-064-60</v>
      </c>
      <c r="C410" s="45" t="s">
        <v>182</v>
      </c>
      <c r="D410" s="45">
        <v>60</v>
      </c>
      <c r="E410" s="45" t="s">
        <v>604</v>
      </c>
      <c r="F410" s="42" t="str">
        <f>_xlfn.XLOOKUP(E410, 'S11 Work Stations'!$A$2:$A$45, 'S11 Work Stations'!$B$2:$B$45, "NOT FOUND", 0)</f>
        <v>DR-3AW-207</v>
      </c>
      <c r="G410" s="45">
        <v>180</v>
      </c>
      <c r="H410" s="3">
        <v>200</v>
      </c>
    </row>
    <row r="411" spans="1:8" s="44" customFormat="1" x14ac:dyDescent="0.2">
      <c r="A411" s="224" t="str">
        <f t="shared" si="12"/>
        <v>I-064-WS-32</v>
      </c>
      <c r="B411" s="224" t="str">
        <f t="shared" si="13"/>
        <v>I-064-70</v>
      </c>
      <c r="C411" s="45" t="s">
        <v>182</v>
      </c>
      <c r="D411" s="45">
        <v>70</v>
      </c>
      <c r="E411" s="45" t="s">
        <v>605</v>
      </c>
      <c r="F411" s="42" t="str">
        <f>_xlfn.XLOOKUP(E411, 'S11 Work Stations'!$A$2:$A$45, 'S11 Work Stations'!$B$2:$B$45, "NOT FOUND", 0)</f>
        <v>SAW-30-150-251</v>
      </c>
      <c r="G411" s="45">
        <v>780</v>
      </c>
      <c r="H411" s="3">
        <v>200</v>
      </c>
    </row>
    <row r="412" spans="1:8" s="44" customFormat="1" x14ac:dyDescent="0.2">
      <c r="A412" s="224" t="str">
        <f t="shared" si="12"/>
        <v>I-064-WS-40</v>
      </c>
      <c r="B412" s="224" t="str">
        <f t="shared" si="13"/>
        <v>I-064-20</v>
      </c>
      <c r="C412" s="45" t="s">
        <v>182</v>
      </c>
      <c r="D412" s="45">
        <v>20</v>
      </c>
      <c r="E412" s="45" t="s">
        <v>613</v>
      </c>
      <c r="F412" s="42" t="str">
        <f>_xlfn.XLOOKUP(E412, 'S11 Work Stations'!$A$2:$A$45, 'S11 Work Stations'!$B$2:$B$45, "NOT FOUND", 0)</f>
        <v>SAW-CNC-40-425</v>
      </c>
      <c r="G412" s="45">
        <v>180</v>
      </c>
      <c r="H412" s="3">
        <v>200</v>
      </c>
    </row>
    <row r="413" spans="1:8" s="44" customFormat="1" x14ac:dyDescent="0.2">
      <c r="A413" s="224" t="str">
        <f t="shared" si="12"/>
        <v>I-064-WS-43</v>
      </c>
      <c r="B413" s="224" t="str">
        <f t="shared" si="13"/>
        <v>I-064-10</v>
      </c>
      <c r="C413" s="45" t="s">
        <v>182</v>
      </c>
      <c r="D413" s="45">
        <v>10</v>
      </c>
      <c r="E413" s="45" t="s">
        <v>616</v>
      </c>
      <c r="F413" s="42" t="str">
        <f>_xlfn.XLOOKUP(E413, 'S11 Work Stations'!$A$2:$A$45, 'S11 Work Stations'!$B$2:$B$45, "NOT FOUND", 0)</f>
        <v>RAW-MAT-INV</v>
      </c>
      <c r="G413" s="45">
        <v>0</v>
      </c>
      <c r="H413" s="3">
        <v>200</v>
      </c>
    </row>
    <row r="414" spans="1:8" s="44" customFormat="1" x14ac:dyDescent="0.2">
      <c r="A414" s="224" t="str">
        <f t="shared" si="12"/>
        <v>I-064-WS-44</v>
      </c>
      <c r="B414" s="224" t="str">
        <f t="shared" si="13"/>
        <v>I-064-80</v>
      </c>
      <c r="C414" s="45" t="s">
        <v>182</v>
      </c>
      <c r="D414" s="45">
        <v>80</v>
      </c>
      <c r="E414" s="45" t="s">
        <v>617</v>
      </c>
      <c r="F414" s="42" t="str">
        <f>_xlfn.XLOOKUP(E414, 'S11 Work Stations'!$A$2:$A$45, 'S11 Work Stations'!$B$2:$B$45, "NOT FOUND", 0)</f>
        <v>FIN-GOOD-INV</v>
      </c>
      <c r="G414" s="45">
        <v>0</v>
      </c>
      <c r="H414" s="3">
        <v>200</v>
      </c>
    </row>
    <row r="415" spans="1:8" s="44" customFormat="1" x14ac:dyDescent="0.2">
      <c r="A415" s="224" t="str">
        <f t="shared" si="12"/>
        <v>I-065-WS-05</v>
      </c>
      <c r="B415" s="224" t="str">
        <f t="shared" si="13"/>
        <v>I-065-30</v>
      </c>
      <c r="C415" s="45" t="s">
        <v>557</v>
      </c>
      <c r="D415" s="45">
        <v>30</v>
      </c>
      <c r="E415" s="45" t="s">
        <v>578</v>
      </c>
      <c r="F415" s="42" t="str">
        <f>_xlfn.XLOOKUP(E415, 'S11 Work Stations'!$A$2:$A$45, 'S11 Work Stations'!$B$2:$B$45, "NOT FOUND", 0)</f>
        <v>MIL-A2-365</v>
      </c>
      <c r="G415" s="45">
        <v>720</v>
      </c>
      <c r="H415" s="3">
        <v>200</v>
      </c>
    </row>
    <row r="416" spans="1:8" s="44" customFormat="1" x14ac:dyDescent="0.2">
      <c r="A416" s="224" t="str">
        <f t="shared" si="12"/>
        <v>I-065-WS-24</v>
      </c>
      <c r="B416" s="224" t="str">
        <f t="shared" si="13"/>
        <v>I-065-50</v>
      </c>
      <c r="C416" s="45" t="s">
        <v>557</v>
      </c>
      <c r="D416" s="45">
        <v>50</v>
      </c>
      <c r="E416" s="45" t="s">
        <v>597</v>
      </c>
      <c r="F416" s="42" t="str">
        <f>_xlfn.XLOOKUP(E416, 'S11 Work Stations'!$A$2:$A$45, 'S11 Work Stations'!$B$2:$B$45, "NOT FOUND", 0)</f>
        <v>MIL-V5-608</v>
      </c>
      <c r="G416" s="45">
        <v>720</v>
      </c>
      <c r="H416" s="3">
        <v>200</v>
      </c>
    </row>
    <row r="417" spans="1:8" s="44" customFormat="1" x14ac:dyDescent="0.2">
      <c r="A417" s="224" t="str">
        <f t="shared" si="12"/>
        <v>I-065-WS-33</v>
      </c>
      <c r="B417" s="224" t="str">
        <f t="shared" si="13"/>
        <v>I-065-40</v>
      </c>
      <c r="C417" s="45" t="s">
        <v>557</v>
      </c>
      <c r="D417" s="45">
        <v>40</v>
      </c>
      <c r="E417" s="45" t="s">
        <v>606</v>
      </c>
      <c r="F417" s="42" t="str">
        <f>_xlfn.XLOOKUP(E417, 'S11 Work Stations'!$A$2:$A$45, 'S11 Work Stations'!$B$2:$B$45, "NOT FOUND", 0)</f>
        <v>SAW-50-150-252</v>
      </c>
      <c r="G417" s="45">
        <v>120</v>
      </c>
      <c r="H417" s="3">
        <v>200</v>
      </c>
    </row>
    <row r="418" spans="1:8" s="44" customFormat="1" x14ac:dyDescent="0.2">
      <c r="A418" s="224" t="str">
        <f t="shared" si="12"/>
        <v>I-065-WS-36</v>
      </c>
      <c r="B418" s="224" t="str">
        <f t="shared" si="13"/>
        <v>I-065-20</v>
      </c>
      <c r="C418" s="45" t="s">
        <v>557</v>
      </c>
      <c r="D418" s="45">
        <v>20</v>
      </c>
      <c r="E418" s="45" t="s">
        <v>609</v>
      </c>
      <c r="F418" s="42" t="str">
        <f>_xlfn.XLOOKUP(E418, 'S11 Work Stations'!$A$2:$A$45, 'S11 Work Stations'!$B$2:$B$45, "NOT FOUND", 0)</f>
        <v>SAW-10-421</v>
      </c>
      <c r="G418" s="45">
        <v>240</v>
      </c>
      <c r="H418" s="3">
        <v>200</v>
      </c>
    </row>
    <row r="419" spans="1:8" s="44" customFormat="1" x14ac:dyDescent="0.2">
      <c r="A419" s="224" t="str">
        <f t="shared" si="12"/>
        <v>I-065-WS-43</v>
      </c>
      <c r="B419" s="224" t="str">
        <f t="shared" si="13"/>
        <v>I-065-10</v>
      </c>
      <c r="C419" s="45" t="s">
        <v>557</v>
      </c>
      <c r="D419" s="45">
        <v>10</v>
      </c>
      <c r="E419" s="45" t="s">
        <v>616</v>
      </c>
      <c r="F419" s="42" t="str">
        <f>_xlfn.XLOOKUP(E419, 'S11 Work Stations'!$A$2:$A$45, 'S11 Work Stations'!$B$2:$B$45, "NOT FOUND", 0)</f>
        <v>RAW-MAT-INV</v>
      </c>
      <c r="G419" s="45">
        <v>0</v>
      </c>
      <c r="H419" s="3">
        <v>200</v>
      </c>
    </row>
    <row r="420" spans="1:8" s="44" customFormat="1" x14ac:dyDescent="0.2">
      <c r="A420" s="224" t="str">
        <f t="shared" si="12"/>
        <v>I-065-WS-44</v>
      </c>
      <c r="B420" s="224" t="str">
        <f t="shared" si="13"/>
        <v>I-065-60</v>
      </c>
      <c r="C420" s="45" t="s">
        <v>557</v>
      </c>
      <c r="D420" s="45">
        <v>60</v>
      </c>
      <c r="E420" s="45" t="s">
        <v>617</v>
      </c>
      <c r="F420" s="42" t="str">
        <f>_xlfn.XLOOKUP(E420, 'S11 Work Stations'!$A$2:$A$45, 'S11 Work Stations'!$B$2:$B$45, "NOT FOUND", 0)</f>
        <v>FIN-GOOD-INV</v>
      </c>
      <c r="G420" s="45">
        <v>0</v>
      </c>
      <c r="H420" s="3">
        <v>200</v>
      </c>
    </row>
    <row r="421" spans="1:8" s="44" customFormat="1" x14ac:dyDescent="0.2">
      <c r="A421" s="224" t="str">
        <f t="shared" si="12"/>
        <v>I-066-WS-05</v>
      </c>
      <c r="B421" s="224" t="str">
        <f t="shared" si="13"/>
        <v>I-066-30</v>
      </c>
      <c r="C421" s="45" t="s">
        <v>192</v>
      </c>
      <c r="D421" s="45">
        <v>30</v>
      </c>
      <c r="E421" s="45" t="s">
        <v>578</v>
      </c>
      <c r="F421" s="42" t="str">
        <f>_xlfn.XLOOKUP(E421, 'S11 Work Stations'!$A$2:$A$45, 'S11 Work Stations'!$B$2:$B$45, "NOT FOUND", 0)</f>
        <v>MIL-A2-365</v>
      </c>
      <c r="G421" s="45">
        <v>720</v>
      </c>
      <c r="H421" s="3">
        <v>200</v>
      </c>
    </row>
    <row r="422" spans="1:8" s="44" customFormat="1" x14ac:dyDescent="0.2">
      <c r="A422" s="224" t="str">
        <f t="shared" si="12"/>
        <v>I-066-WS-25</v>
      </c>
      <c r="B422" s="224" t="str">
        <f t="shared" si="13"/>
        <v>I-066-40</v>
      </c>
      <c r="C422" s="45" t="s">
        <v>192</v>
      </c>
      <c r="D422" s="45">
        <v>40</v>
      </c>
      <c r="E422" s="45" t="s">
        <v>598</v>
      </c>
      <c r="F422" s="42" t="str">
        <f>_xlfn.XLOOKUP(E422, 'S11 Work Stations'!$A$2:$A$45, 'S11 Work Stations'!$B$2:$B$45, "NOT FOUND", 0)</f>
        <v>DR-2A-201</v>
      </c>
      <c r="G422" s="45">
        <v>120</v>
      </c>
      <c r="H422" s="3">
        <v>200</v>
      </c>
    </row>
    <row r="423" spans="1:8" s="44" customFormat="1" x14ac:dyDescent="0.2">
      <c r="A423" s="224" t="str">
        <f t="shared" si="12"/>
        <v>I-066-WS-34</v>
      </c>
      <c r="B423" s="224" t="str">
        <f t="shared" si="13"/>
        <v>I-066-50</v>
      </c>
      <c r="C423" s="45" t="s">
        <v>192</v>
      </c>
      <c r="D423" s="45">
        <v>50</v>
      </c>
      <c r="E423" s="45" t="s">
        <v>607</v>
      </c>
      <c r="F423" s="42" t="str">
        <f>_xlfn.XLOOKUP(E423, 'S11 Work Stations'!$A$2:$A$45, 'S11 Work Stations'!$B$2:$B$45, "NOT FOUND", 0)</f>
        <v>SAW-30-160-252</v>
      </c>
      <c r="G423" s="45">
        <v>3600</v>
      </c>
      <c r="H423" s="3">
        <v>200</v>
      </c>
    </row>
    <row r="424" spans="1:8" s="44" customFormat="1" x14ac:dyDescent="0.2">
      <c r="A424" s="224" t="str">
        <f t="shared" si="12"/>
        <v>I-066-WS-36</v>
      </c>
      <c r="B424" s="224" t="str">
        <f t="shared" si="13"/>
        <v>I-066-20</v>
      </c>
      <c r="C424" s="45" t="s">
        <v>192</v>
      </c>
      <c r="D424" s="45">
        <v>20</v>
      </c>
      <c r="E424" s="45" t="s">
        <v>609</v>
      </c>
      <c r="F424" s="42" t="str">
        <f>_xlfn.XLOOKUP(E424, 'S11 Work Stations'!$A$2:$A$45, 'S11 Work Stations'!$B$2:$B$45, "NOT FOUND", 0)</f>
        <v>SAW-10-421</v>
      </c>
      <c r="G424" s="45">
        <v>120</v>
      </c>
      <c r="H424" s="3">
        <v>200</v>
      </c>
    </row>
    <row r="425" spans="1:8" s="44" customFormat="1" x14ac:dyDescent="0.2">
      <c r="A425" s="224" t="str">
        <f t="shared" si="12"/>
        <v>I-066-WS-43</v>
      </c>
      <c r="B425" s="224" t="str">
        <f t="shared" si="13"/>
        <v>I-066-10</v>
      </c>
      <c r="C425" s="45" t="s">
        <v>192</v>
      </c>
      <c r="D425" s="45">
        <v>10</v>
      </c>
      <c r="E425" s="45" t="s">
        <v>616</v>
      </c>
      <c r="F425" s="42" t="str">
        <f>_xlfn.XLOOKUP(E425, 'S11 Work Stations'!$A$2:$A$45, 'S11 Work Stations'!$B$2:$B$45, "NOT FOUND", 0)</f>
        <v>RAW-MAT-INV</v>
      </c>
      <c r="G425" s="45">
        <v>0</v>
      </c>
      <c r="H425" s="3">
        <v>200</v>
      </c>
    </row>
    <row r="426" spans="1:8" s="44" customFormat="1" x14ac:dyDescent="0.2">
      <c r="A426" s="224" t="str">
        <f t="shared" si="12"/>
        <v>I-066-WS-44</v>
      </c>
      <c r="B426" s="224" t="str">
        <f t="shared" si="13"/>
        <v>I-066-60</v>
      </c>
      <c r="C426" s="45" t="s">
        <v>192</v>
      </c>
      <c r="D426" s="45">
        <v>60</v>
      </c>
      <c r="E426" s="45" t="s">
        <v>617</v>
      </c>
      <c r="F426" s="42" t="str">
        <f>_xlfn.XLOOKUP(E426, 'S11 Work Stations'!$A$2:$A$45, 'S11 Work Stations'!$B$2:$B$45, "NOT FOUND", 0)</f>
        <v>FIN-GOOD-INV</v>
      </c>
      <c r="G426" s="45">
        <v>0</v>
      </c>
      <c r="H426" s="3">
        <v>200</v>
      </c>
    </row>
    <row r="427" spans="1:8" s="44" customFormat="1" x14ac:dyDescent="0.2">
      <c r="A427" s="224" t="str">
        <f t="shared" si="12"/>
        <v>I-067-WS-05</v>
      </c>
      <c r="B427" s="224" t="str">
        <f t="shared" si="13"/>
        <v>I-067-30</v>
      </c>
      <c r="C427" s="45" t="s">
        <v>558</v>
      </c>
      <c r="D427" s="45">
        <v>30</v>
      </c>
      <c r="E427" s="45" t="s">
        <v>578</v>
      </c>
      <c r="F427" s="42" t="str">
        <f>_xlfn.XLOOKUP(E427, 'S11 Work Stations'!$A$2:$A$45, 'S11 Work Stations'!$B$2:$B$45, "NOT FOUND", 0)</f>
        <v>MIL-A2-365</v>
      </c>
      <c r="G427" s="45">
        <v>720</v>
      </c>
      <c r="H427" s="3">
        <v>200</v>
      </c>
    </row>
    <row r="428" spans="1:8" s="44" customFormat="1" x14ac:dyDescent="0.2">
      <c r="A428" s="224" t="str">
        <f t="shared" si="12"/>
        <v>I-067-WS-24</v>
      </c>
      <c r="B428" s="224" t="str">
        <f t="shared" si="13"/>
        <v>I-067-50</v>
      </c>
      <c r="C428" s="45" t="s">
        <v>558</v>
      </c>
      <c r="D428" s="45">
        <v>50</v>
      </c>
      <c r="E428" s="45" t="s">
        <v>597</v>
      </c>
      <c r="F428" s="42" t="str">
        <f>_xlfn.XLOOKUP(E428, 'S11 Work Stations'!$A$2:$A$45, 'S11 Work Stations'!$B$2:$B$45, "NOT FOUND", 0)</f>
        <v>MIL-V5-608</v>
      </c>
      <c r="G428" s="45">
        <v>360</v>
      </c>
      <c r="H428" s="3">
        <v>200</v>
      </c>
    </row>
    <row r="429" spans="1:8" s="44" customFormat="1" x14ac:dyDescent="0.2">
      <c r="A429" s="224" t="str">
        <f t="shared" si="12"/>
        <v>I-067-WS-33</v>
      </c>
      <c r="B429" s="224" t="str">
        <f t="shared" si="13"/>
        <v>I-067-40</v>
      </c>
      <c r="C429" s="45" t="s">
        <v>558</v>
      </c>
      <c r="D429" s="45">
        <v>40</v>
      </c>
      <c r="E429" s="45" t="s">
        <v>606</v>
      </c>
      <c r="F429" s="42" t="str">
        <f>_xlfn.XLOOKUP(E429, 'S11 Work Stations'!$A$2:$A$45, 'S11 Work Stations'!$B$2:$B$45, "NOT FOUND", 0)</f>
        <v>SAW-50-150-252</v>
      </c>
      <c r="G429" s="45">
        <v>120</v>
      </c>
      <c r="H429" s="3">
        <v>200</v>
      </c>
    </row>
    <row r="430" spans="1:8" s="44" customFormat="1" x14ac:dyDescent="0.2">
      <c r="A430" s="224" t="str">
        <f t="shared" si="12"/>
        <v>I-067-WS-36</v>
      </c>
      <c r="B430" s="224" t="str">
        <f t="shared" si="13"/>
        <v>I-067-20</v>
      </c>
      <c r="C430" s="45" t="s">
        <v>558</v>
      </c>
      <c r="D430" s="45">
        <v>20</v>
      </c>
      <c r="E430" s="45" t="s">
        <v>609</v>
      </c>
      <c r="F430" s="42" t="str">
        <f>_xlfn.XLOOKUP(E430, 'S11 Work Stations'!$A$2:$A$45, 'S11 Work Stations'!$B$2:$B$45, "NOT FOUND", 0)</f>
        <v>SAW-10-421</v>
      </c>
      <c r="G430" s="45">
        <v>120</v>
      </c>
      <c r="H430" s="3">
        <v>200</v>
      </c>
    </row>
    <row r="431" spans="1:8" s="44" customFormat="1" x14ac:dyDescent="0.2">
      <c r="A431" s="224" t="str">
        <f t="shared" si="12"/>
        <v>I-067-WS-43</v>
      </c>
      <c r="B431" s="224" t="str">
        <f t="shared" si="13"/>
        <v>I-067-10</v>
      </c>
      <c r="C431" s="45" t="s">
        <v>558</v>
      </c>
      <c r="D431" s="45">
        <v>10</v>
      </c>
      <c r="E431" s="45" t="s">
        <v>616</v>
      </c>
      <c r="F431" s="42" t="str">
        <f>_xlfn.XLOOKUP(E431, 'S11 Work Stations'!$A$2:$A$45, 'S11 Work Stations'!$B$2:$B$45, "NOT FOUND", 0)</f>
        <v>RAW-MAT-INV</v>
      </c>
      <c r="G431" s="45">
        <v>0</v>
      </c>
      <c r="H431" s="3">
        <v>200</v>
      </c>
    </row>
    <row r="432" spans="1:8" s="44" customFormat="1" x14ac:dyDescent="0.2">
      <c r="A432" s="224" t="str">
        <f t="shared" si="12"/>
        <v>I-067-WS-44</v>
      </c>
      <c r="B432" s="224" t="str">
        <f t="shared" si="13"/>
        <v>I-067-60</v>
      </c>
      <c r="C432" s="45" t="s">
        <v>558</v>
      </c>
      <c r="D432" s="45">
        <v>60</v>
      </c>
      <c r="E432" s="45" t="s">
        <v>617</v>
      </c>
      <c r="F432" s="42" t="str">
        <f>_xlfn.XLOOKUP(E432, 'S11 Work Stations'!$A$2:$A$45, 'S11 Work Stations'!$B$2:$B$45, "NOT FOUND", 0)</f>
        <v>FIN-GOOD-INV</v>
      </c>
      <c r="G432" s="45">
        <v>0</v>
      </c>
      <c r="H432" s="3">
        <v>200</v>
      </c>
    </row>
    <row r="433" spans="1:8" s="44" customFormat="1" x14ac:dyDescent="0.2">
      <c r="A433" s="224" t="str">
        <f t="shared" si="12"/>
        <v>I-068-WS-05</v>
      </c>
      <c r="B433" s="224" t="str">
        <f t="shared" si="13"/>
        <v>I-068-30</v>
      </c>
      <c r="C433" s="45" t="s">
        <v>186</v>
      </c>
      <c r="D433" s="45">
        <v>30</v>
      </c>
      <c r="E433" s="45" t="s">
        <v>578</v>
      </c>
      <c r="F433" s="42" t="str">
        <f>_xlfn.XLOOKUP(E433, 'S11 Work Stations'!$A$2:$A$45, 'S11 Work Stations'!$B$2:$B$45, "NOT FOUND", 0)</f>
        <v>MIL-A2-365</v>
      </c>
      <c r="G433" s="45">
        <v>720</v>
      </c>
      <c r="H433" s="3">
        <v>200</v>
      </c>
    </row>
    <row r="434" spans="1:8" s="44" customFormat="1" x14ac:dyDescent="0.2">
      <c r="A434" s="224" t="str">
        <f t="shared" si="12"/>
        <v>I-068-WS-25</v>
      </c>
      <c r="B434" s="224" t="str">
        <f t="shared" si="13"/>
        <v>I-068-40</v>
      </c>
      <c r="C434" s="45" t="s">
        <v>186</v>
      </c>
      <c r="D434" s="45">
        <v>40</v>
      </c>
      <c r="E434" s="45" t="s">
        <v>598</v>
      </c>
      <c r="F434" s="42" t="str">
        <f>_xlfn.XLOOKUP(E434, 'S11 Work Stations'!$A$2:$A$45, 'S11 Work Stations'!$B$2:$B$45, "NOT FOUND", 0)</f>
        <v>DR-2A-201</v>
      </c>
      <c r="G434" s="45">
        <v>120</v>
      </c>
      <c r="H434" s="3">
        <v>200</v>
      </c>
    </row>
    <row r="435" spans="1:8" s="44" customFormat="1" x14ac:dyDescent="0.2">
      <c r="A435" s="224" t="str">
        <f t="shared" si="12"/>
        <v>I-068-WS-34</v>
      </c>
      <c r="B435" s="224" t="str">
        <f t="shared" si="13"/>
        <v>I-068-50</v>
      </c>
      <c r="C435" s="45" t="s">
        <v>186</v>
      </c>
      <c r="D435" s="45">
        <v>50</v>
      </c>
      <c r="E435" s="45" t="s">
        <v>607</v>
      </c>
      <c r="F435" s="42" t="str">
        <f>_xlfn.XLOOKUP(E435, 'S11 Work Stations'!$A$2:$A$45, 'S11 Work Stations'!$B$2:$B$45, "NOT FOUND", 0)</f>
        <v>SAW-30-160-252</v>
      </c>
      <c r="G435" s="45">
        <v>480</v>
      </c>
      <c r="H435" s="3">
        <v>200</v>
      </c>
    </row>
    <row r="436" spans="1:8" s="44" customFormat="1" x14ac:dyDescent="0.2">
      <c r="A436" s="224" t="str">
        <f t="shared" si="12"/>
        <v>I-068-WS-36</v>
      </c>
      <c r="B436" s="224" t="str">
        <f t="shared" si="13"/>
        <v>I-068-20</v>
      </c>
      <c r="C436" s="45" t="s">
        <v>186</v>
      </c>
      <c r="D436" s="45">
        <v>20</v>
      </c>
      <c r="E436" s="45" t="s">
        <v>609</v>
      </c>
      <c r="F436" s="42" t="str">
        <f>_xlfn.XLOOKUP(E436, 'S11 Work Stations'!$A$2:$A$45, 'S11 Work Stations'!$B$2:$B$45, "NOT FOUND", 0)</f>
        <v>SAW-10-421</v>
      </c>
      <c r="G436" s="45">
        <v>120</v>
      </c>
      <c r="H436" s="3">
        <v>200</v>
      </c>
    </row>
    <row r="437" spans="1:8" s="44" customFormat="1" x14ac:dyDescent="0.2">
      <c r="A437" s="224" t="str">
        <f t="shared" si="12"/>
        <v>I-068-WS-43</v>
      </c>
      <c r="B437" s="224" t="str">
        <f t="shared" si="13"/>
        <v>I-068-10</v>
      </c>
      <c r="C437" s="45" t="s">
        <v>186</v>
      </c>
      <c r="D437" s="45">
        <v>10</v>
      </c>
      <c r="E437" s="45" t="s">
        <v>616</v>
      </c>
      <c r="F437" s="42" t="str">
        <f>_xlfn.XLOOKUP(E437, 'S11 Work Stations'!$A$2:$A$45, 'S11 Work Stations'!$B$2:$B$45, "NOT FOUND", 0)</f>
        <v>RAW-MAT-INV</v>
      </c>
      <c r="G437" s="45">
        <v>0</v>
      </c>
      <c r="H437" s="3">
        <v>200</v>
      </c>
    </row>
    <row r="438" spans="1:8" s="44" customFormat="1" x14ac:dyDescent="0.2">
      <c r="A438" s="224" t="str">
        <f t="shared" si="12"/>
        <v>I-068-WS-44</v>
      </c>
      <c r="B438" s="224" t="str">
        <f t="shared" si="13"/>
        <v>I-068-60</v>
      </c>
      <c r="C438" s="45" t="s">
        <v>186</v>
      </c>
      <c r="D438" s="45">
        <v>60</v>
      </c>
      <c r="E438" s="45" t="s">
        <v>617</v>
      </c>
      <c r="F438" s="42" t="str">
        <f>_xlfn.XLOOKUP(E438, 'S11 Work Stations'!$A$2:$A$45, 'S11 Work Stations'!$B$2:$B$45, "NOT FOUND", 0)</f>
        <v>FIN-GOOD-INV</v>
      </c>
      <c r="G438" s="45">
        <v>0</v>
      </c>
      <c r="H438" s="3">
        <v>200</v>
      </c>
    </row>
    <row r="439" spans="1:8" s="44" customFormat="1" x14ac:dyDescent="0.2">
      <c r="A439" s="224" t="str">
        <f t="shared" si="12"/>
        <v>I-069-WS-05</v>
      </c>
      <c r="B439" s="224" t="str">
        <f t="shared" si="13"/>
        <v>I-069-30</v>
      </c>
      <c r="C439" s="45" t="s">
        <v>194</v>
      </c>
      <c r="D439" s="45">
        <v>30</v>
      </c>
      <c r="E439" s="45" t="s">
        <v>578</v>
      </c>
      <c r="F439" s="42" t="str">
        <f>_xlfn.XLOOKUP(E439, 'S11 Work Stations'!$A$2:$A$45, 'S11 Work Stations'!$B$2:$B$45, "NOT FOUND", 0)</f>
        <v>MIL-A2-365</v>
      </c>
      <c r="G439" s="45">
        <v>360</v>
      </c>
      <c r="H439" s="3">
        <v>200</v>
      </c>
    </row>
    <row r="440" spans="1:8" s="44" customFormat="1" x14ac:dyDescent="0.2">
      <c r="A440" s="224" t="str">
        <f t="shared" si="12"/>
        <v>I-069-WS-25</v>
      </c>
      <c r="B440" s="224" t="str">
        <f t="shared" si="13"/>
        <v>I-069-40</v>
      </c>
      <c r="C440" s="45" t="s">
        <v>194</v>
      </c>
      <c r="D440" s="45">
        <v>40</v>
      </c>
      <c r="E440" s="45" t="s">
        <v>598</v>
      </c>
      <c r="F440" s="42" t="str">
        <f>_xlfn.XLOOKUP(E440, 'S11 Work Stations'!$A$2:$A$45, 'S11 Work Stations'!$B$2:$B$45, "NOT FOUND", 0)</f>
        <v>DR-2A-201</v>
      </c>
      <c r="G440" s="45">
        <v>180</v>
      </c>
      <c r="H440" s="3">
        <v>200</v>
      </c>
    </row>
    <row r="441" spans="1:8" s="44" customFormat="1" x14ac:dyDescent="0.2">
      <c r="A441" s="224" t="str">
        <f t="shared" si="12"/>
        <v>I-069-WS-34</v>
      </c>
      <c r="B441" s="224" t="str">
        <f t="shared" si="13"/>
        <v>I-069-50</v>
      </c>
      <c r="C441" s="45" t="s">
        <v>194</v>
      </c>
      <c r="D441" s="45">
        <v>50</v>
      </c>
      <c r="E441" s="45" t="s">
        <v>607</v>
      </c>
      <c r="F441" s="42" t="str">
        <f>_xlfn.XLOOKUP(E441, 'S11 Work Stations'!$A$2:$A$45, 'S11 Work Stations'!$B$2:$B$45, "NOT FOUND", 0)</f>
        <v>SAW-30-160-252</v>
      </c>
      <c r="G441" s="45">
        <v>900</v>
      </c>
      <c r="H441" s="3">
        <v>200</v>
      </c>
    </row>
    <row r="442" spans="1:8" s="44" customFormat="1" x14ac:dyDescent="0.2">
      <c r="A442" s="224" t="str">
        <f t="shared" si="12"/>
        <v>I-069-WS-36</v>
      </c>
      <c r="B442" s="224" t="str">
        <f t="shared" si="13"/>
        <v>I-069-20</v>
      </c>
      <c r="C442" s="45" t="s">
        <v>194</v>
      </c>
      <c r="D442" s="45">
        <v>20</v>
      </c>
      <c r="E442" s="45" t="s">
        <v>609</v>
      </c>
      <c r="F442" s="42" t="str">
        <f>_xlfn.XLOOKUP(E442, 'S11 Work Stations'!$A$2:$A$45, 'S11 Work Stations'!$B$2:$B$45, "NOT FOUND", 0)</f>
        <v>SAW-10-421</v>
      </c>
      <c r="G442" s="45">
        <v>60</v>
      </c>
      <c r="H442" s="3">
        <v>200</v>
      </c>
    </row>
    <row r="443" spans="1:8" s="44" customFormat="1" x14ac:dyDescent="0.2">
      <c r="A443" s="224" t="str">
        <f t="shared" si="12"/>
        <v>I-069-WS-43</v>
      </c>
      <c r="B443" s="224" t="str">
        <f t="shared" si="13"/>
        <v>I-069-10</v>
      </c>
      <c r="C443" s="45" t="s">
        <v>194</v>
      </c>
      <c r="D443" s="45">
        <v>10</v>
      </c>
      <c r="E443" s="45" t="s">
        <v>616</v>
      </c>
      <c r="F443" s="42" t="str">
        <f>_xlfn.XLOOKUP(E443, 'S11 Work Stations'!$A$2:$A$45, 'S11 Work Stations'!$B$2:$B$45, "NOT FOUND", 0)</f>
        <v>RAW-MAT-INV</v>
      </c>
      <c r="G443" s="45">
        <v>0</v>
      </c>
      <c r="H443" s="3">
        <v>200</v>
      </c>
    </row>
    <row r="444" spans="1:8" s="44" customFormat="1" x14ac:dyDescent="0.2">
      <c r="A444" s="224" t="str">
        <f t="shared" si="12"/>
        <v>I-069-WS-44</v>
      </c>
      <c r="B444" s="224" t="str">
        <f t="shared" si="13"/>
        <v>I-069-60</v>
      </c>
      <c r="C444" s="45" t="s">
        <v>194</v>
      </c>
      <c r="D444" s="45">
        <v>60</v>
      </c>
      <c r="E444" s="45" t="s">
        <v>617</v>
      </c>
      <c r="F444" s="42" t="str">
        <f>_xlfn.XLOOKUP(E444, 'S11 Work Stations'!$A$2:$A$45, 'S11 Work Stations'!$B$2:$B$45, "NOT FOUND", 0)</f>
        <v>FIN-GOOD-INV</v>
      </c>
      <c r="G444" s="45">
        <v>0</v>
      </c>
      <c r="H444" s="3">
        <v>200</v>
      </c>
    </row>
    <row r="445" spans="1:8" s="44" customFormat="1" x14ac:dyDescent="0.2">
      <c r="A445" s="224" t="str">
        <f t="shared" si="12"/>
        <v>I-070-WS-05</v>
      </c>
      <c r="B445" s="224" t="str">
        <f t="shared" si="13"/>
        <v>I-070-30</v>
      </c>
      <c r="C445" s="45" t="s">
        <v>196</v>
      </c>
      <c r="D445" s="45">
        <v>30</v>
      </c>
      <c r="E445" s="45" t="s">
        <v>578</v>
      </c>
      <c r="F445" s="42" t="str">
        <f>_xlfn.XLOOKUP(E445, 'S11 Work Stations'!$A$2:$A$45, 'S11 Work Stations'!$B$2:$B$45, "NOT FOUND", 0)</f>
        <v>MIL-A2-365</v>
      </c>
      <c r="G445" s="45">
        <v>540</v>
      </c>
      <c r="H445" s="3">
        <v>200</v>
      </c>
    </row>
    <row r="446" spans="1:8" s="44" customFormat="1" x14ac:dyDescent="0.2">
      <c r="A446" s="224" t="str">
        <f t="shared" si="12"/>
        <v>I-070-WS-25</v>
      </c>
      <c r="B446" s="224" t="str">
        <f t="shared" si="13"/>
        <v>I-070-40</v>
      </c>
      <c r="C446" s="45" t="s">
        <v>196</v>
      </c>
      <c r="D446" s="45">
        <v>40</v>
      </c>
      <c r="E446" s="45" t="s">
        <v>598</v>
      </c>
      <c r="F446" s="42" t="str">
        <f>_xlfn.XLOOKUP(E446, 'S11 Work Stations'!$A$2:$A$45, 'S11 Work Stations'!$B$2:$B$45, "NOT FOUND", 0)</f>
        <v>DR-2A-201</v>
      </c>
      <c r="G446" s="45">
        <v>180</v>
      </c>
      <c r="H446" s="3">
        <v>200</v>
      </c>
    </row>
    <row r="447" spans="1:8" s="44" customFormat="1" x14ac:dyDescent="0.2">
      <c r="A447" s="224" t="str">
        <f t="shared" si="12"/>
        <v>I-070-WS-34</v>
      </c>
      <c r="B447" s="224" t="str">
        <f t="shared" si="13"/>
        <v>I-070-50</v>
      </c>
      <c r="C447" s="45" t="s">
        <v>196</v>
      </c>
      <c r="D447" s="45">
        <v>50</v>
      </c>
      <c r="E447" s="45" t="s">
        <v>607</v>
      </c>
      <c r="F447" s="42" t="str">
        <f>_xlfn.XLOOKUP(E447, 'S11 Work Stations'!$A$2:$A$45, 'S11 Work Stations'!$B$2:$B$45, "NOT FOUND", 0)</f>
        <v>SAW-30-160-252</v>
      </c>
      <c r="G447" s="45">
        <v>240</v>
      </c>
      <c r="H447" s="3">
        <v>200</v>
      </c>
    </row>
    <row r="448" spans="1:8" s="44" customFormat="1" x14ac:dyDescent="0.2">
      <c r="A448" s="224" t="str">
        <f t="shared" si="12"/>
        <v>I-070-WS-36</v>
      </c>
      <c r="B448" s="224" t="str">
        <f t="shared" si="13"/>
        <v>I-070-20</v>
      </c>
      <c r="C448" s="45" t="s">
        <v>196</v>
      </c>
      <c r="D448" s="45">
        <v>20</v>
      </c>
      <c r="E448" s="45" t="s">
        <v>609</v>
      </c>
      <c r="F448" s="42" t="str">
        <f>_xlfn.XLOOKUP(E448, 'S11 Work Stations'!$A$2:$A$45, 'S11 Work Stations'!$B$2:$B$45, "NOT FOUND", 0)</f>
        <v>SAW-10-421</v>
      </c>
      <c r="G448" s="45">
        <v>120</v>
      </c>
      <c r="H448" s="3">
        <v>200</v>
      </c>
    </row>
    <row r="449" spans="1:8" s="44" customFormat="1" x14ac:dyDescent="0.2">
      <c r="A449" s="224" t="str">
        <f t="shared" si="12"/>
        <v>I-070-WS-43</v>
      </c>
      <c r="B449" s="224" t="str">
        <f t="shared" si="13"/>
        <v>I-070-10</v>
      </c>
      <c r="C449" s="45" t="s">
        <v>196</v>
      </c>
      <c r="D449" s="45">
        <v>10</v>
      </c>
      <c r="E449" s="45" t="s">
        <v>616</v>
      </c>
      <c r="F449" s="42" t="str">
        <f>_xlfn.XLOOKUP(E449, 'S11 Work Stations'!$A$2:$A$45, 'S11 Work Stations'!$B$2:$B$45, "NOT FOUND", 0)</f>
        <v>RAW-MAT-INV</v>
      </c>
      <c r="G449" s="45">
        <v>0</v>
      </c>
      <c r="H449" s="3">
        <v>200</v>
      </c>
    </row>
    <row r="450" spans="1:8" s="44" customFormat="1" x14ac:dyDescent="0.2">
      <c r="A450" s="224" t="str">
        <f t="shared" si="12"/>
        <v>I-070-WS-44</v>
      </c>
      <c r="B450" s="224" t="str">
        <f t="shared" si="13"/>
        <v>I-070-60</v>
      </c>
      <c r="C450" s="45" t="s">
        <v>196</v>
      </c>
      <c r="D450" s="45">
        <v>60</v>
      </c>
      <c r="E450" s="45" t="s">
        <v>617</v>
      </c>
      <c r="F450" s="42" t="str">
        <f>_xlfn.XLOOKUP(E450, 'S11 Work Stations'!$A$2:$A$45, 'S11 Work Stations'!$B$2:$B$45, "NOT FOUND", 0)</f>
        <v>FIN-GOOD-INV</v>
      </c>
      <c r="G450" s="45">
        <v>0</v>
      </c>
      <c r="H450" s="3">
        <v>200</v>
      </c>
    </row>
    <row r="451" spans="1:8" s="44" customFormat="1" x14ac:dyDescent="0.2">
      <c r="A451" s="224" t="str">
        <f t="shared" ref="A451:A514" si="14">C451&amp;"-"&amp;E451</f>
        <v>I-071-WS-05</v>
      </c>
      <c r="B451" s="224" t="str">
        <f t="shared" ref="B451:B514" si="15">C451&amp;"-"&amp;D451</f>
        <v>I-071-30</v>
      </c>
      <c r="C451" s="45" t="s">
        <v>202</v>
      </c>
      <c r="D451" s="45">
        <v>30</v>
      </c>
      <c r="E451" s="45" t="s">
        <v>578</v>
      </c>
      <c r="F451" s="42" t="str">
        <f>_xlfn.XLOOKUP(E451, 'S11 Work Stations'!$A$2:$A$45, 'S11 Work Stations'!$B$2:$B$45, "NOT FOUND", 0)</f>
        <v>MIL-A2-365</v>
      </c>
      <c r="G451" s="45">
        <v>840</v>
      </c>
      <c r="H451" s="3">
        <v>200</v>
      </c>
    </row>
    <row r="452" spans="1:8" s="44" customFormat="1" x14ac:dyDescent="0.2">
      <c r="A452" s="224" t="str">
        <f t="shared" si="14"/>
        <v>I-071-WS-25</v>
      </c>
      <c r="B452" s="224" t="str">
        <f t="shared" si="15"/>
        <v>I-071-40</v>
      </c>
      <c r="C452" s="45" t="s">
        <v>202</v>
      </c>
      <c r="D452" s="45">
        <v>40</v>
      </c>
      <c r="E452" s="45" t="s">
        <v>598</v>
      </c>
      <c r="F452" s="42" t="str">
        <f>_xlfn.XLOOKUP(E452, 'S11 Work Stations'!$A$2:$A$45, 'S11 Work Stations'!$B$2:$B$45, "NOT FOUND", 0)</f>
        <v>DR-2A-201</v>
      </c>
      <c r="G452" s="45">
        <v>840</v>
      </c>
      <c r="H452" s="3">
        <v>200</v>
      </c>
    </row>
    <row r="453" spans="1:8" s="44" customFormat="1" x14ac:dyDescent="0.2">
      <c r="A453" s="224" t="str">
        <f t="shared" si="14"/>
        <v>I-071-WS-34</v>
      </c>
      <c r="B453" s="224" t="str">
        <f t="shared" si="15"/>
        <v>I-071-50</v>
      </c>
      <c r="C453" s="45" t="s">
        <v>202</v>
      </c>
      <c r="D453" s="45">
        <v>50</v>
      </c>
      <c r="E453" s="45" t="s">
        <v>607</v>
      </c>
      <c r="F453" s="42" t="str">
        <f>_xlfn.XLOOKUP(E453, 'S11 Work Stations'!$A$2:$A$45, 'S11 Work Stations'!$B$2:$B$45, "NOT FOUND", 0)</f>
        <v>SAW-30-160-252</v>
      </c>
      <c r="G453" s="45">
        <v>480</v>
      </c>
      <c r="H453" s="3">
        <v>200</v>
      </c>
    </row>
    <row r="454" spans="1:8" s="44" customFormat="1" x14ac:dyDescent="0.2">
      <c r="A454" s="224" t="str">
        <f t="shared" si="14"/>
        <v>I-071-WS-36</v>
      </c>
      <c r="B454" s="224" t="str">
        <f t="shared" si="15"/>
        <v>I-071-20</v>
      </c>
      <c r="C454" s="45" t="s">
        <v>202</v>
      </c>
      <c r="D454" s="45">
        <v>20</v>
      </c>
      <c r="E454" s="45" t="s">
        <v>609</v>
      </c>
      <c r="F454" s="42" t="str">
        <f>_xlfn.XLOOKUP(E454, 'S11 Work Stations'!$A$2:$A$45, 'S11 Work Stations'!$B$2:$B$45, "NOT FOUND", 0)</f>
        <v>SAW-10-421</v>
      </c>
      <c r="G454" s="45">
        <v>60</v>
      </c>
      <c r="H454" s="3">
        <v>200</v>
      </c>
    </row>
    <row r="455" spans="1:8" s="44" customFormat="1" x14ac:dyDescent="0.2">
      <c r="A455" s="224" t="str">
        <f t="shared" si="14"/>
        <v>I-071-WS-43</v>
      </c>
      <c r="B455" s="224" t="str">
        <f t="shared" si="15"/>
        <v>I-071-10</v>
      </c>
      <c r="C455" s="45" t="s">
        <v>202</v>
      </c>
      <c r="D455" s="45">
        <v>10</v>
      </c>
      <c r="E455" s="45" t="s">
        <v>616</v>
      </c>
      <c r="F455" s="42" t="str">
        <f>_xlfn.XLOOKUP(E455, 'S11 Work Stations'!$A$2:$A$45, 'S11 Work Stations'!$B$2:$B$45, "NOT FOUND", 0)</f>
        <v>RAW-MAT-INV</v>
      </c>
      <c r="G455" s="45">
        <v>0</v>
      </c>
      <c r="H455" s="3">
        <v>200</v>
      </c>
    </row>
    <row r="456" spans="1:8" s="44" customFormat="1" x14ac:dyDescent="0.2">
      <c r="A456" s="224" t="str">
        <f t="shared" si="14"/>
        <v>I-071-WS-44</v>
      </c>
      <c r="B456" s="224" t="str">
        <f t="shared" si="15"/>
        <v>I-071-60</v>
      </c>
      <c r="C456" s="45" t="s">
        <v>202</v>
      </c>
      <c r="D456" s="45">
        <v>60</v>
      </c>
      <c r="E456" s="45" t="s">
        <v>617</v>
      </c>
      <c r="F456" s="42" t="str">
        <f>_xlfn.XLOOKUP(E456, 'S11 Work Stations'!$A$2:$A$45, 'S11 Work Stations'!$B$2:$B$45, "NOT FOUND", 0)</f>
        <v>FIN-GOOD-INV</v>
      </c>
      <c r="G456" s="45">
        <v>0</v>
      </c>
      <c r="H456" s="3">
        <v>200</v>
      </c>
    </row>
    <row r="457" spans="1:8" s="44" customFormat="1" x14ac:dyDescent="0.2">
      <c r="A457" s="224" t="str">
        <f t="shared" si="14"/>
        <v>I-072-WS-05</v>
      </c>
      <c r="B457" s="224" t="str">
        <f t="shared" si="15"/>
        <v>I-072-30</v>
      </c>
      <c r="C457" s="45" t="s">
        <v>221</v>
      </c>
      <c r="D457" s="45">
        <v>30</v>
      </c>
      <c r="E457" s="45" t="s">
        <v>578</v>
      </c>
      <c r="F457" s="42" t="str">
        <f>_xlfn.XLOOKUP(E457, 'S11 Work Stations'!$A$2:$A$45, 'S11 Work Stations'!$B$2:$B$45, "NOT FOUND", 0)</f>
        <v>MIL-A2-365</v>
      </c>
      <c r="G457" s="45">
        <v>540</v>
      </c>
      <c r="H457" s="3">
        <v>200</v>
      </c>
    </row>
    <row r="458" spans="1:8" s="44" customFormat="1" x14ac:dyDescent="0.2">
      <c r="A458" s="224" t="str">
        <f t="shared" si="14"/>
        <v>I-072-WS-25</v>
      </c>
      <c r="B458" s="224" t="str">
        <f t="shared" si="15"/>
        <v>I-072-40</v>
      </c>
      <c r="C458" s="45" t="s">
        <v>221</v>
      </c>
      <c r="D458" s="45">
        <v>40</v>
      </c>
      <c r="E458" s="45" t="s">
        <v>598</v>
      </c>
      <c r="F458" s="42" t="str">
        <f>_xlfn.XLOOKUP(E458, 'S11 Work Stations'!$A$2:$A$45, 'S11 Work Stations'!$B$2:$B$45, "NOT FOUND", 0)</f>
        <v>DR-2A-201</v>
      </c>
      <c r="G458" s="45">
        <v>720</v>
      </c>
      <c r="H458" s="3">
        <v>200</v>
      </c>
    </row>
    <row r="459" spans="1:8" s="44" customFormat="1" x14ac:dyDescent="0.2">
      <c r="A459" s="224" t="str">
        <f t="shared" si="14"/>
        <v>I-072-WS-34</v>
      </c>
      <c r="B459" s="224" t="str">
        <f t="shared" si="15"/>
        <v>I-072-50</v>
      </c>
      <c r="C459" s="45" t="s">
        <v>221</v>
      </c>
      <c r="D459" s="45">
        <v>50</v>
      </c>
      <c r="E459" s="45" t="s">
        <v>607</v>
      </c>
      <c r="F459" s="42" t="str">
        <f>_xlfn.XLOOKUP(E459, 'S11 Work Stations'!$A$2:$A$45, 'S11 Work Stations'!$B$2:$B$45, "NOT FOUND", 0)</f>
        <v>SAW-30-160-252</v>
      </c>
      <c r="G459" s="45">
        <v>180</v>
      </c>
      <c r="H459" s="3">
        <v>200</v>
      </c>
    </row>
    <row r="460" spans="1:8" s="44" customFormat="1" x14ac:dyDescent="0.2">
      <c r="A460" s="224" t="str">
        <f t="shared" si="14"/>
        <v>I-072-WS-36</v>
      </c>
      <c r="B460" s="224" t="str">
        <f t="shared" si="15"/>
        <v>I-072-20</v>
      </c>
      <c r="C460" s="45" t="s">
        <v>221</v>
      </c>
      <c r="D460" s="45">
        <v>20</v>
      </c>
      <c r="E460" s="45" t="s">
        <v>609</v>
      </c>
      <c r="F460" s="42" t="str">
        <f>_xlfn.XLOOKUP(E460, 'S11 Work Stations'!$A$2:$A$45, 'S11 Work Stations'!$B$2:$B$45, "NOT FOUND", 0)</f>
        <v>SAW-10-421</v>
      </c>
      <c r="G460" s="45">
        <v>60</v>
      </c>
      <c r="H460" s="3">
        <v>200</v>
      </c>
    </row>
    <row r="461" spans="1:8" s="44" customFormat="1" x14ac:dyDescent="0.2">
      <c r="A461" s="224" t="str">
        <f t="shared" si="14"/>
        <v>I-072-WS-43</v>
      </c>
      <c r="B461" s="224" t="str">
        <f t="shared" si="15"/>
        <v>I-072-10</v>
      </c>
      <c r="C461" s="45" t="s">
        <v>221</v>
      </c>
      <c r="D461" s="45">
        <v>10</v>
      </c>
      <c r="E461" s="45" t="s">
        <v>616</v>
      </c>
      <c r="F461" s="42" t="str">
        <f>_xlfn.XLOOKUP(E461, 'S11 Work Stations'!$A$2:$A$45, 'S11 Work Stations'!$B$2:$B$45, "NOT FOUND", 0)</f>
        <v>RAW-MAT-INV</v>
      </c>
      <c r="G461" s="45">
        <v>0</v>
      </c>
      <c r="H461" s="3">
        <v>200</v>
      </c>
    </row>
    <row r="462" spans="1:8" s="44" customFormat="1" x14ac:dyDescent="0.2">
      <c r="A462" s="224" t="str">
        <f t="shared" si="14"/>
        <v>I-072-WS-44</v>
      </c>
      <c r="B462" s="224" t="str">
        <f t="shared" si="15"/>
        <v>I-072-60</v>
      </c>
      <c r="C462" s="45" t="s">
        <v>221</v>
      </c>
      <c r="D462" s="45">
        <v>60</v>
      </c>
      <c r="E462" s="45" t="s">
        <v>617</v>
      </c>
      <c r="F462" s="42" t="str">
        <f>_xlfn.XLOOKUP(E462, 'S11 Work Stations'!$A$2:$A$45, 'S11 Work Stations'!$B$2:$B$45, "NOT FOUND", 0)</f>
        <v>FIN-GOOD-INV</v>
      </c>
      <c r="G462" s="45">
        <v>0</v>
      </c>
      <c r="H462" s="3">
        <v>200</v>
      </c>
    </row>
    <row r="463" spans="1:8" s="44" customFormat="1" x14ac:dyDescent="0.2">
      <c r="A463" s="224" t="str">
        <f t="shared" si="14"/>
        <v>I-073-WS-07</v>
      </c>
      <c r="B463" s="224" t="str">
        <f t="shared" si="15"/>
        <v>I-073-30</v>
      </c>
      <c r="C463" s="45" t="s">
        <v>200</v>
      </c>
      <c r="D463" s="45">
        <v>30</v>
      </c>
      <c r="E463" s="45" t="s">
        <v>580</v>
      </c>
      <c r="F463" s="42" t="str">
        <f>_xlfn.XLOOKUP(E463, 'S11 Work Stations'!$A$2:$A$45, 'S11 Work Stations'!$B$2:$B$45, "NOT FOUND", 0)</f>
        <v>TUR-C2-367</v>
      </c>
      <c r="G463" s="45">
        <v>540</v>
      </c>
      <c r="H463" s="3">
        <v>200</v>
      </c>
    </row>
    <row r="464" spans="1:8" s="44" customFormat="1" x14ac:dyDescent="0.2">
      <c r="A464" s="224" t="str">
        <f t="shared" si="14"/>
        <v>I-073-WS-21</v>
      </c>
      <c r="B464" s="224" t="str">
        <f t="shared" si="15"/>
        <v>I-073-40</v>
      </c>
      <c r="C464" s="45" t="s">
        <v>200</v>
      </c>
      <c r="D464" s="45">
        <v>40</v>
      </c>
      <c r="E464" s="45" t="s">
        <v>594</v>
      </c>
      <c r="F464" s="42" t="str">
        <f>_xlfn.XLOOKUP(E464, 'S11 Work Stations'!$A$2:$A$45, 'S11 Work Stations'!$B$2:$B$45, "NOT FOUND", 0)</f>
        <v>MIL-U1-605</v>
      </c>
      <c r="G464" s="45">
        <v>180</v>
      </c>
      <c r="H464" s="3">
        <v>200</v>
      </c>
    </row>
    <row r="465" spans="1:8" s="44" customFormat="1" x14ac:dyDescent="0.2">
      <c r="A465" s="224" t="str">
        <f t="shared" si="14"/>
        <v>I-073-WS-27</v>
      </c>
      <c r="B465" s="224" t="str">
        <f t="shared" si="15"/>
        <v>I-073-60</v>
      </c>
      <c r="C465" s="45" t="s">
        <v>200</v>
      </c>
      <c r="D465" s="45">
        <v>60</v>
      </c>
      <c r="E465" s="45" t="s">
        <v>600</v>
      </c>
      <c r="F465" s="42" t="str">
        <f>_xlfn.XLOOKUP(E465, 'S11 Work Stations'!$A$2:$A$45, 'S11 Work Stations'!$B$2:$B$45, "NOT FOUND", 0)</f>
        <v>GR-T1-203</v>
      </c>
      <c r="G465" s="45">
        <v>540</v>
      </c>
      <c r="H465" s="3">
        <v>200</v>
      </c>
    </row>
    <row r="466" spans="1:8" s="44" customFormat="1" x14ac:dyDescent="0.2">
      <c r="A466" s="224" t="str">
        <f t="shared" si="14"/>
        <v>I-073-WS-28</v>
      </c>
      <c r="B466" s="224" t="str">
        <f t="shared" si="15"/>
        <v>I-073-50</v>
      </c>
      <c r="C466" s="45" t="s">
        <v>200</v>
      </c>
      <c r="D466" s="45">
        <v>50</v>
      </c>
      <c r="E466" s="45" t="s">
        <v>601</v>
      </c>
      <c r="F466" s="42" t="str">
        <f>_xlfn.XLOOKUP(E466, 'S11 Work Stations'!$A$2:$A$45, 'S11 Work Stations'!$B$2:$B$45, "NOT FOUND", 0)</f>
        <v>DR-T3-204</v>
      </c>
      <c r="G466" s="45">
        <v>300</v>
      </c>
      <c r="H466" s="3">
        <v>200</v>
      </c>
    </row>
    <row r="467" spans="1:8" s="44" customFormat="1" x14ac:dyDescent="0.2">
      <c r="A467" s="224" t="str">
        <f t="shared" si="14"/>
        <v>I-073-WS-32</v>
      </c>
      <c r="B467" s="224" t="str">
        <f t="shared" si="15"/>
        <v>I-073-70</v>
      </c>
      <c r="C467" s="45" t="s">
        <v>200</v>
      </c>
      <c r="D467" s="45">
        <v>70</v>
      </c>
      <c r="E467" s="45" t="s">
        <v>605</v>
      </c>
      <c r="F467" s="42" t="str">
        <f>_xlfn.XLOOKUP(E467, 'S11 Work Stations'!$A$2:$A$45, 'S11 Work Stations'!$B$2:$B$45, "NOT FOUND", 0)</f>
        <v>SAW-30-150-251</v>
      </c>
      <c r="G467" s="45">
        <v>180</v>
      </c>
      <c r="H467" s="3">
        <v>200</v>
      </c>
    </row>
    <row r="468" spans="1:8" s="44" customFormat="1" x14ac:dyDescent="0.2">
      <c r="A468" s="224" t="str">
        <f t="shared" si="14"/>
        <v>I-073-WS-38</v>
      </c>
      <c r="B468" s="224" t="str">
        <f t="shared" si="15"/>
        <v>I-073-20</v>
      </c>
      <c r="C468" s="45" t="s">
        <v>200</v>
      </c>
      <c r="D468" s="45">
        <v>20</v>
      </c>
      <c r="E468" s="45" t="s">
        <v>611</v>
      </c>
      <c r="F468" s="42" t="str">
        <f>_xlfn.XLOOKUP(E468, 'S11 Work Stations'!$A$2:$A$45, 'S11 Work Stations'!$B$2:$B$45, "NOT FOUND", 0)</f>
        <v>SAW-150-423</v>
      </c>
      <c r="G468" s="45">
        <v>120</v>
      </c>
      <c r="H468" s="3">
        <v>200</v>
      </c>
    </row>
    <row r="469" spans="1:8" s="44" customFormat="1" x14ac:dyDescent="0.2">
      <c r="A469" s="224" t="str">
        <f t="shared" si="14"/>
        <v>I-073-WS-43</v>
      </c>
      <c r="B469" s="224" t="str">
        <f t="shared" si="15"/>
        <v>I-073-10</v>
      </c>
      <c r="C469" s="45" t="s">
        <v>200</v>
      </c>
      <c r="D469" s="45">
        <v>10</v>
      </c>
      <c r="E469" s="45" t="s">
        <v>616</v>
      </c>
      <c r="F469" s="42" t="str">
        <f>_xlfn.XLOOKUP(E469, 'S11 Work Stations'!$A$2:$A$45, 'S11 Work Stations'!$B$2:$B$45, "NOT FOUND", 0)</f>
        <v>RAW-MAT-INV</v>
      </c>
      <c r="G469" s="45">
        <v>120</v>
      </c>
      <c r="H469" s="3">
        <v>200</v>
      </c>
    </row>
    <row r="470" spans="1:8" s="44" customFormat="1" x14ac:dyDescent="0.2">
      <c r="A470" s="224" t="str">
        <f t="shared" si="14"/>
        <v>I-073-WS-44</v>
      </c>
      <c r="B470" s="224" t="str">
        <f t="shared" si="15"/>
        <v>I-073-80</v>
      </c>
      <c r="C470" s="45" t="s">
        <v>200</v>
      </c>
      <c r="D470" s="45">
        <v>80</v>
      </c>
      <c r="E470" s="45" t="s">
        <v>617</v>
      </c>
      <c r="F470" s="42" t="str">
        <f>_xlfn.XLOOKUP(E470, 'S11 Work Stations'!$A$2:$A$45, 'S11 Work Stations'!$B$2:$B$45, "NOT FOUND", 0)</f>
        <v>FIN-GOOD-INV</v>
      </c>
      <c r="G470" s="45">
        <v>240</v>
      </c>
      <c r="H470" s="3">
        <v>200</v>
      </c>
    </row>
    <row r="471" spans="1:8" s="44" customFormat="1" x14ac:dyDescent="0.2">
      <c r="A471" s="224" t="str">
        <f t="shared" si="14"/>
        <v>I-074-WS-07</v>
      </c>
      <c r="B471" s="224" t="str">
        <f t="shared" si="15"/>
        <v>I-074-30</v>
      </c>
      <c r="C471" s="45" t="s">
        <v>205</v>
      </c>
      <c r="D471" s="45">
        <v>30</v>
      </c>
      <c r="E471" s="45" t="s">
        <v>580</v>
      </c>
      <c r="F471" s="42" t="str">
        <f>_xlfn.XLOOKUP(E471, 'S11 Work Stations'!$A$2:$A$45, 'S11 Work Stations'!$B$2:$B$45, "NOT FOUND", 0)</f>
        <v>TUR-C2-367</v>
      </c>
      <c r="G471" s="45">
        <v>840</v>
      </c>
      <c r="H471" s="3">
        <v>50</v>
      </c>
    </row>
    <row r="472" spans="1:8" s="44" customFormat="1" x14ac:dyDescent="0.2">
      <c r="A472" s="224" t="str">
        <f t="shared" si="14"/>
        <v>I-074-WS-21</v>
      </c>
      <c r="B472" s="224" t="str">
        <f t="shared" si="15"/>
        <v>I-074-40</v>
      </c>
      <c r="C472" s="45" t="s">
        <v>205</v>
      </c>
      <c r="D472" s="45">
        <v>40</v>
      </c>
      <c r="E472" s="45" t="s">
        <v>594</v>
      </c>
      <c r="F472" s="42" t="str">
        <f>_xlfn.XLOOKUP(E472, 'S11 Work Stations'!$A$2:$A$45, 'S11 Work Stations'!$B$2:$B$45, "NOT FOUND", 0)</f>
        <v>MIL-U1-605</v>
      </c>
      <c r="G472" s="45">
        <v>180</v>
      </c>
      <c r="H472" s="3">
        <v>50</v>
      </c>
    </row>
    <row r="473" spans="1:8" s="44" customFormat="1" x14ac:dyDescent="0.2">
      <c r="A473" s="224" t="str">
        <f t="shared" si="14"/>
        <v>I-074-WS-27</v>
      </c>
      <c r="B473" s="224" t="str">
        <f t="shared" si="15"/>
        <v>I-074-60</v>
      </c>
      <c r="C473" s="45" t="s">
        <v>205</v>
      </c>
      <c r="D473" s="45">
        <v>60</v>
      </c>
      <c r="E473" s="45" t="s">
        <v>600</v>
      </c>
      <c r="F473" s="42" t="str">
        <f>_xlfn.XLOOKUP(E473, 'S11 Work Stations'!$A$2:$A$45, 'S11 Work Stations'!$B$2:$B$45, "NOT FOUND", 0)</f>
        <v>GR-T1-203</v>
      </c>
      <c r="G473" s="45">
        <v>480</v>
      </c>
      <c r="H473" s="3">
        <v>50</v>
      </c>
    </row>
    <row r="474" spans="1:8" s="44" customFormat="1" x14ac:dyDescent="0.2">
      <c r="A474" s="224" t="str">
        <f t="shared" si="14"/>
        <v>I-074-WS-28</v>
      </c>
      <c r="B474" s="224" t="str">
        <f t="shared" si="15"/>
        <v>I-074-50</v>
      </c>
      <c r="C474" s="45" t="s">
        <v>205</v>
      </c>
      <c r="D474" s="45">
        <v>50</v>
      </c>
      <c r="E474" s="45" t="s">
        <v>601</v>
      </c>
      <c r="F474" s="42" t="str">
        <f>_xlfn.XLOOKUP(E474, 'S11 Work Stations'!$A$2:$A$45, 'S11 Work Stations'!$B$2:$B$45, "NOT FOUND", 0)</f>
        <v>DR-T3-204</v>
      </c>
      <c r="G474" s="45">
        <v>300</v>
      </c>
      <c r="H474" s="3">
        <v>50</v>
      </c>
    </row>
    <row r="475" spans="1:8" s="44" customFormat="1" x14ac:dyDescent="0.2">
      <c r="A475" s="224" t="str">
        <f t="shared" si="14"/>
        <v>I-074-WS-32</v>
      </c>
      <c r="B475" s="224" t="str">
        <f t="shared" si="15"/>
        <v>I-074-70</v>
      </c>
      <c r="C475" s="45" t="s">
        <v>205</v>
      </c>
      <c r="D475" s="45">
        <v>70</v>
      </c>
      <c r="E475" s="45" t="s">
        <v>605</v>
      </c>
      <c r="F475" s="42" t="str">
        <f>_xlfn.XLOOKUP(E475, 'S11 Work Stations'!$A$2:$A$45, 'S11 Work Stations'!$B$2:$B$45, "NOT FOUND", 0)</f>
        <v>SAW-30-150-251</v>
      </c>
      <c r="G475" s="45">
        <v>300</v>
      </c>
      <c r="H475" s="3">
        <v>50</v>
      </c>
    </row>
    <row r="476" spans="1:8" s="44" customFormat="1" x14ac:dyDescent="0.2">
      <c r="A476" s="224" t="str">
        <f t="shared" si="14"/>
        <v>I-074-WS-38</v>
      </c>
      <c r="B476" s="224" t="str">
        <f t="shared" si="15"/>
        <v>I-074-20</v>
      </c>
      <c r="C476" s="45" t="s">
        <v>205</v>
      </c>
      <c r="D476" s="45">
        <v>20</v>
      </c>
      <c r="E476" s="45" t="s">
        <v>611</v>
      </c>
      <c r="F476" s="42" t="str">
        <f>_xlfn.XLOOKUP(E476, 'S11 Work Stations'!$A$2:$A$45, 'S11 Work Stations'!$B$2:$B$45, "NOT FOUND", 0)</f>
        <v>SAW-150-423</v>
      </c>
      <c r="G476" s="45">
        <v>120</v>
      </c>
      <c r="H476" s="3">
        <v>50</v>
      </c>
    </row>
    <row r="477" spans="1:8" s="44" customFormat="1" x14ac:dyDescent="0.2">
      <c r="A477" s="224" t="str">
        <f t="shared" si="14"/>
        <v>I-074-WS-43</v>
      </c>
      <c r="B477" s="224" t="str">
        <f t="shared" si="15"/>
        <v>I-074-10</v>
      </c>
      <c r="C477" s="45" t="s">
        <v>205</v>
      </c>
      <c r="D477" s="45">
        <v>10</v>
      </c>
      <c r="E477" s="45" t="s">
        <v>616</v>
      </c>
      <c r="F477" s="42" t="str">
        <f>_xlfn.XLOOKUP(E477, 'S11 Work Stations'!$A$2:$A$45, 'S11 Work Stations'!$B$2:$B$45, "NOT FOUND", 0)</f>
        <v>RAW-MAT-INV</v>
      </c>
      <c r="G477" s="45">
        <v>0</v>
      </c>
      <c r="H477" s="3">
        <v>50</v>
      </c>
    </row>
    <row r="478" spans="1:8" s="44" customFormat="1" x14ac:dyDescent="0.2">
      <c r="A478" s="224" t="str">
        <f t="shared" si="14"/>
        <v>I-074-WS-44</v>
      </c>
      <c r="B478" s="224" t="str">
        <f t="shared" si="15"/>
        <v>I-074-80</v>
      </c>
      <c r="C478" s="45" t="s">
        <v>205</v>
      </c>
      <c r="D478" s="45">
        <v>80</v>
      </c>
      <c r="E478" s="45" t="s">
        <v>617</v>
      </c>
      <c r="F478" s="42" t="str">
        <f>_xlfn.XLOOKUP(E478, 'S11 Work Stations'!$A$2:$A$45, 'S11 Work Stations'!$B$2:$B$45, "NOT FOUND", 0)</f>
        <v>FIN-GOOD-INV</v>
      </c>
      <c r="G478" s="45">
        <v>300</v>
      </c>
      <c r="H478" s="3">
        <v>50</v>
      </c>
    </row>
    <row r="479" spans="1:8" s="44" customFormat="1" x14ac:dyDescent="0.2">
      <c r="A479" s="224" t="str">
        <f t="shared" si="14"/>
        <v>I-075-WS-01</v>
      </c>
      <c r="B479" s="224" t="str">
        <f t="shared" si="15"/>
        <v>I-075-30</v>
      </c>
      <c r="C479" s="45" t="s">
        <v>559</v>
      </c>
      <c r="D479" s="45">
        <v>30</v>
      </c>
      <c r="E479" s="45" t="s">
        <v>574</v>
      </c>
      <c r="F479" s="42" t="str">
        <f>_xlfn.XLOOKUP(E479, 'S11 Work Stations'!$A$2:$A$45, 'S11 Work Stations'!$B$2:$B$45, "NOT FOUND", 0)</f>
        <v>MIL-AB-361</v>
      </c>
      <c r="G479" s="45">
        <v>960</v>
      </c>
      <c r="H479" s="3">
        <v>50</v>
      </c>
    </row>
    <row r="480" spans="1:8" s="44" customFormat="1" x14ac:dyDescent="0.2">
      <c r="A480" s="224" t="str">
        <f t="shared" si="14"/>
        <v>I-075-WS-23</v>
      </c>
      <c r="B480" s="224" t="str">
        <f t="shared" si="15"/>
        <v>I-075-50</v>
      </c>
      <c r="C480" s="45" t="s">
        <v>559</v>
      </c>
      <c r="D480" s="45">
        <v>50</v>
      </c>
      <c r="E480" s="45" t="s">
        <v>596</v>
      </c>
      <c r="F480" s="42" t="str">
        <f>_xlfn.XLOOKUP(E480, 'S11 Work Stations'!$A$2:$A$45, 'S11 Work Stations'!$B$2:$B$45, "NOT FOUND", 0)</f>
        <v>MIL-U2-607</v>
      </c>
      <c r="G480" s="45">
        <v>720</v>
      </c>
      <c r="H480" s="3">
        <v>200</v>
      </c>
    </row>
    <row r="481" spans="1:8" s="44" customFormat="1" x14ac:dyDescent="0.2">
      <c r="A481" s="224" t="str">
        <f t="shared" si="14"/>
        <v>I-075-WS-28</v>
      </c>
      <c r="B481" s="224" t="str">
        <f t="shared" si="15"/>
        <v>I-075-40</v>
      </c>
      <c r="C481" s="45" t="s">
        <v>559</v>
      </c>
      <c r="D481" s="45">
        <v>40</v>
      </c>
      <c r="E481" s="45" t="s">
        <v>601</v>
      </c>
      <c r="F481" s="42" t="str">
        <f>_xlfn.XLOOKUP(E481, 'S11 Work Stations'!$A$2:$A$45, 'S11 Work Stations'!$B$2:$B$45, "NOT FOUND", 0)</f>
        <v>DR-T3-204</v>
      </c>
      <c r="G481" s="45">
        <v>480</v>
      </c>
      <c r="H481" s="3">
        <v>200</v>
      </c>
    </row>
    <row r="482" spans="1:8" s="44" customFormat="1" x14ac:dyDescent="0.2">
      <c r="A482" s="224" t="str">
        <f t="shared" si="14"/>
        <v>I-075-WS-32</v>
      </c>
      <c r="B482" s="224" t="str">
        <f t="shared" si="15"/>
        <v>I-075-60</v>
      </c>
      <c r="C482" s="45" t="s">
        <v>559</v>
      </c>
      <c r="D482" s="45">
        <v>60</v>
      </c>
      <c r="E482" s="45" t="s">
        <v>605</v>
      </c>
      <c r="F482" s="42" t="str">
        <f>_xlfn.XLOOKUP(E482, 'S11 Work Stations'!$A$2:$A$45, 'S11 Work Stations'!$B$2:$B$45, "NOT FOUND", 0)</f>
        <v>SAW-30-150-251</v>
      </c>
      <c r="G482" s="45">
        <v>720</v>
      </c>
      <c r="H482" s="3">
        <v>200</v>
      </c>
    </row>
    <row r="483" spans="1:8" s="44" customFormat="1" x14ac:dyDescent="0.2">
      <c r="A483" s="224" t="str">
        <f t="shared" si="14"/>
        <v>I-075-WS-38</v>
      </c>
      <c r="B483" s="224" t="str">
        <f t="shared" si="15"/>
        <v>I-075-20</v>
      </c>
      <c r="C483" s="45" t="s">
        <v>559</v>
      </c>
      <c r="D483" s="45">
        <v>20</v>
      </c>
      <c r="E483" s="45" t="s">
        <v>611</v>
      </c>
      <c r="F483" s="42" t="str">
        <f>_xlfn.XLOOKUP(E483, 'S11 Work Stations'!$A$2:$A$45, 'S11 Work Stations'!$B$2:$B$45, "NOT FOUND", 0)</f>
        <v>SAW-150-423</v>
      </c>
      <c r="G483" s="45">
        <v>120</v>
      </c>
      <c r="H483" s="3">
        <v>200</v>
      </c>
    </row>
    <row r="484" spans="1:8" s="44" customFormat="1" x14ac:dyDescent="0.2">
      <c r="A484" s="224" t="str">
        <f t="shared" si="14"/>
        <v>I-075-WS-42</v>
      </c>
      <c r="B484" s="224" t="str">
        <f t="shared" si="15"/>
        <v>I-075-70</v>
      </c>
      <c r="C484" s="45" t="s">
        <v>559</v>
      </c>
      <c r="D484" s="45">
        <v>70</v>
      </c>
      <c r="E484" s="45" t="s">
        <v>615</v>
      </c>
      <c r="F484" s="42" t="str">
        <f>_xlfn.XLOOKUP(E484, 'S11 Work Stations'!$A$2:$A$45, 'S11 Work Stations'!$B$2:$B$45, "NOT FOUND", 0)</f>
        <v>TEMP-A01-202</v>
      </c>
      <c r="G484" s="45">
        <v>300</v>
      </c>
      <c r="H484" s="3">
        <v>200</v>
      </c>
    </row>
    <row r="485" spans="1:8" s="44" customFormat="1" x14ac:dyDescent="0.2">
      <c r="A485" s="224" t="str">
        <f t="shared" si="14"/>
        <v>I-075-WS-43</v>
      </c>
      <c r="B485" s="224" t="str">
        <f t="shared" si="15"/>
        <v>I-075-10</v>
      </c>
      <c r="C485" s="45" t="s">
        <v>559</v>
      </c>
      <c r="D485" s="45">
        <v>10</v>
      </c>
      <c r="E485" s="45" t="s">
        <v>616</v>
      </c>
      <c r="F485" s="42" t="str">
        <f>_xlfn.XLOOKUP(E485, 'S11 Work Stations'!$A$2:$A$45, 'S11 Work Stations'!$B$2:$B$45, "NOT FOUND", 0)</f>
        <v>RAW-MAT-INV</v>
      </c>
      <c r="G485" s="45">
        <v>0</v>
      </c>
      <c r="H485" s="3">
        <v>200</v>
      </c>
    </row>
    <row r="486" spans="1:8" s="44" customFormat="1" x14ac:dyDescent="0.2">
      <c r="A486" s="224" t="str">
        <f t="shared" si="14"/>
        <v>I-075-WS-44</v>
      </c>
      <c r="B486" s="224" t="str">
        <f t="shared" si="15"/>
        <v>I-075-80</v>
      </c>
      <c r="C486" s="45" t="s">
        <v>559</v>
      </c>
      <c r="D486" s="45">
        <v>80</v>
      </c>
      <c r="E486" s="45" t="s">
        <v>617</v>
      </c>
      <c r="F486" s="42" t="str">
        <f>_xlfn.XLOOKUP(E486, 'S11 Work Stations'!$A$2:$A$45, 'S11 Work Stations'!$B$2:$B$45, "NOT FOUND", 0)</f>
        <v>FIN-GOOD-INV</v>
      </c>
      <c r="G486" s="45">
        <v>0</v>
      </c>
      <c r="H486" s="3">
        <v>200</v>
      </c>
    </row>
    <row r="487" spans="1:8" s="44" customFormat="1" x14ac:dyDescent="0.2">
      <c r="A487" s="224" t="str">
        <f t="shared" si="14"/>
        <v>I-076-WS-01</v>
      </c>
      <c r="B487" s="224" t="str">
        <f t="shared" si="15"/>
        <v>I-076-30</v>
      </c>
      <c r="C487" s="45" t="s">
        <v>560</v>
      </c>
      <c r="D487" s="45">
        <v>30</v>
      </c>
      <c r="E487" s="45" t="s">
        <v>574</v>
      </c>
      <c r="F487" s="42" t="str">
        <f>_xlfn.XLOOKUP(E487, 'S11 Work Stations'!$A$2:$A$45, 'S11 Work Stations'!$B$2:$B$45, "NOT FOUND", 0)</f>
        <v>MIL-AB-361</v>
      </c>
      <c r="G487" s="45">
        <v>1020</v>
      </c>
      <c r="H487" s="3">
        <v>200</v>
      </c>
    </row>
    <row r="488" spans="1:8" s="44" customFormat="1" x14ac:dyDescent="0.2">
      <c r="A488" s="224" t="str">
        <f t="shared" si="14"/>
        <v>I-076-WS-23</v>
      </c>
      <c r="B488" s="224" t="str">
        <f t="shared" si="15"/>
        <v>I-076-50</v>
      </c>
      <c r="C488" s="45" t="s">
        <v>560</v>
      </c>
      <c r="D488" s="45">
        <v>50</v>
      </c>
      <c r="E488" s="45" t="s">
        <v>596</v>
      </c>
      <c r="F488" s="42" t="str">
        <f>_xlfn.XLOOKUP(E488, 'S11 Work Stations'!$A$2:$A$45, 'S11 Work Stations'!$B$2:$B$45, "NOT FOUND", 0)</f>
        <v>MIL-U2-607</v>
      </c>
      <c r="G488" s="45">
        <v>360</v>
      </c>
      <c r="H488" s="3">
        <v>200</v>
      </c>
    </row>
    <row r="489" spans="1:8" s="44" customFormat="1" x14ac:dyDescent="0.2">
      <c r="A489" s="224" t="str">
        <f t="shared" si="14"/>
        <v>I-076-WS-28</v>
      </c>
      <c r="B489" s="224" t="str">
        <f t="shared" si="15"/>
        <v>I-076-40</v>
      </c>
      <c r="C489" s="45" t="s">
        <v>560</v>
      </c>
      <c r="D489" s="45">
        <v>40</v>
      </c>
      <c r="E489" s="45" t="s">
        <v>601</v>
      </c>
      <c r="F489" s="42" t="str">
        <f>_xlfn.XLOOKUP(E489, 'S11 Work Stations'!$A$2:$A$45, 'S11 Work Stations'!$B$2:$B$45, "NOT FOUND", 0)</f>
        <v>DR-T3-204</v>
      </c>
      <c r="G489" s="45">
        <v>480</v>
      </c>
      <c r="H489" s="3">
        <v>200</v>
      </c>
    </row>
    <row r="490" spans="1:8" s="44" customFormat="1" x14ac:dyDescent="0.2">
      <c r="A490" s="224" t="str">
        <f t="shared" si="14"/>
        <v>I-076-WS-32</v>
      </c>
      <c r="B490" s="224" t="str">
        <f t="shared" si="15"/>
        <v>I-076-60</v>
      </c>
      <c r="C490" s="45" t="s">
        <v>560</v>
      </c>
      <c r="D490" s="45">
        <v>60</v>
      </c>
      <c r="E490" s="45" t="s">
        <v>605</v>
      </c>
      <c r="F490" s="42" t="str">
        <f>_xlfn.XLOOKUP(E490, 'S11 Work Stations'!$A$2:$A$45, 'S11 Work Stations'!$B$2:$B$45, "NOT FOUND", 0)</f>
        <v>SAW-30-150-251</v>
      </c>
      <c r="G490" s="45">
        <v>720</v>
      </c>
      <c r="H490" s="3">
        <v>200</v>
      </c>
    </row>
    <row r="491" spans="1:8" s="44" customFormat="1" x14ac:dyDescent="0.2">
      <c r="A491" s="224" t="str">
        <f t="shared" si="14"/>
        <v>I-076-WS-38</v>
      </c>
      <c r="B491" s="224" t="str">
        <f t="shared" si="15"/>
        <v>I-076-20</v>
      </c>
      <c r="C491" s="45" t="s">
        <v>560</v>
      </c>
      <c r="D491" s="45">
        <v>20</v>
      </c>
      <c r="E491" s="45" t="s">
        <v>611</v>
      </c>
      <c r="F491" s="42" t="str">
        <f>_xlfn.XLOOKUP(E491, 'S11 Work Stations'!$A$2:$A$45, 'S11 Work Stations'!$B$2:$B$45, "NOT FOUND", 0)</f>
        <v>SAW-150-423</v>
      </c>
      <c r="G491" s="45">
        <v>180</v>
      </c>
      <c r="H491" s="3">
        <v>200</v>
      </c>
    </row>
    <row r="492" spans="1:8" s="44" customFormat="1" x14ac:dyDescent="0.2">
      <c r="A492" s="224" t="str">
        <f t="shared" si="14"/>
        <v>I-076-WS-42</v>
      </c>
      <c r="B492" s="224" t="str">
        <f t="shared" si="15"/>
        <v>I-076-70</v>
      </c>
      <c r="C492" s="45" t="s">
        <v>560</v>
      </c>
      <c r="D492" s="45">
        <v>70</v>
      </c>
      <c r="E492" s="45" t="s">
        <v>615</v>
      </c>
      <c r="F492" s="42" t="str">
        <f>_xlfn.XLOOKUP(E492, 'S11 Work Stations'!$A$2:$A$45, 'S11 Work Stations'!$B$2:$B$45, "NOT FOUND", 0)</f>
        <v>TEMP-A01-202</v>
      </c>
      <c r="G492" s="45">
        <v>300</v>
      </c>
      <c r="H492" s="3">
        <v>200</v>
      </c>
    </row>
    <row r="493" spans="1:8" s="44" customFormat="1" x14ac:dyDescent="0.2">
      <c r="A493" s="224" t="str">
        <f t="shared" si="14"/>
        <v>I-076-WS-43</v>
      </c>
      <c r="B493" s="224" t="str">
        <f t="shared" si="15"/>
        <v>I-076-10</v>
      </c>
      <c r="C493" s="45" t="s">
        <v>560</v>
      </c>
      <c r="D493" s="45">
        <v>10</v>
      </c>
      <c r="E493" s="45" t="s">
        <v>616</v>
      </c>
      <c r="F493" s="42" t="str">
        <f>_xlfn.XLOOKUP(E493, 'S11 Work Stations'!$A$2:$A$45, 'S11 Work Stations'!$B$2:$B$45, "NOT FOUND", 0)</f>
        <v>RAW-MAT-INV</v>
      </c>
      <c r="G493" s="45">
        <v>0</v>
      </c>
      <c r="H493" s="3">
        <v>200</v>
      </c>
    </row>
    <row r="494" spans="1:8" s="44" customFormat="1" x14ac:dyDescent="0.2">
      <c r="A494" s="224" t="str">
        <f t="shared" si="14"/>
        <v>I-076-WS-44</v>
      </c>
      <c r="B494" s="224" t="str">
        <f t="shared" si="15"/>
        <v>I-076-80</v>
      </c>
      <c r="C494" s="45" t="s">
        <v>560</v>
      </c>
      <c r="D494" s="45">
        <v>80</v>
      </c>
      <c r="E494" s="45" t="s">
        <v>617</v>
      </c>
      <c r="F494" s="42" t="str">
        <f>_xlfn.XLOOKUP(E494, 'S11 Work Stations'!$A$2:$A$45, 'S11 Work Stations'!$B$2:$B$45, "NOT FOUND", 0)</f>
        <v>FIN-GOOD-INV</v>
      </c>
      <c r="G494" s="45">
        <v>0</v>
      </c>
      <c r="H494" s="3">
        <v>200</v>
      </c>
    </row>
    <row r="495" spans="1:8" s="44" customFormat="1" x14ac:dyDescent="0.2">
      <c r="A495" s="224" t="str">
        <f t="shared" si="14"/>
        <v>I-077-WS-02</v>
      </c>
      <c r="B495" s="224" t="str">
        <f t="shared" si="15"/>
        <v>I-077-30</v>
      </c>
      <c r="C495" s="45" t="s">
        <v>561</v>
      </c>
      <c r="D495" s="45">
        <v>30</v>
      </c>
      <c r="E495" s="45" t="s">
        <v>575</v>
      </c>
      <c r="F495" s="42" t="str">
        <f>_xlfn.XLOOKUP(E495, 'S11 Work Stations'!$A$2:$A$45, 'S11 Work Stations'!$B$2:$B$45, "NOT FOUND", 0)</f>
        <v>TUR-B2-362</v>
      </c>
      <c r="G495" s="45">
        <v>360</v>
      </c>
      <c r="H495" s="3">
        <v>200</v>
      </c>
    </row>
    <row r="496" spans="1:8" s="44" customFormat="1" x14ac:dyDescent="0.2">
      <c r="A496" s="224" t="str">
        <f t="shared" si="14"/>
        <v>I-077-WS-23</v>
      </c>
      <c r="B496" s="224" t="str">
        <f t="shared" si="15"/>
        <v>I-077-50</v>
      </c>
      <c r="C496" s="45" t="s">
        <v>561</v>
      </c>
      <c r="D496" s="45">
        <v>50</v>
      </c>
      <c r="E496" s="45" t="s">
        <v>596</v>
      </c>
      <c r="F496" s="42" t="str">
        <f>_xlfn.XLOOKUP(E496, 'S11 Work Stations'!$A$2:$A$45, 'S11 Work Stations'!$B$2:$B$45, "NOT FOUND", 0)</f>
        <v>MIL-U2-607</v>
      </c>
      <c r="G496" s="45">
        <v>360</v>
      </c>
      <c r="H496" s="3">
        <v>200</v>
      </c>
    </row>
    <row r="497" spans="1:8" s="44" customFormat="1" x14ac:dyDescent="0.2">
      <c r="A497" s="224" t="str">
        <f t="shared" si="14"/>
        <v>I-077-WS-26</v>
      </c>
      <c r="B497" s="224" t="str">
        <f t="shared" si="15"/>
        <v>I-077-40</v>
      </c>
      <c r="C497" s="45" t="s">
        <v>561</v>
      </c>
      <c r="D497" s="45">
        <v>40</v>
      </c>
      <c r="E497" s="45" t="s">
        <v>599</v>
      </c>
      <c r="F497" s="42" t="str">
        <f>_xlfn.XLOOKUP(E497, 'S11 Work Stations'!$A$2:$A$45, 'S11 Work Stations'!$B$2:$B$45, "NOT FOUND", 0)</f>
        <v>DR-2A2-202</v>
      </c>
      <c r="G497" s="45">
        <v>180</v>
      </c>
      <c r="H497" s="3">
        <v>200</v>
      </c>
    </row>
    <row r="498" spans="1:8" s="44" customFormat="1" x14ac:dyDescent="0.2">
      <c r="A498" s="224" t="str">
        <f t="shared" si="14"/>
        <v>I-077-WS-38</v>
      </c>
      <c r="B498" s="224" t="str">
        <f t="shared" si="15"/>
        <v>I-077-20</v>
      </c>
      <c r="C498" s="45" t="s">
        <v>561</v>
      </c>
      <c r="D498" s="45">
        <v>20</v>
      </c>
      <c r="E498" s="45" t="s">
        <v>611</v>
      </c>
      <c r="F498" s="42" t="str">
        <f>_xlfn.XLOOKUP(E498, 'S11 Work Stations'!$A$2:$A$45, 'S11 Work Stations'!$B$2:$B$45, "NOT FOUND", 0)</f>
        <v>SAW-150-423</v>
      </c>
      <c r="G498" s="45">
        <v>180</v>
      </c>
      <c r="H498" s="3">
        <v>200</v>
      </c>
    </row>
    <row r="499" spans="1:8" s="44" customFormat="1" x14ac:dyDescent="0.2">
      <c r="A499" s="224" t="str">
        <f t="shared" si="14"/>
        <v>I-077-WS-43</v>
      </c>
      <c r="B499" s="224" t="str">
        <f t="shared" si="15"/>
        <v>I-077-10</v>
      </c>
      <c r="C499" s="45" t="s">
        <v>561</v>
      </c>
      <c r="D499" s="45">
        <v>10</v>
      </c>
      <c r="E499" s="45" t="s">
        <v>616</v>
      </c>
      <c r="F499" s="42" t="str">
        <f>_xlfn.XLOOKUP(E499, 'S11 Work Stations'!$A$2:$A$45, 'S11 Work Stations'!$B$2:$B$45, "NOT FOUND", 0)</f>
        <v>RAW-MAT-INV</v>
      </c>
      <c r="G499" s="45">
        <v>0</v>
      </c>
      <c r="H499" s="3">
        <v>200</v>
      </c>
    </row>
    <row r="500" spans="1:8" s="44" customFormat="1" x14ac:dyDescent="0.2">
      <c r="A500" s="224" t="str">
        <f t="shared" si="14"/>
        <v>I-077-WS-44</v>
      </c>
      <c r="B500" s="224" t="str">
        <f t="shared" si="15"/>
        <v>I-077-60</v>
      </c>
      <c r="C500" s="45" t="s">
        <v>561</v>
      </c>
      <c r="D500" s="45">
        <v>60</v>
      </c>
      <c r="E500" s="45" t="s">
        <v>617</v>
      </c>
      <c r="F500" s="42" t="str">
        <f>_xlfn.XLOOKUP(E500, 'S11 Work Stations'!$A$2:$A$45, 'S11 Work Stations'!$B$2:$B$45, "NOT FOUND", 0)</f>
        <v>FIN-GOOD-INV</v>
      </c>
      <c r="G500" s="45">
        <v>0</v>
      </c>
      <c r="H500" s="3">
        <v>200</v>
      </c>
    </row>
    <row r="501" spans="1:8" s="44" customFormat="1" x14ac:dyDescent="0.2">
      <c r="A501" s="224" t="str">
        <f t="shared" si="14"/>
        <v>I-078-WS-02</v>
      </c>
      <c r="B501" s="224" t="str">
        <f t="shared" si="15"/>
        <v>I-078-30</v>
      </c>
      <c r="C501" s="45" t="s">
        <v>562</v>
      </c>
      <c r="D501" s="45">
        <v>30</v>
      </c>
      <c r="E501" s="45" t="s">
        <v>575</v>
      </c>
      <c r="F501" s="42" t="str">
        <f>_xlfn.XLOOKUP(E501, 'S11 Work Stations'!$A$2:$A$45, 'S11 Work Stations'!$B$2:$B$45, "NOT FOUND", 0)</f>
        <v>TUR-B2-362</v>
      </c>
      <c r="G501" s="45">
        <v>480</v>
      </c>
      <c r="H501" s="3">
        <v>200</v>
      </c>
    </row>
    <row r="502" spans="1:8" s="44" customFormat="1" x14ac:dyDescent="0.2">
      <c r="A502" s="224" t="str">
        <f t="shared" si="14"/>
        <v>I-078-WS-23</v>
      </c>
      <c r="B502" s="224" t="str">
        <f t="shared" si="15"/>
        <v>I-078-50</v>
      </c>
      <c r="C502" s="45" t="s">
        <v>562</v>
      </c>
      <c r="D502" s="45">
        <v>50</v>
      </c>
      <c r="E502" s="45" t="s">
        <v>596</v>
      </c>
      <c r="F502" s="42" t="str">
        <f>_xlfn.XLOOKUP(E502, 'S11 Work Stations'!$A$2:$A$45, 'S11 Work Stations'!$B$2:$B$45, "NOT FOUND", 0)</f>
        <v>MIL-U2-607</v>
      </c>
      <c r="G502" s="45">
        <v>420</v>
      </c>
      <c r="H502" s="3">
        <v>200</v>
      </c>
    </row>
    <row r="503" spans="1:8" s="44" customFormat="1" x14ac:dyDescent="0.2">
      <c r="A503" s="224" t="str">
        <f t="shared" si="14"/>
        <v>I-078-WS-26</v>
      </c>
      <c r="B503" s="224" t="str">
        <f t="shared" si="15"/>
        <v>I-078-40</v>
      </c>
      <c r="C503" s="45" t="s">
        <v>562</v>
      </c>
      <c r="D503" s="45">
        <v>40</v>
      </c>
      <c r="E503" s="45" t="s">
        <v>599</v>
      </c>
      <c r="F503" s="42" t="str">
        <f>_xlfn.XLOOKUP(E503, 'S11 Work Stations'!$A$2:$A$45, 'S11 Work Stations'!$B$2:$B$45, "NOT FOUND", 0)</f>
        <v>DR-2A2-202</v>
      </c>
      <c r="G503" s="45">
        <v>180</v>
      </c>
      <c r="H503" s="3">
        <v>200</v>
      </c>
    </row>
    <row r="504" spans="1:8" s="44" customFormat="1" x14ac:dyDescent="0.2">
      <c r="A504" s="224" t="str">
        <f t="shared" si="14"/>
        <v>I-078-WS-39</v>
      </c>
      <c r="B504" s="224" t="str">
        <f t="shared" si="15"/>
        <v>I-078-20</v>
      </c>
      <c r="C504" s="45" t="s">
        <v>562</v>
      </c>
      <c r="D504" s="45">
        <v>20</v>
      </c>
      <c r="E504" s="45" t="s">
        <v>612</v>
      </c>
      <c r="F504" s="42" t="str">
        <f>_xlfn.XLOOKUP(E504, 'S11 Work Stations'!$A$2:$A$45, 'S11 Work Stations'!$B$2:$B$45, "NOT FOUND", 0)</f>
        <v>SAW-400-424</v>
      </c>
      <c r="G504" s="45">
        <v>60</v>
      </c>
      <c r="H504" s="3">
        <v>200</v>
      </c>
    </row>
    <row r="505" spans="1:8" s="44" customFormat="1" x14ac:dyDescent="0.2">
      <c r="A505" s="224" t="str">
        <f t="shared" si="14"/>
        <v>I-078-WS-43</v>
      </c>
      <c r="B505" s="224" t="str">
        <f t="shared" si="15"/>
        <v>I-078-10</v>
      </c>
      <c r="C505" s="45" t="s">
        <v>562</v>
      </c>
      <c r="D505" s="45">
        <v>10</v>
      </c>
      <c r="E505" s="45" t="s">
        <v>616</v>
      </c>
      <c r="F505" s="42" t="str">
        <f>_xlfn.XLOOKUP(E505, 'S11 Work Stations'!$A$2:$A$45, 'S11 Work Stations'!$B$2:$B$45, "NOT FOUND", 0)</f>
        <v>RAW-MAT-INV</v>
      </c>
      <c r="G505" s="45">
        <v>0</v>
      </c>
      <c r="H505" s="3">
        <v>200</v>
      </c>
    </row>
    <row r="506" spans="1:8" s="44" customFormat="1" x14ac:dyDescent="0.2">
      <c r="A506" s="224" t="str">
        <f t="shared" si="14"/>
        <v>I-078-WS-44</v>
      </c>
      <c r="B506" s="224" t="str">
        <f t="shared" si="15"/>
        <v>I-078-60</v>
      </c>
      <c r="C506" s="45" t="s">
        <v>562</v>
      </c>
      <c r="D506" s="45">
        <v>60</v>
      </c>
      <c r="E506" s="45" t="s">
        <v>617</v>
      </c>
      <c r="F506" s="42" t="str">
        <f>_xlfn.XLOOKUP(E506, 'S11 Work Stations'!$A$2:$A$45, 'S11 Work Stations'!$B$2:$B$45, "NOT FOUND", 0)</f>
        <v>FIN-GOOD-INV</v>
      </c>
      <c r="G506" s="45">
        <v>0</v>
      </c>
      <c r="H506" s="3">
        <v>200</v>
      </c>
    </row>
    <row r="507" spans="1:8" s="44" customFormat="1" x14ac:dyDescent="0.2">
      <c r="A507" s="224" t="str">
        <f t="shared" si="14"/>
        <v>I-079-WS-01</v>
      </c>
      <c r="B507" s="224" t="str">
        <f t="shared" si="15"/>
        <v>I-079-30</v>
      </c>
      <c r="C507" s="45" t="s">
        <v>563</v>
      </c>
      <c r="D507" s="45">
        <v>30</v>
      </c>
      <c r="E507" s="45" t="s">
        <v>574</v>
      </c>
      <c r="F507" s="42" t="str">
        <f>_xlfn.XLOOKUP(E507, 'S11 Work Stations'!$A$2:$A$45, 'S11 Work Stations'!$B$2:$B$45, "NOT FOUND", 0)</f>
        <v>MIL-AB-361</v>
      </c>
      <c r="G507" s="45">
        <v>660</v>
      </c>
      <c r="H507" s="3">
        <v>200</v>
      </c>
    </row>
    <row r="508" spans="1:8" s="44" customFormat="1" x14ac:dyDescent="0.2">
      <c r="A508" s="224" t="str">
        <f t="shared" si="14"/>
        <v>I-079-WS-23</v>
      </c>
      <c r="B508" s="224" t="str">
        <f t="shared" si="15"/>
        <v>I-079-50</v>
      </c>
      <c r="C508" s="45" t="s">
        <v>563</v>
      </c>
      <c r="D508" s="45">
        <v>50</v>
      </c>
      <c r="E508" s="45" t="s">
        <v>596</v>
      </c>
      <c r="F508" s="42" t="str">
        <f>_xlfn.XLOOKUP(E508, 'S11 Work Stations'!$A$2:$A$45, 'S11 Work Stations'!$B$2:$B$45, "NOT FOUND", 0)</f>
        <v>MIL-U2-607</v>
      </c>
      <c r="G508" s="45">
        <v>420</v>
      </c>
      <c r="H508" s="3">
        <v>200</v>
      </c>
    </row>
    <row r="509" spans="1:8" s="44" customFormat="1" x14ac:dyDescent="0.2">
      <c r="A509" s="224" t="str">
        <f t="shared" si="14"/>
        <v>I-079-WS-33</v>
      </c>
      <c r="B509" s="224" t="str">
        <f t="shared" si="15"/>
        <v>I-079-40</v>
      </c>
      <c r="C509" s="45" t="s">
        <v>563</v>
      </c>
      <c r="D509" s="45">
        <v>40</v>
      </c>
      <c r="E509" s="45" t="s">
        <v>606</v>
      </c>
      <c r="F509" s="42" t="str">
        <f>_xlfn.XLOOKUP(E509, 'S11 Work Stations'!$A$2:$A$45, 'S11 Work Stations'!$B$2:$B$45, "NOT FOUND", 0)</f>
        <v>SAW-50-150-252</v>
      </c>
      <c r="G509" s="45">
        <v>480</v>
      </c>
      <c r="H509" s="3">
        <v>200</v>
      </c>
    </row>
    <row r="510" spans="1:8" s="44" customFormat="1" x14ac:dyDescent="0.2">
      <c r="A510" s="224" t="str">
        <f t="shared" si="14"/>
        <v>I-079-WS-38</v>
      </c>
      <c r="B510" s="224" t="str">
        <f t="shared" si="15"/>
        <v>I-079-20</v>
      </c>
      <c r="C510" s="45" t="s">
        <v>563</v>
      </c>
      <c r="D510" s="45">
        <v>20</v>
      </c>
      <c r="E510" s="45" t="s">
        <v>611</v>
      </c>
      <c r="F510" s="42" t="str">
        <f>_xlfn.XLOOKUP(E510, 'S11 Work Stations'!$A$2:$A$45, 'S11 Work Stations'!$B$2:$B$45, "NOT FOUND", 0)</f>
        <v>SAW-150-423</v>
      </c>
      <c r="G510" s="45">
        <v>120</v>
      </c>
      <c r="H510" s="3">
        <v>200</v>
      </c>
    </row>
    <row r="511" spans="1:8" s="44" customFormat="1" x14ac:dyDescent="0.2">
      <c r="A511" s="224" t="str">
        <f t="shared" si="14"/>
        <v>I-079-WS-43</v>
      </c>
      <c r="B511" s="224" t="str">
        <f t="shared" si="15"/>
        <v>I-079-10</v>
      </c>
      <c r="C511" s="45" t="s">
        <v>563</v>
      </c>
      <c r="D511" s="45">
        <v>10</v>
      </c>
      <c r="E511" s="45" t="s">
        <v>616</v>
      </c>
      <c r="F511" s="42" t="str">
        <f>_xlfn.XLOOKUP(E511, 'S11 Work Stations'!$A$2:$A$45, 'S11 Work Stations'!$B$2:$B$45, "NOT FOUND", 0)</f>
        <v>RAW-MAT-INV</v>
      </c>
      <c r="G511" s="45">
        <v>0</v>
      </c>
      <c r="H511" s="3">
        <v>200</v>
      </c>
    </row>
    <row r="512" spans="1:8" s="44" customFormat="1" x14ac:dyDescent="0.2">
      <c r="A512" s="224" t="str">
        <f t="shared" si="14"/>
        <v>I-079-WS-44</v>
      </c>
      <c r="B512" s="224" t="str">
        <f t="shared" si="15"/>
        <v>I-079-60</v>
      </c>
      <c r="C512" s="45" t="s">
        <v>563</v>
      </c>
      <c r="D512" s="45">
        <v>60</v>
      </c>
      <c r="E512" s="45" t="s">
        <v>617</v>
      </c>
      <c r="F512" s="42" t="str">
        <f>_xlfn.XLOOKUP(E512, 'S11 Work Stations'!$A$2:$A$45, 'S11 Work Stations'!$B$2:$B$45, "NOT FOUND", 0)</f>
        <v>FIN-GOOD-INV</v>
      </c>
      <c r="G512" s="45">
        <v>0</v>
      </c>
      <c r="H512" s="3">
        <v>200</v>
      </c>
    </row>
    <row r="513" spans="1:8" s="44" customFormat="1" x14ac:dyDescent="0.2">
      <c r="A513" s="224" t="str">
        <f t="shared" si="14"/>
        <v>I-080-WS-02</v>
      </c>
      <c r="B513" s="224" t="str">
        <f t="shared" si="15"/>
        <v>I-080-30</v>
      </c>
      <c r="C513" s="45" t="s">
        <v>213</v>
      </c>
      <c r="D513" s="45">
        <v>30</v>
      </c>
      <c r="E513" s="45" t="s">
        <v>575</v>
      </c>
      <c r="F513" s="42" t="str">
        <f>_xlfn.XLOOKUP(E513, 'S11 Work Stations'!$A$2:$A$45, 'S11 Work Stations'!$B$2:$B$45, "NOT FOUND", 0)</f>
        <v>TUR-B2-362</v>
      </c>
      <c r="G513" s="45">
        <v>360</v>
      </c>
      <c r="H513" s="3">
        <v>200</v>
      </c>
    </row>
    <row r="514" spans="1:8" s="44" customFormat="1" x14ac:dyDescent="0.2">
      <c r="A514" s="224" t="str">
        <f t="shared" si="14"/>
        <v>I-080-WS-23</v>
      </c>
      <c r="B514" s="224" t="str">
        <f t="shared" si="15"/>
        <v>I-080-50</v>
      </c>
      <c r="C514" s="45" t="s">
        <v>213</v>
      </c>
      <c r="D514" s="45">
        <v>50</v>
      </c>
      <c r="E514" s="45" t="s">
        <v>596</v>
      </c>
      <c r="F514" s="42" t="str">
        <f>_xlfn.XLOOKUP(E514, 'S11 Work Stations'!$A$2:$A$45, 'S11 Work Stations'!$B$2:$B$45, "NOT FOUND", 0)</f>
        <v>MIL-U2-607</v>
      </c>
      <c r="G514" s="45">
        <v>480</v>
      </c>
      <c r="H514" s="3">
        <v>200</v>
      </c>
    </row>
    <row r="515" spans="1:8" s="44" customFormat="1" x14ac:dyDescent="0.2">
      <c r="A515" s="224" t="str">
        <f t="shared" ref="A515:A533" si="16">C515&amp;"-"&amp;E515</f>
        <v>I-080-WS-33</v>
      </c>
      <c r="B515" s="224" t="str">
        <f t="shared" ref="B515:B533" si="17">C515&amp;"-"&amp;D515</f>
        <v>I-080-40</v>
      </c>
      <c r="C515" s="45" t="s">
        <v>213</v>
      </c>
      <c r="D515" s="45">
        <v>40</v>
      </c>
      <c r="E515" s="45" t="s">
        <v>606</v>
      </c>
      <c r="F515" s="42" t="str">
        <f>_xlfn.XLOOKUP(E515, 'S11 Work Stations'!$A$2:$A$45, 'S11 Work Stations'!$B$2:$B$45, "NOT FOUND", 0)</f>
        <v>SAW-50-150-252</v>
      </c>
      <c r="G515" s="45">
        <v>480</v>
      </c>
      <c r="H515" s="3">
        <v>200</v>
      </c>
    </row>
    <row r="516" spans="1:8" s="44" customFormat="1" x14ac:dyDescent="0.2">
      <c r="A516" s="224" t="str">
        <f t="shared" si="16"/>
        <v>I-080-WS-39</v>
      </c>
      <c r="B516" s="224" t="str">
        <f t="shared" si="17"/>
        <v>I-080-20</v>
      </c>
      <c r="C516" s="45" t="s">
        <v>213</v>
      </c>
      <c r="D516" s="45">
        <v>20</v>
      </c>
      <c r="E516" s="45" t="s">
        <v>612</v>
      </c>
      <c r="F516" s="42" t="str">
        <f>_xlfn.XLOOKUP(E516, 'S11 Work Stations'!$A$2:$A$45, 'S11 Work Stations'!$B$2:$B$45, "NOT FOUND", 0)</f>
        <v>SAW-400-424</v>
      </c>
      <c r="G516" s="45">
        <v>120</v>
      </c>
      <c r="H516" s="3">
        <v>200</v>
      </c>
    </row>
    <row r="517" spans="1:8" s="44" customFormat="1" x14ac:dyDescent="0.2">
      <c r="A517" s="224" t="str">
        <f t="shared" si="16"/>
        <v>I-080-WS-43</v>
      </c>
      <c r="B517" s="224" t="str">
        <f t="shared" si="17"/>
        <v>I-080-10</v>
      </c>
      <c r="C517" s="45" t="s">
        <v>213</v>
      </c>
      <c r="D517" s="45">
        <v>10</v>
      </c>
      <c r="E517" s="45" t="s">
        <v>616</v>
      </c>
      <c r="F517" s="42" t="str">
        <f>_xlfn.XLOOKUP(E517, 'S11 Work Stations'!$A$2:$A$45, 'S11 Work Stations'!$B$2:$B$45, "NOT FOUND", 0)</f>
        <v>RAW-MAT-INV</v>
      </c>
      <c r="G517" s="45">
        <v>0</v>
      </c>
      <c r="H517" s="3">
        <v>200</v>
      </c>
    </row>
    <row r="518" spans="1:8" s="44" customFormat="1" x14ac:dyDescent="0.2">
      <c r="A518" s="224" t="str">
        <f t="shared" si="16"/>
        <v>I-080-WS-44</v>
      </c>
      <c r="B518" s="224" t="str">
        <f t="shared" si="17"/>
        <v>I-080-60</v>
      </c>
      <c r="C518" s="45" t="s">
        <v>213</v>
      </c>
      <c r="D518" s="45">
        <v>60</v>
      </c>
      <c r="E518" s="45" t="s">
        <v>617</v>
      </c>
      <c r="F518" s="42" t="str">
        <f>_xlfn.XLOOKUP(E518, 'S11 Work Stations'!$A$2:$A$45, 'S11 Work Stations'!$B$2:$B$45, "NOT FOUND", 0)</f>
        <v>FIN-GOOD-INV</v>
      </c>
      <c r="G518" s="45">
        <v>0</v>
      </c>
      <c r="H518" s="3">
        <v>200</v>
      </c>
    </row>
    <row r="519" spans="1:8" s="44" customFormat="1" x14ac:dyDescent="0.2">
      <c r="A519" s="224" t="str">
        <f t="shared" si="16"/>
        <v>I-081-WS-01</v>
      </c>
      <c r="B519" s="224" t="str">
        <f t="shared" si="17"/>
        <v>I-081-30</v>
      </c>
      <c r="C519" s="45" t="s">
        <v>219</v>
      </c>
      <c r="D519" s="45">
        <v>30</v>
      </c>
      <c r="E519" s="45" t="s">
        <v>574</v>
      </c>
      <c r="F519" s="42" t="str">
        <f>_xlfn.XLOOKUP(E519, 'S11 Work Stations'!$A$2:$A$45, 'S11 Work Stations'!$B$2:$B$45, "NOT FOUND", 0)</f>
        <v>MIL-AB-361</v>
      </c>
      <c r="G519" s="45">
        <v>600</v>
      </c>
      <c r="H519" s="3">
        <v>200</v>
      </c>
    </row>
    <row r="520" spans="1:8" s="44" customFormat="1" x14ac:dyDescent="0.2">
      <c r="A520" s="224" t="str">
        <f t="shared" si="16"/>
        <v>I-081-WS-33</v>
      </c>
      <c r="B520" s="224" t="str">
        <f t="shared" si="17"/>
        <v>I-081-40</v>
      </c>
      <c r="C520" s="45" t="s">
        <v>219</v>
      </c>
      <c r="D520" s="45">
        <v>40</v>
      </c>
      <c r="E520" s="45" t="s">
        <v>606</v>
      </c>
      <c r="F520" s="42" t="str">
        <f>_xlfn.XLOOKUP(E520, 'S11 Work Stations'!$A$2:$A$45, 'S11 Work Stations'!$B$2:$B$45, "NOT FOUND", 0)</f>
        <v>SAW-50-150-252</v>
      </c>
      <c r="G520" s="45">
        <v>480</v>
      </c>
      <c r="H520" s="3">
        <v>200</v>
      </c>
    </row>
    <row r="521" spans="1:8" s="44" customFormat="1" x14ac:dyDescent="0.2">
      <c r="A521" s="224" t="str">
        <f t="shared" si="16"/>
        <v>I-081-WS-39</v>
      </c>
      <c r="B521" s="224" t="str">
        <f t="shared" si="17"/>
        <v>I-081-20</v>
      </c>
      <c r="C521" s="45" t="s">
        <v>219</v>
      </c>
      <c r="D521" s="45">
        <v>20</v>
      </c>
      <c r="E521" s="45" t="s">
        <v>612</v>
      </c>
      <c r="F521" s="42" t="str">
        <f>_xlfn.XLOOKUP(E521, 'S11 Work Stations'!$A$2:$A$45, 'S11 Work Stations'!$B$2:$B$45, "NOT FOUND", 0)</f>
        <v>SAW-400-424</v>
      </c>
      <c r="G521" s="45">
        <v>180</v>
      </c>
      <c r="H521" s="3">
        <v>200</v>
      </c>
    </row>
    <row r="522" spans="1:8" s="44" customFormat="1" x14ac:dyDescent="0.2">
      <c r="A522" s="224" t="str">
        <f t="shared" si="16"/>
        <v>I-081-WS-43</v>
      </c>
      <c r="B522" s="224" t="str">
        <f t="shared" si="17"/>
        <v>I-081-10</v>
      </c>
      <c r="C522" s="45" t="s">
        <v>219</v>
      </c>
      <c r="D522" s="45">
        <v>10</v>
      </c>
      <c r="E522" s="45" t="s">
        <v>616</v>
      </c>
      <c r="F522" s="42" t="str">
        <f>_xlfn.XLOOKUP(E522, 'S11 Work Stations'!$A$2:$A$45, 'S11 Work Stations'!$B$2:$B$45, "NOT FOUND", 0)</f>
        <v>RAW-MAT-INV</v>
      </c>
      <c r="G522" s="45">
        <v>0</v>
      </c>
      <c r="H522" s="3">
        <v>200</v>
      </c>
    </row>
    <row r="523" spans="1:8" s="44" customFormat="1" x14ac:dyDescent="0.2">
      <c r="A523" s="224" t="str">
        <f t="shared" si="16"/>
        <v>I-081-WS-44</v>
      </c>
      <c r="B523" s="224" t="str">
        <f t="shared" si="17"/>
        <v>I-081-50</v>
      </c>
      <c r="C523" s="45" t="s">
        <v>219</v>
      </c>
      <c r="D523" s="45">
        <v>50</v>
      </c>
      <c r="E523" s="45" t="s">
        <v>617</v>
      </c>
      <c r="F523" s="42" t="str">
        <f>_xlfn.XLOOKUP(E523, 'S11 Work Stations'!$A$2:$A$45, 'S11 Work Stations'!$B$2:$B$45, "NOT FOUND", 0)</f>
        <v>FIN-GOOD-INV</v>
      </c>
      <c r="G523" s="45">
        <v>0</v>
      </c>
      <c r="H523" s="3">
        <v>200</v>
      </c>
    </row>
    <row r="524" spans="1:8" s="44" customFormat="1" x14ac:dyDescent="0.2">
      <c r="A524" s="224" t="str">
        <f t="shared" si="16"/>
        <v>I-082-WS-01</v>
      </c>
      <c r="B524" s="224" t="str">
        <f t="shared" si="17"/>
        <v>I-082-30</v>
      </c>
      <c r="C524" s="45" t="s">
        <v>564</v>
      </c>
      <c r="D524" s="45">
        <v>30</v>
      </c>
      <c r="E524" s="45" t="s">
        <v>574</v>
      </c>
      <c r="F524" s="42" t="str">
        <f>_xlfn.XLOOKUP(E524, 'S11 Work Stations'!$A$2:$A$45, 'S11 Work Stations'!$B$2:$B$45, "NOT FOUND", 0)</f>
        <v>MIL-AB-361</v>
      </c>
      <c r="G524" s="45">
        <v>960</v>
      </c>
      <c r="H524" s="3">
        <v>200</v>
      </c>
    </row>
    <row r="525" spans="1:8" s="44" customFormat="1" x14ac:dyDescent="0.2">
      <c r="A525" s="224" t="str">
        <f t="shared" si="16"/>
        <v>I-082-WS-33</v>
      </c>
      <c r="B525" s="224" t="str">
        <f t="shared" si="17"/>
        <v>I-082-40</v>
      </c>
      <c r="C525" s="45" t="s">
        <v>564</v>
      </c>
      <c r="D525" s="45">
        <v>40</v>
      </c>
      <c r="E525" s="45" t="s">
        <v>606</v>
      </c>
      <c r="F525" s="42" t="str">
        <f>_xlfn.XLOOKUP(E525, 'S11 Work Stations'!$A$2:$A$45, 'S11 Work Stations'!$B$2:$B$45, "NOT FOUND", 0)</f>
        <v>SAW-50-150-252</v>
      </c>
      <c r="G525" s="45">
        <v>600</v>
      </c>
      <c r="H525" s="3">
        <v>200</v>
      </c>
    </row>
    <row r="526" spans="1:8" s="44" customFormat="1" x14ac:dyDescent="0.2">
      <c r="A526" s="224" t="str">
        <f t="shared" si="16"/>
        <v>I-082-WS-40</v>
      </c>
      <c r="B526" s="224" t="str">
        <f t="shared" si="17"/>
        <v>I-082-20</v>
      </c>
      <c r="C526" s="45" t="s">
        <v>564</v>
      </c>
      <c r="D526" s="45">
        <v>20</v>
      </c>
      <c r="E526" s="45" t="s">
        <v>613</v>
      </c>
      <c r="F526" s="42" t="str">
        <f>_xlfn.XLOOKUP(E526, 'S11 Work Stations'!$A$2:$A$45, 'S11 Work Stations'!$B$2:$B$45, "NOT FOUND", 0)</f>
        <v>SAW-CNC-40-425</v>
      </c>
      <c r="G526" s="45">
        <v>180</v>
      </c>
      <c r="H526" s="3">
        <v>200</v>
      </c>
    </row>
    <row r="527" spans="1:8" s="44" customFormat="1" x14ac:dyDescent="0.2">
      <c r="A527" s="224" t="str">
        <f t="shared" si="16"/>
        <v>I-082-WS-43</v>
      </c>
      <c r="B527" s="224" t="str">
        <f t="shared" si="17"/>
        <v>I-082-10</v>
      </c>
      <c r="C527" s="45" t="s">
        <v>564</v>
      </c>
      <c r="D527" s="45">
        <v>10</v>
      </c>
      <c r="E527" s="45" t="s">
        <v>616</v>
      </c>
      <c r="F527" s="42" t="str">
        <f>_xlfn.XLOOKUP(E527, 'S11 Work Stations'!$A$2:$A$45, 'S11 Work Stations'!$B$2:$B$45, "NOT FOUND", 0)</f>
        <v>RAW-MAT-INV</v>
      </c>
      <c r="G527" s="45">
        <v>0</v>
      </c>
      <c r="H527" s="3">
        <v>200</v>
      </c>
    </row>
    <row r="528" spans="1:8" s="44" customFormat="1" x14ac:dyDescent="0.2">
      <c r="A528" s="224" t="str">
        <f t="shared" si="16"/>
        <v>I-082-WS-44</v>
      </c>
      <c r="B528" s="224" t="str">
        <f t="shared" si="17"/>
        <v>I-082-50</v>
      </c>
      <c r="C528" s="45" t="s">
        <v>564</v>
      </c>
      <c r="D528" s="45">
        <v>50</v>
      </c>
      <c r="E528" s="45" t="s">
        <v>617</v>
      </c>
      <c r="F528" s="42" t="str">
        <f>_xlfn.XLOOKUP(E528, 'S11 Work Stations'!$A$2:$A$45, 'S11 Work Stations'!$B$2:$B$45, "NOT FOUND", 0)</f>
        <v>FIN-GOOD-INV</v>
      </c>
      <c r="G528" s="45">
        <v>0</v>
      </c>
      <c r="H528" s="3">
        <v>200</v>
      </c>
    </row>
    <row r="529" spans="1:8" s="44" customFormat="1" x14ac:dyDescent="0.2">
      <c r="A529" s="224" t="str">
        <f t="shared" si="16"/>
        <v>I-083-WS-01</v>
      </c>
      <c r="B529" s="224" t="str">
        <f t="shared" si="17"/>
        <v>I-083-30</v>
      </c>
      <c r="C529" s="45" t="s">
        <v>223</v>
      </c>
      <c r="D529" s="45">
        <v>30</v>
      </c>
      <c r="E529" s="45" t="s">
        <v>574</v>
      </c>
      <c r="F529" s="42" t="str">
        <f>_xlfn.XLOOKUP(E529, 'S11 Work Stations'!$A$2:$A$45, 'S11 Work Stations'!$B$2:$B$45, "NOT FOUND", 0)</f>
        <v>MIL-AB-361</v>
      </c>
      <c r="G529" s="45">
        <v>600</v>
      </c>
      <c r="H529" s="3">
        <v>200</v>
      </c>
    </row>
    <row r="530" spans="1:8" s="44" customFormat="1" x14ac:dyDescent="0.2">
      <c r="A530" s="224" t="str">
        <f t="shared" si="16"/>
        <v>I-083-WS-33</v>
      </c>
      <c r="B530" s="224" t="str">
        <f t="shared" si="17"/>
        <v>I-083-40</v>
      </c>
      <c r="C530" s="45" t="s">
        <v>223</v>
      </c>
      <c r="D530" s="45">
        <v>40</v>
      </c>
      <c r="E530" s="45" t="s">
        <v>606</v>
      </c>
      <c r="F530" s="42" t="str">
        <f>_xlfn.XLOOKUP(E530, 'S11 Work Stations'!$A$2:$A$45, 'S11 Work Stations'!$B$2:$B$45, "NOT FOUND", 0)</f>
        <v>SAW-50-150-252</v>
      </c>
      <c r="G530" s="45">
        <v>180</v>
      </c>
      <c r="H530" s="3">
        <v>200</v>
      </c>
    </row>
    <row r="531" spans="1:8" s="44" customFormat="1" x14ac:dyDescent="0.2">
      <c r="A531" s="224" t="str">
        <f t="shared" si="16"/>
        <v>I-083-WS-39</v>
      </c>
      <c r="B531" s="224" t="str">
        <f t="shared" si="17"/>
        <v>I-083-20</v>
      </c>
      <c r="C531" s="45" t="s">
        <v>223</v>
      </c>
      <c r="D531" s="45">
        <v>20</v>
      </c>
      <c r="E531" s="45" t="s">
        <v>612</v>
      </c>
      <c r="F531" s="42" t="str">
        <f>_xlfn.XLOOKUP(E531, 'S11 Work Stations'!$A$2:$A$45, 'S11 Work Stations'!$B$2:$B$45, "NOT FOUND", 0)</f>
        <v>SAW-400-424</v>
      </c>
      <c r="G531" s="45">
        <v>60</v>
      </c>
      <c r="H531" s="3">
        <v>200</v>
      </c>
    </row>
    <row r="532" spans="1:8" s="44" customFormat="1" x14ac:dyDescent="0.2">
      <c r="A532" s="224" t="str">
        <f t="shared" si="16"/>
        <v>I-083-WS-43</v>
      </c>
      <c r="B532" s="224" t="str">
        <f t="shared" si="17"/>
        <v>I-083-10</v>
      </c>
      <c r="C532" s="45" t="s">
        <v>223</v>
      </c>
      <c r="D532" s="45">
        <v>10</v>
      </c>
      <c r="E532" s="45" t="s">
        <v>616</v>
      </c>
      <c r="F532" s="42" t="str">
        <f>_xlfn.XLOOKUP(E532, 'S11 Work Stations'!$A$2:$A$45, 'S11 Work Stations'!$B$2:$B$45, "NOT FOUND", 0)</f>
        <v>RAW-MAT-INV</v>
      </c>
      <c r="G532" s="45">
        <v>0</v>
      </c>
      <c r="H532" s="3">
        <v>200</v>
      </c>
    </row>
    <row r="533" spans="1:8" s="44" customFormat="1" x14ac:dyDescent="0.2">
      <c r="A533" s="224" t="str">
        <f t="shared" si="16"/>
        <v>I-083-WS-44</v>
      </c>
      <c r="B533" s="224" t="str">
        <f t="shared" si="17"/>
        <v>I-083-50</v>
      </c>
      <c r="C533" s="45" t="s">
        <v>223</v>
      </c>
      <c r="D533" s="45">
        <v>50</v>
      </c>
      <c r="E533" s="45" t="s">
        <v>617</v>
      </c>
      <c r="F533" s="42" t="str">
        <f>_xlfn.XLOOKUP(E533, 'S11 Work Stations'!$A$2:$A$45, 'S11 Work Stations'!$B$2:$B$45, "NOT FOUND", 0)</f>
        <v>FIN-GOOD-INV</v>
      </c>
      <c r="G533" s="45">
        <v>0</v>
      </c>
      <c r="H533" s="3">
        <v>200</v>
      </c>
    </row>
  </sheetData>
  <autoFilter ref="C1:H533" xr:uid="{F833FA6E-E253-4D7B-915E-EBBC32886775}"/>
  <phoneticPr fontId="25" type="noConversion"/>
  <pageMargins left="0.7" right="0.7" top="0.75" bottom="0.75" header="0.3" footer="0.3"/>
  <pageSetup orientation="portrait" horizontalDpi="4294967293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922C8A-4274-5545-B060-33E6FAD0B670}">
  <sheetPr codeName="Sheet13"/>
  <dimension ref="A1:I18"/>
  <sheetViews>
    <sheetView zoomScale="210" workbookViewId="0">
      <selection activeCell="B3" sqref="B3"/>
    </sheetView>
  </sheetViews>
  <sheetFormatPr baseColWidth="10" defaultColWidth="11" defaultRowHeight="16" x14ac:dyDescent="0.2"/>
  <cols>
    <col min="1" max="9" width="16.1640625" customWidth="1"/>
  </cols>
  <sheetData>
    <row r="1" spans="1:9" ht="17" thickBot="1" x14ac:dyDescent="0.25">
      <c r="B1" s="329" t="s">
        <v>565</v>
      </c>
      <c r="C1" s="330"/>
      <c r="D1" s="330"/>
      <c r="E1" s="330"/>
      <c r="F1" s="330"/>
      <c r="G1" s="330"/>
      <c r="H1" s="330"/>
      <c r="I1" s="331"/>
    </row>
    <row r="2" spans="1:9" ht="17" thickBot="1" x14ac:dyDescent="0.25">
      <c r="A2" s="46" t="s">
        <v>170</v>
      </c>
      <c r="B2" s="47">
        <v>10</v>
      </c>
      <c r="C2" s="48">
        <v>20</v>
      </c>
      <c r="D2" s="48">
        <v>30</v>
      </c>
      <c r="E2" s="48">
        <v>40</v>
      </c>
      <c r="F2" s="48">
        <v>50</v>
      </c>
      <c r="G2" s="48">
        <v>60</v>
      </c>
      <c r="H2" s="48">
        <v>70</v>
      </c>
      <c r="I2" s="49">
        <v>80</v>
      </c>
    </row>
    <row r="3" spans="1:9" x14ac:dyDescent="0.2">
      <c r="A3" s="50" t="str">
        <f>'S08 ABC Output'!A3</f>
        <v>I-010</v>
      </c>
      <c r="B3" s="51" t="str">
        <f t="array" ref="B3">IFERROR(VLOOKUP($A3&amp;"-"&amp;B$2,CHOOSE({1,2}, 'S12 Operations'!$C$2:$C$533&amp;"-"&amp;'S12 Operations'!$D$2:$D$533, 'S12 Operations'!$E$2:$E$533), 2, 0), "")</f>
        <v>WS-43</v>
      </c>
      <c r="C3" s="51" t="str">
        <f t="array" ref="C3">IFERROR(VLOOKUP($A3&amp;"-"&amp;C$2,CHOOSE({1,2}, 'S12 Operations'!$C$2:$C$533&amp;"-"&amp;'S12 Operations'!$D$2:$D$533, 'S12 Operations'!$E$2:$E$533), 2, 0), "")</f>
        <v>WS-40</v>
      </c>
      <c r="D3" s="51" t="str">
        <f t="array" ref="D3">IFERROR(VLOOKUP($A3&amp;"-"&amp;D$2,CHOOSE({1,2}, 'S12 Operations'!$C$2:$C$533&amp;"-"&amp;'S12 Operations'!$D$2:$D$533, 'S12 Operations'!$E$2:$E$533), 2, 0), "")</f>
        <v>WS-02</v>
      </c>
      <c r="E3" s="51" t="str">
        <f t="array" ref="E3">IFERROR(VLOOKUP($A3&amp;"-"&amp;E$2,CHOOSE({1,2}, 'S12 Operations'!$C$2:$C$533&amp;"-"&amp;'S12 Operations'!$D$2:$D$533, 'S12 Operations'!$E$2:$E$533), 2, 0), "")</f>
        <v>WS-18</v>
      </c>
      <c r="F3" s="51" t="str">
        <f t="array" ref="F3">IFERROR(VLOOKUP($A3&amp;"-"&amp;F$2,CHOOSE({1,2}, 'S12 Operations'!$C$2:$C$533&amp;"-"&amp;'S12 Operations'!$D$2:$D$533, 'S12 Operations'!$E$2:$E$533), 2, 0), "")</f>
        <v>WS-24</v>
      </c>
      <c r="G3" s="51" t="str">
        <f t="array" ref="G3">IFERROR(VLOOKUP($A3&amp;"-"&amp;G$2,CHOOSE({1,2}, 'S12 Operations'!$C$2:$C$533&amp;"-"&amp;'S12 Operations'!$D$2:$D$533, 'S12 Operations'!$E$2:$E$533), 2, 0), "")</f>
        <v>WS-29</v>
      </c>
      <c r="H3" s="51" t="str">
        <f t="array" ref="H3">IFERROR(VLOOKUP($A3&amp;"-"&amp;H$2,CHOOSE({1,2}, 'S12 Operations'!$C$2:$C$533&amp;"-"&amp;'S12 Operations'!$D$2:$D$533, 'S12 Operations'!$E$2:$E$533), 2, 0), "")</f>
        <v>WS-33</v>
      </c>
      <c r="I3" s="51" t="str">
        <f t="array" ref="I3">IFERROR(VLOOKUP($A3&amp;"-"&amp;I$2,CHOOSE({1,2}, 'S12 Operations'!$C$2:$C$533&amp;"-"&amp;'S12 Operations'!$D$2:$D$533, 'S12 Operations'!$E$2:$E$533), 2, 0), "")</f>
        <v>WS-44</v>
      </c>
    </row>
    <row r="4" spans="1:9" x14ac:dyDescent="0.2">
      <c r="A4" s="50" t="str">
        <f>'S08 ABC Output'!A4</f>
        <v>I-004</v>
      </c>
      <c r="B4" s="51" t="str">
        <f t="array" ref="B4">IFERROR(VLOOKUP($A4&amp;"-"&amp;B$2,CHOOSE({1,2}, 'S12 Operations'!$C$2:$C$533&amp;"-"&amp;'S12 Operations'!$D$2:$D$533, 'S12 Operations'!$E$2:$E$533), 2, 0), "")</f>
        <v>WS-43</v>
      </c>
      <c r="C4" s="51" t="str">
        <f t="array" ref="C4">IFERROR(VLOOKUP($A4&amp;"-"&amp;C$2,CHOOSE({1,2}, 'S12 Operations'!$C$2:$C$533&amp;"-"&amp;'S12 Operations'!$D$2:$D$533, 'S12 Operations'!$E$2:$E$533), 2, 0), "")</f>
        <v>WS-36</v>
      </c>
      <c r="D4" s="51" t="str">
        <f t="array" ref="D4">IFERROR(VLOOKUP($A4&amp;"-"&amp;D$2,CHOOSE({1,2}, 'S12 Operations'!$C$2:$C$533&amp;"-"&amp;'S12 Operations'!$D$2:$D$533, 'S12 Operations'!$E$2:$E$533), 2, 0), "")</f>
        <v>WS-05</v>
      </c>
      <c r="E4" s="51" t="str">
        <f t="array" ref="E4">IFERROR(VLOOKUP($A4&amp;"-"&amp;E$2,CHOOSE({1,2}, 'S12 Operations'!$C$2:$C$533&amp;"-"&amp;'S12 Operations'!$D$2:$D$533, 'S12 Operations'!$E$2:$E$533), 2, 0), "")</f>
        <v>WS-25</v>
      </c>
      <c r="F4" s="51" t="str">
        <f t="array" ref="F4">IFERROR(VLOOKUP($A4&amp;"-"&amp;F$2,CHOOSE({1,2}, 'S12 Operations'!$C$2:$C$533&amp;"-"&amp;'S12 Operations'!$D$2:$D$533, 'S12 Operations'!$E$2:$E$533), 2, 0), "")</f>
        <v>WS-34</v>
      </c>
      <c r="G4" s="51" t="str">
        <f t="array" ref="G4">IFERROR(VLOOKUP($A4&amp;"-"&amp;G$2,CHOOSE({1,2}, 'S12 Operations'!$C$2:$C$533&amp;"-"&amp;'S12 Operations'!$D$2:$D$533, 'S12 Operations'!$E$2:$E$533), 2, 0), "")</f>
        <v>WS-44</v>
      </c>
      <c r="H4" s="51" t="str">
        <f t="array" ref="H4">IFERROR(VLOOKUP($A4&amp;"-"&amp;H$2,CHOOSE({1,2}, 'S12 Operations'!$C$2:$C$533&amp;"-"&amp;'S12 Operations'!$D$2:$D$533, 'S12 Operations'!$E$2:$E$533), 2, 0), "")</f>
        <v/>
      </c>
      <c r="I4" s="51" t="str">
        <f t="array" ref="I4">IFERROR(VLOOKUP($A4&amp;"-"&amp;I$2,CHOOSE({1,2}, 'S12 Operations'!$C$2:$C$533&amp;"-"&amp;'S12 Operations'!$D$2:$D$533, 'S12 Operations'!$E$2:$E$533), 2, 0), "")</f>
        <v/>
      </c>
    </row>
    <row r="5" spans="1:9" x14ac:dyDescent="0.2">
      <c r="A5" s="50" t="str">
        <f>'S08 ABC Output'!A5</f>
        <v>I-037</v>
      </c>
      <c r="B5" s="51" t="str">
        <f t="array" ref="B5">IFERROR(VLOOKUP($A5&amp;"-"&amp;B$2,CHOOSE({1,2}, 'S12 Operations'!$C$2:$C$533&amp;"-"&amp;'S12 Operations'!$D$2:$D$533, 'S12 Operations'!$E$2:$E$533), 2, 0), "")</f>
        <v>WS-43</v>
      </c>
      <c r="C5" s="51" t="str">
        <f t="array" ref="C5">IFERROR(VLOOKUP($A5&amp;"-"&amp;C$2,CHOOSE({1,2}, 'S12 Operations'!$C$2:$C$533&amp;"-"&amp;'S12 Operations'!$D$2:$D$533, 'S12 Operations'!$E$2:$E$533), 2, 0), "")</f>
        <v>WS-38</v>
      </c>
      <c r="D5" s="51" t="str">
        <f t="array" ref="D5">IFERROR(VLOOKUP($A5&amp;"-"&amp;D$2,CHOOSE({1,2}, 'S12 Operations'!$C$2:$C$533&amp;"-"&amp;'S12 Operations'!$D$2:$D$533, 'S12 Operations'!$E$2:$E$533), 2, 0), "")</f>
        <v>WS-07</v>
      </c>
      <c r="E5" s="51" t="str">
        <f t="array" ref="E5">IFERROR(VLOOKUP($A5&amp;"-"&amp;E$2,CHOOSE({1,2}, 'S12 Operations'!$C$2:$C$533&amp;"-"&amp;'S12 Operations'!$D$2:$D$533, 'S12 Operations'!$E$2:$E$533), 2, 0), "")</f>
        <v>WS-21</v>
      </c>
      <c r="F5" s="51" t="str">
        <f t="array" ref="F5">IFERROR(VLOOKUP($A5&amp;"-"&amp;F$2,CHOOSE({1,2}, 'S12 Operations'!$C$2:$C$533&amp;"-"&amp;'S12 Operations'!$D$2:$D$533, 'S12 Operations'!$E$2:$E$533), 2, 0), "")</f>
        <v>WS-28</v>
      </c>
      <c r="G5" s="51" t="str">
        <f t="array" ref="G5">IFERROR(VLOOKUP($A5&amp;"-"&amp;G$2,CHOOSE({1,2}, 'S12 Operations'!$C$2:$C$533&amp;"-"&amp;'S12 Operations'!$D$2:$D$533, 'S12 Operations'!$E$2:$E$533), 2, 0), "")</f>
        <v>WS-27</v>
      </c>
      <c r="H5" s="51" t="str">
        <f t="array" ref="H5">IFERROR(VLOOKUP($A5&amp;"-"&amp;H$2,CHOOSE({1,2}, 'S12 Operations'!$C$2:$C$533&amp;"-"&amp;'S12 Operations'!$D$2:$D$533, 'S12 Operations'!$E$2:$E$533), 2, 0), "")</f>
        <v>WS-32</v>
      </c>
      <c r="I5" s="51" t="str">
        <f t="array" ref="I5">IFERROR(VLOOKUP($A5&amp;"-"&amp;I$2,CHOOSE({1,2}, 'S12 Operations'!$C$2:$C$533&amp;"-"&amp;'S12 Operations'!$D$2:$D$533, 'S12 Operations'!$E$2:$E$533), 2, 0), "")</f>
        <v>WS-44</v>
      </c>
    </row>
    <row r="6" spans="1:9" x14ac:dyDescent="0.2">
      <c r="A6" s="50" t="str">
        <f>'S08 ABC Output'!A6</f>
        <v>I-064</v>
      </c>
      <c r="B6" s="51" t="str">
        <f t="array" ref="B6">IFERROR(VLOOKUP($A6&amp;"-"&amp;B$2,CHOOSE({1,2}, 'S12 Operations'!$C$2:$C$533&amp;"-"&amp;'S12 Operations'!$D$2:$D$533, 'S12 Operations'!$E$2:$E$533), 2, 0), "")</f>
        <v>WS-43</v>
      </c>
      <c r="C6" s="51" t="str">
        <f t="array" ref="C6">IFERROR(VLOOKUP($A6&amp;"-"&amp;C$2,CHOOSE({1,2}, 'S12 Operations'!$C$2:$C$533&amp;"-"&amp;'S12 Operations'!$D$2:$D$533, 'S12 Operations'!$E$2:$E$533), 2, 0), "")</f>
        <v>WS-40</v>
      </c>
      <c r="D6" s="51" t="str">
        <f t="array" ref="D6">IFERROR(VLOOKUP($A6&amp;"-"&amp;D$2,CHOOSE({1,2}, 'S12 Operations'!$C$2:$C$533&amp;"-"&amp;'S12 Operations'!$D$2:$D$533, 'S12 Operations'!$E$2:$E$533), 2, 0), "")</f>
        <v>WS-04</v>
      </c>
      <c r="E6" s="51" t="str">
        <f t="array" ref="E6">IFERROR(VLOOKUP($A6&amp;"-"&amp;E$2,CHOOSE({1,2}, 'S12 Operations'!$C$2:$C$533&amp;"-"&amp;'S12 Operations'!$D$2:$D$533, 'S12 Operations'!$E$2:$E$533), 2, 0), "")</f>
        <v>WS-03</v>
      </c>
      <c r="F6" s="51" t="str">
        <f t="array" ref="F6">IFERROR(VLOOKUP($A6&amp;"-"&amp;F$2,CHOOSE({1,2}, 'S12 Operations'!$C$2:$C$533&amp;"-"&amp;'S12 Operations'!$D$2:$D$533, 'S12 Operations'!$E$2:$E$533), 2, 0), "")</f>
        <v>WS-23</v>
      </c>
      <c r="G6" s="51" t="str">
        <f t="array" ref="G6">IFERROR(VLOOKUP($A6&amp;"-"&amp;G$2,CHOOSE({1,2}, 'S12 Operations'!$C$2:$C$533&amp;"-"&amp;'S12 Operations'!$D$2:$D$533, 'S12 Operations'!$E$2:$E$533), 2, 0), "")</f>
        <v>WS-31</v>
      </c>
      <c r="H6" s="51" t="str">
        <f t="array" ref="H6">IFERROR(VLOOKUP($A6&amp;"-"&amp;H$2,CHOOSE({1,2}, 'S12 Operations'!$C$2:$C$533&amp;"-"&amp;'S12 Operations'!$D$2:$D$533, 'S12 Operations'!$E$2:$E$533), 2, 0), "")</f>
        <v>WS-32</v>
      </c>
      <c r="I6" s="51" t="str">
        <f t="array" ref="I6">IFERROR(VLOOKUP($A6&amp;"-"&amp;I$2,CHOOSE({1,2}, 'S12 Operations'!$C$2:$C$533&amp;"-"&amp;'S12 Operations'!$D$2:$D$533, 'S12 Operations'!$E$2:$E$533), 2, 0), "")</f>
        <v>WS-44</v>
      </c>
    </row>
    <row r="7" spans="1:9" x14ac:dyDescent="0.2">
      <c r="A7" s="50" t="str">
        <f>'S08 ABC Output'!A7</f>
        <v>I-052</v>
      </c>
      <c r="B7" s="51" t="str">
        <f t="array" ref="B7">IFERROR(VLOOKUP($A7&amp;"-"&amp;B$2,CHOOSE({1,2}, 'S12 Operations'!$C$2:$C$533&amp;"-"&amp;'S12 Operations'!$D$2:$D$533, 'S12 Operations'!$E$2:$E$533), 2, 0), "")</f>
        <v>WS-43</v>
      </c>
      <c r="C7" s="51" t="str">
        <f t="array" ref="C7">IFERROR(VLOOKUP($A7&amp;"-"&amp;C$2,CHOOSE({1,2}, 'S12 Operations'!$C$2:$C$533&amp;"-"&amp;'S12 Operations'!$D$2:$D$533, 'S12 Operations'!$E$2:$E$533), 2, 0), "")</f>
        <v>WS-40</v>
      </c>
      <c r="D7" s="51" t="str">
        <f t="array" ref="D7">IFERROR(VLOOKUP($A7&amp;"-"&amp;D$2,CHOOSE({1,2}, 'S12 Operations'!$C$2:$C$533&amp;"-"&amp;'S12 Operations'!$D$2:$D$533, 'S12 Operations'!$E$2:$E$533), 2, 0), "")</f>
        <v>WS-07</v>
      </c>
      <c r="E7" s="51" t="str">
        <f t="array" ref="E7">IFERROR(VLOOKUP($A7&amp;"-"&amp;E$2,CHOOSE({1,2}, 'S12 Operations'!$C$2:$C$533&amp;"-"&amp;'S12 Operations'!$D$2:$D$533, 'S12 Operations'!$E$2:$E$533), 2, 0), "")</f>
        <v>WS-08</v>
      </c>
      <c r="F7" s="51" t="str">
        <f t="array" ref="F7">IFERROR(VLOOKUP($A7&amp;"-"&amp;F$2,CHOOSE({1,2}, 'S12 Operations'!$C$2:$C$533&amp;"-"&amp;'S12 Operations'!$D$2:$D$533, 'S12 Operations'!$E$2:$E$533), 2, 0), "")</f>
        <v>WS-20</v>
      </c>
      <c r="G7" s="51" t="str">
        <f t="array" ref="G7">IFERROR(VLOOKUP($A7&amp;"-"&amp;G$2,CHOOSE({1,2}, 'S12 Operations'!$C$2:$C$533&amp;"-"&amp;'S12 Operations'!$D$2:$D$533, 'S12 Operations'!$E$2:$E$533), 2, 0), "")</f>
        <v>WS-26</v>
      </c>
      <c r="H7" s="51" t="str">
        <f t="array" ref="H7">IFERROR(VLOOKUP($A7&amp;"-"&amp;H$2,CHOOSE({1,2}, 'S12 Operations'!$C$2:$C$533&amp;"-"&amp;'S12 Operations'!$D$2:$D$533, 'S12 Operations'!$E$2:$E$533), 2, 0), "")</f>
        <v>WS-32</v>
      </c>
      <c r="I7" s="51" t="str">
        <f t="array" ref="I7">IFERROR(VLOOKUP($A7&amp;"-"&amp;I$2,CHOOSE({1,2}, 'S12 Operations'!$C$2:$C$533&amp;"-"&amp;'S12 Operations'!$D$2:$D$533, 'S12 Operations'!$E$2:$E$533), 2, 0), "")</f>
        <v>WS-44</v>
      </c>
    </row>
    <row r="8" spans="1:9" x14ac:dyDescent="0.2">
      <c r="A8" s="50" t="str">
        <f>'S08 ABC Output'!A8</f>
        <v>I-068</v>
      </c>
      <c r="B8" s="51" t="str">
        <f t="array" ref="B8">IFERROR(VLOOKUP($A8&amp;"-"&amp;B$2,CHOOSE({1,2}, 'S12 Operations'!$C$2:$C$533&amp;"-"&amp;'S12 Operations'!$D$2:$D$533, 'S12 Operations'!$E$2:$E$533), 2, 0), "")</f>
        <v>WS-43</v>
      </c>
      <c r="C8" s="51" t="str">
        <f t="array" ref="C8">IFERROR(VLOOKUP($A8&amp;"-"&amp;C$2,CHOOSE({1,2}, 'S12 Operations'!$C$2:$C$533&amp;"-"&amp;'S12 Operations'!$D$2:$D$533, 'S12 Operations'!$E$2:$E$533), 2, 0), "")</f>
        <v>WS-36</v>
      </c>
      <c r="D8" s="51" t="str">
        <f t="array" ref="D8">IFERROR(VLOOKUP($A8&amp;"-"&amp;D$2,CHOOSE({1,2}, 'S12 Operations'!$C$2:$C$533&amp;"-"&amp;'S12 Operations'!$D$2:$D$533, 'S12 Operations'!$E$2:$E$533), 2, 0), "")</f>
        <v>WS-05</v>
      </c>
      <c r="E8" s="51" t="str">
        <f t="array" ref="E8">IFERROR(VLOOKUP($A8&amp;"-"&amp;E$2,CHOOSE({1,2}, 'S12 Operations'!$C$2:$C$533&amp;"-"&amp;'S12 Operations'!$D$2:$D$533, 'S12 Operations'!$E$2:$E$533), 2, 0), "")</f>
        <v>WS-25</v>
      </c>
      <c r="F8" s="51" t="str">
        <f t="array" ref="F8">IFERROR(VLOOKUP($A8&amp;"-"&amp;F$2,CHOOSE({1,2}, 'S12 Operations'!$C$2:$C$533&amp;"-"&amp;'S12 Operations'!$D$2:$D$533, 'S12 Operations'!$E$2:$E$533), 2, 0), "")</f>
        <v>WS-34</v>
      </c>
      <c r="G8" s="51" t="str">
        <f t="array" ref="G8">IFERROR(VLOOKUP($A8&amp;"-"&amp;G$2,CHOOSE({1,2}, 'S12 Operations'!$C$2:$C$533&amp;"-"&amp;'S12 Operations'!$D$2:$D$533, 'S12 Operations'!$E$2:$E$533), 2, 0), "")</f>
        <v>WS-44</v>
      </c>
      <c r="H8" s="51" t="str">
        <f t="array" ref="H8">IFERROR(VLOOKUP($A8&amp;"-"&amp;H$2,CHOOSE({1,2}, 'S12 Operations'!$C$2:$C$533&amp;"-"&amp;'S12 Operations'!$D$2:$D$533, 'S12 Operations'!$E$2:$E$533), 2, 0), "")</f>
        <v/>
      </c>
      <c r="I8" s="51" t="str">
        <f t="array" ref="I8">IFERROR(VLOOKUP($A8&amp;"-"&amp;I$2,CHOOSE({1,2}, 'S12 Operations'!$C$2:$C$533&amp;"-"&amp;'S12 Operations'!$D$2:$D$533, 'S12 Operations'!$E$2:$E$533), 2, 0), "")</f>
        <v/>
      </c>
    </row>
    <row r="9" spans="1:9" x14ac:dyDescent="0.2">
      <c r="A9" s="50" t="str">
        <f>'S08 ABC Output'!A9</f>
        <v>I-053</v>
      </c>
      <c r="B9" s="51" t="str">
        <f t="array" ref="B9">IFERROR(VLOOKUP($A9&amp;"-"&amp;B$2,CHOOSE({1,2}, 'S12 Operations'!$C$2:$C$533&amp;"-"&amp;'S12 Operations'!$D$2:$D$533, 'S12 Operations'!$E$2:$E$533), 2, 0), "")</f>
        <v>WS-43</v>
      </c>
      <c r="C9" s="51" t="str">
        <f t="array" ref="C9">IFERROR(VLOOKUP($A9&amp;"-"&amp;C$2,CHOOSE({1,2}, 'S12 Operations'!$C$2:$C$533&amp;"-"&amp;'S12 Operations'!$D$2:$D$533, 'S12 Operations'!$E$2:$E$533), 2, 0), "")</f>
        <v>WS-40</v>
      </c>
      <c r="D9" s="51" t="str">
        <f t="array" ref="D9">IFERROR(VLOOKUP($A9&amp;"-"&amp;D$2,CHOOSE({1,2}, 'S12 Operations'!$C$2:$C$533&amp;"-"&amp;'S12 Operations'!$D$2:$D$533, 'S12 Operations'!$E$2:$E$533), 2, 0), "")</f>
        <v>WS-04</v>
      </c>
      <c r="E9" s="51" t="str">
        <f t="array" ref="E9">IFERROR(VLOOKUP($A9&amp;"-"&amp;E$2,CHOOSE({1,2}, 'S12 Operations'!$C$2:$C$533&amp;"-"&amp;'S12 Operations'!$D$2:$D$533, 'S12 Operations'!$E$2:$E$533), 2, 0), "")</f>
        <v>WS-03</v>
      </c>
      <c r="F9" s="51" t="str">
        <f t="array" ref="F9">IFERROR(VLOOKUP($A9&amp;"-"&amp;F$2,CHOOSE({1,2}, 'S12 Operations'!$C$2:$C$533&amp;"-"&amp;'S12 Operations'!$D$2:$D$533, 'S12 Operations'!$E$2:$E$533), 2, 0), "")</f>
        <v>WS-23</v>
      </c>
      <c r="G9" s="51" t="str">
        <f t="array" ref="G9">IFERROR(VLOOKUP($A9&amp;"-"&amp;G$2,CHOOSE({1,2}, 'S12 Operations'!$C$2:$C$533&amp;"-"&amp;'S12 Operations'!$D$2:$D$533, 'S12 Operations'!$E$2:$E$533), 2, 0), "")</f>
        <v>WS-31</v>
      </c>
      <c r="H9" s="51" t="str">
        <f t="array" ref="H9">IFERROR(VLOOKUP($A9&amp;"-"&amp;H$2,CHOOSE({1,2}, 'S12 Operations'!$C$2:$C$533&amp;"-"&amp;'S12 Operations'!$D$2:$D$533, 'S12 Operations'!$E$2:$E$533), 2, 0), "")</f>
        <v>WS-32</v>
      </c>
      <c r="I9" s="51" t="str">
        <f t="array" ref="I9">IFERROR(VLOOKUP($A9&amp;"-"&amp;I$2,CHOOSE({1,2}, 'S12 Operations'!$C$2:$C$533&amp;"-"&amp;'S12 Operations'!$D$2:$D$533, 'S12 Operations'!$E$2:$E$533), 2, 0), "")</f>
        <v>WS-44</v>
      </c>
    </row>
    <row r="10" spans="1:9" x14ac:dyDescent="0.2">
      <c r="A10" s="50" t="str">
        <f>'S08 ABC Output'!A10</f>
        <v>I-012</v>
      </c>
      <c r="B10" s="51" t="str">
        <f t="array" ref="B10">IFERROR(VLOOKUP($A10&amp;"-"&amp;B$2,CHOOSE({1,2}, 'S12 Operations'!$C$2:$C$533&amp;"-"&amp;'S12 Operations'!$D$2:$D$533, 'S12 Operations'!$E$2:$E$533), 2, 0), "")</f>
        <v>WS-43</v>
      </c>
      <c r="C10" s="51" t="str">
        <f t="array" ref="C10">IFERROR(VLOOKUP($A10&amp;"-"&amp;C$2,CHOOSE({1,2}, 'S12 Operations'!$C$2:$C$533&amp;"-"&amp;'S12 Operations'!$D$2:$D$533, 'S12 Operations'!$E$2:$E$533), 2, 0), "")</f>
        <v>WS-40</v>
      </c>
      <c r="D10" s="51" t="str">
        <f t="array" ref="D10">IFERROR(VLOOKUP($A10&amp;"-"&amp;D$2,CHOOSE({1,2}, 'S12 Operations'!$C$2:$C$533&amp;"-"&amp;'S12 Operations'!$D$2:$D$533, 'S12 Operations'!$E$2:$E$533), 2, 0), "")</f>
        <v>WS-07</v>
      </c>
      <c r="E10" s="51" t="str">
        <f t="array" ref="E10">IFERROR(VLOOKUP($A10&amp;"-"&amp;E$2,CHOOSE({1,2}, 'S12 Operations'!$C$2:$C$533&amp;"-"&amp;'S12 Operations'!$D$2:$D$533, 'S12 Operations'!$E$2:$E$533), 2, 0), "")</f>
        <v>WS-08</v>
      </c>
      <c r="F10" s="51" t="str">
        <f t="array" ref="F10">IFERROR(VLOOKUP($A10&amp;"-"&amp;F$2,CHOOSE({1,2}, 'S12 Operations'!$C$2:$C$533&amp;"-"&amp;'S12 Operations'!$D$2:$D$533, 'S12 Operations'!$E$2:$E$533), 2, 0), "")</f>
        <v>WS-20</v>
      </c>
      <c r="G10" s="51" t="str">
        <f t="array" ref="G10">IFERROR(VLOOKUP($A10&amp;"-"&amp;G$2,CHOOSE({1,2}, 'S12 Operations'!$C$2:$C$533&amp;"-"&amp;'S12 Operations'!$D$2:$D$533, 'S12 Operations'!$E$2:$E$533), 2, 0), "")</f>
        <v>WS-26</v>
      </c>
      <c r="H10" s="51" t="str">
        <f t="array" ref="H10">IFERROR(VLOOKUP($A10&amp;"-"&amp;H$2,CHOOSE({1,2}, 'S12 Operations'!$C$2:$C$533&amp;"-"&amp;'S12 Operations'!$D$2:$D$533, 'S12 Operations'!$E$2:$E$533), 2, 0), "")</f>
        <v>WS-32</v>
      </c>
      <c r="I10" s="51" t="str">
        <f t="array" ref="I10">IFERROR(VLOOKUP($A10&amp;"-"&amp;I$2,CHOOSE({1,2}, 'S12 Operations'!$C$2:$C$533&amp;"-"&amp;'S12 Operations'!$D$2:$D$533, 'S12 Operations'!$E$2:$E$533), 2, 0), "")</f>
        <v>WS-44</v>
      </c>
    </row>
    <row r="11" spans="1:9" x14ac:dyDescent="0.2">
      <c r="A11" s="50" t="str">
        <f>'S08 ABC Output'!A11</f>
        <v>I-066</v>
      </c>
      <c r="B11" s="51" t="str">
        <f t="array" ref="B11">IFERROR(VLOOKUP($A11&amp;"-"&amp;B$2,CHOOSE({1,2}, 'S12 Operations'!$C$2:$C$533&amp;"-"&amp;'S12 Operations'!$D$2:$D$533, 'S12 Operations'!$E$2:$E$533), 2, 0), "")</f>
        <v>WS-43</v>
      </c>
      <c r="C11" s="51" t="str">
        <f t="array" ref="C11">IFERROR(VLOOKUP($A11&amp;"-"&amp;C$2,CHOOSE({1,2}, 'S12 Operations'!$C$2:$C$533&amp;"-"&amp;'S12 Operations'!$D$2:$D$533, 'S12 Operations'!$E$2:$E$533), 2, 0), "")</f>
        <v>WS-36</v>
      </c>
      <c r="D11" s="51" t="str">
        <f t="array" ref="D11">IFERROR(VLOOKUP($A11&amp;"-"&amp;D$2,CHOOSE({1,2}, 'S12 Operations'!$C$2:$C$533&amp;"-"&amp;'S12 Operations'!$D$2:$D$533, 'S12 Operations'!$E$2:$E$533), 2, 0), "")</f>
        <v>WS-05</v>
      </c>
      <c r="E11" s="51" t="str">
        <f t="array" ref="E11">IFERROR(VLOOKUP($A11&amp;"-"&amp;E$2,CHOOSE({1,2}, 'S12 Operations'!$C$2:$C$533&amp;"-"&amp;'S12 Operations'!$D$2:$D$533, 'S12 Operations'!$E$2:$E$533), 2, 0), "")</f>
        <v>WS-25</v>
      </c>
      <c r="F11" s="51" t="str">
        <f t="array" ref="F11">IFERROR(VLOOKUP($A11&amp;"-"&amp;F$2,CHOOSE({1,2}, 'S12 Operations'!$C$2:$C$533&amp;"-"&amp;'S12 Operations'!$D$2:$D$533, 'S12 Operations'!$E$2:$E$533), 2, 0), "")</f>
        <v>WS-34</v>
      </c>
      <c r="G11" s="51" t="str">
        <f t="array" ref="G11">IFERROR(VLOOKUP($A11&amp;"-"&amp;G$2,CHOOSE({1,2}, 'S12 Operations'!$C$2:$C$533&amp;"-"&amp;'S12 Operations'!$D$2:$D$533, 'S12 Operations'!$E$2:$E$533), 2, 0), "")</f>
        <v>WS-44</v>
      </c>
      <c r="H11" s="51" t="str">
        <f t="array" ref="H11">IFERROR(VLOOKUP($A11&amp;"-"&amp;H$2,CHOOSE({1,2}, 'S12 Operations'!$C$2:$C$533&amp;"-"&amp;'S12 Operations'!$D$2:$D$533, 'S12 Operations'!$E$2:$E$533), 2, 0), "")</f>
        <v/>
      </c>
      <c r="I11" s="51" t="str">
        <f t="array" ref="I11">IFERROR(VLOOKUP($A11&amp;"-"&amp;I$2,CHOOSE({1,2}, 'S12 Operations'!$C$2:$C$533&amp;"-"&amp;'S12 Operations'!$D$2:$D$533, 'S12 Operations'!$E$2:$E$533), 2, 0), "")</f>
        <v/>
      </c>
    </row>
    <row r="12" spans="1:9" x14ac:dyDescent="0.2">
      <c r="A12" s="50" t="str">
        <f>'S08 ABC Output'!A12</f>
        <v>I-069</v>
      </c>
      <c r="B12" s="51" t="str">
        <f t="array" ref="B12">IFERROR(VLOOKUP($A12&amp;"-"&amp;B$2,CHOOSE({1,2}, 'S12 Operations'!$C$2:$C$533&amp;"-"&amp;'S12 Operations'!$D$2:$D$533, 'S12 Operations'!$E$2:$E$533), 2, 0), "")</f>
        <v>WS-43</v>
      </c>
      <c r="C12" s="51" t="str">
        <f t="array" ref="C12">IFERROR(VLOOKUP($A12&amp;"-"&amp;C$2,CHOOSE({1,2}, 'S12 Operations'!$C$2:$C$533&amp;"-"&amp;'S12 Operations'!$D$2:$D$533, 'S12 Operations'!$E$2:$E$533), 2, 0), "")</f>
        <v>WS-36</v>
      </c>
      <c r="D12" s="51" t="str">
        <f t="array" ref="D12">IFERROR(VLOOKUP($A12&amp;"-"&amp;D$2,CHOOSE({1,2}, 'S12 Operations'!$C$2:$C$533&amp;"-"&amp;'S12 Operations'!$D$2:$D$533, 'S12 Operations'!$E$2:$E$533), 2, 0), "")</f>
        <v>WS-05</v>
      </c>
      <c r="E12" s="51" t="str">
        <f t="array" ref="E12">IFERROR(VLOOKUP($A12&amp;"-"&amp;E$2,CHOOSE({1,2}, 'S12 Operations'!$C$2:$C$533&amp;"-"&amp;'S12 Operations'!$D$2:$D$533, 'S12 Operations'!$E$2:$E$533), 2, 0), "")</f>
        <v>WS-25</v>
      </c>
      <c r="F12" s="51" t="str">
        <f t="array" ref="F12">IFERROR(VLOOKUP($A12&amp;"-"&amp;F$2,CHOOSE({1,2}, 'S12 Operations'!$C$2:$C$533&amp;"-"&amp;'S12 Operations'!$D$2:$D$533, 'S12 Operations'!$E$2:$E$533), 2, 0), "")</f>
        <v>WS-34</v>
      </c>
      <c r="G12" s="51" t="str">
        <f t="array" ref="G12">IFERROR(VLOOKUP($A12&amp;"-"&amp;G$2,CHOOSE({1,2}, 'S12 Operations'!$C$2:$C$533&amp;"-"&amp;'S12 Operations'!$D$2:$D$533, 'S12 Operations'!$E$2:$E$533), 2, 0), "")</f>
        <v>WS-44</v>
      </c>
      <c r="H12" s="51" t="str">
        <f t="array" ref="H12">IFERROR(VLOOKUP($A12&amp;"-"&amp;H$2,CHOOSE({1,2}, 'S12 Operations'!$C$2:$C$533&amp;"-"&amp;'S12 Operations'!$D$2:$D$533, 'S12 Operations'!$E$2:$E$533), 2, 0), "")</f>
        <v/>
      </c>
      <c r="I12" s="51" t="str">
        <f t="array" ref="I12">IFERROR(VLOOKUP($A12&amp;"-"&amp;I$2,CHOOSE({1,2}, 'S12 Operations'!$C$2:$C$533&amp;"-"&amp;'S12 Operations'!$D$2:$D$533, 'S12 Operations'!$E$2:$E$533), 2, 0), "")</f>
        <v/>
      </c>
    </row>
    <row r="13" spans="1:9" x14ac:dyDescent="0.2">
      <c r="A13" s="50" t="str">
        <f>'S08 ABC Output'!A13</f>
        <v>I-070</v>
      </c>
      <c r="B13" s="51" t="str">
        <f t="array" ref="B13">IFERROR(VLOOKUP($A13&amp;"-"&amp;B$2,CHOOSE({1,2}, 'S12 Operations'!$C$2:$C$533&amp;"-"&amp;'S12 Operations'!$D$2:$D$533, 'S12 Operations'!$E$2:$E$533), 2, 0), "")</f>
        <v>WS-43</v>
      </c>
      <c r="C13" s="51" t="str">
        <f t="array" ref="C13">IFERROR(VLOOKUP($A13&amp;"-"&amp;C$2,CHOOSE({1,2}, 'S12 Operations'!$C$2:$C$533&amp;"-"&amp;'S12 Operations'!$D$2:$D$533, 'S12 Operations'!$E$2:$E$533), 2, 0), "")</f>
        <v>WS-36</v>
      </c>
      <c r="D13" s="51" t="str">
        <f t="array" ref="D13">IFERROR(VLOOKUP($A13&amp;"-"&amp;D$2,CHOOSE({1,2}, 'S12 Operations'!$C$2:$C$533&amp;"-"&amp;'S12 Operations'!$D$2:$D$533, 'S12 Operations'!$E$2:$E$533), 2, 0), "")</f>
        <v>WS-05</v>
      </c>
      <c r="E13" s="51" t="str">
        <f t="array" ref="E13">IFERROR(VLOOKUP($A13&amp;"-"&amp;E$2,CHOOSE({1,2}, 'S12 Operations'!$C$2:$C$533&amp;"-"&amp;'S12 Operations'!$D$2:$D$533, 'S12 Operations'!$E$2:$E$533), 2, 0), "")</f>
        <v>WS-25</v>
      </c>
      <c r="F13" s="51" t="str">
        <f t="array" ref="F13">IFERROR(VLOOKUP($A13&amp;"-"&amp;F$2,CHOOSE({1,2}, 'S12 Operations'!$C$2:$C$533&amp;"-"&amp;'S12 Operations'!$D$2:$D$533, 'S12 Operations'!$E$2:$E$533), 2, 0), "")</f>
        <v>WS-34</v>
      </c>
      <c r="G13" s="51" t="str">
        <f t="array" ref="G13">IFERROR(VLOOKUP($A13&amp;"-"&amp;G$2,CHOOSE({1,2}, 'S12 Operations'!$C$2:$C$533&amp;"-"&amp;'S12 Operations'!$D$2:$D$533, 'S12 Operations'!$E$2:$E$533), 2, 0), "")</f>
        <v>WS-44</v>
      </c>
      <c r="H13" s="51" t="str">
        <f t="array" ref="H13">IFERROR(VLOOKUP($A13&amp;"-"&amp;H$2,CHOOSE({1,2}, 'S12 Operations'!$C$2:$C$533&amp;"-"&amp;'S12 Operations'!$D$2:$D$533, 'S12 Operations'!$E$2:$E$533), 2, 0), "")</f>
        <v/>
      </c>
      <c r="I13" s="51" t="str">
        <f t="array" ref="I13">IFERROR(VLOOKUP($A13&amp;"-"&amp;I$2,CHOOSE({1,2}, 'S12 Operations'!$C$2:$C$533&amp;"-"&amp;'S12 Operations'!$D$2:$D$533, 'S12 Operations'!$E$2:$E$533), 2, 0), "")</f>
        <v/>
      </c>
    </row>
    <row r="14" spans="1:9" x14ac:dyDescent="0.2">
      <c r="A14" s="50" t="str">
        <f>'S08 ABC Output'!A14</f>
        <v>I-006</v>
      </c>
      <c r="B14" s="51" t="str">
        <f t="array" ref="B14">IFERROR(VLOOKUP($A14&amp;"-"&amp;B$2,CHOOSE({1,2}, 'S12 Operations'!$C$2:$C$533&amp;"-"&amp;'S12 Operations'!$D$2:$D$533, 'S12 Operations'!$E$2:$E$533), 2, 0), "")</f>
        <v>WS-43</v>
      </c>
      <c r="C14" s="51" t="str">
        <f t="array" ref="C14">IFERROR(VLOOKUP($A14&amp;"-"&amp;C$2,CHOOSE({1,2}, 'S12 Operations'!$C$2:$C$533&amp;"-"&amp;'S12 Operations'!$D$2:$D$533, 'S12 Operations'!$E$2:$E$533), 2, 0), "")</f>
        <v>WS-40</v>
      </c>
      <c r="D14" s="51" t="str">
        <f t="array" ref="D14">IFERROR(VLOOKUP($A14&amp;"-"&amp;D$2,CHOOSE({1,2}, 'S12 Operations'!$C$2:$C$533&amp;"-"&amp;'S12 Operations'!$D$2:$D$533, 'S12 Operations'!$E$2:$E$533), 2, 0), "")</f>
        <v>WS-02</v>
      </c>
      <c r="E14" s="51" t="str">
        <f t="array" ref="E14">IFERROR(VLOOKUP($A14&amp;"-"&amp;E$2,CHOOSE({1,2}, 'S12 Operations'!$C$2:$C$533&amp;"-"&amp;'S12 Operations'!$D$2:$D$533, 'S12 Operations'!$E$2:$E$533), 2, 0), "")</f>
        <v>WS-18</v>
      </c>
      <c r="F14" s="51" t="str">
        <f t="array" ref="F14">IFERROR(VLOOKUP($A14&amp;"-"&amp;F$2,CHOOSE({1,2}, 'S12 Operations'!$C$2:$C$533&amp;"-"&amp;'S12 Operations'!$D$2:$D$533, 'S12 Operations'!$E$2:$E$533), 2, 0), "")</f>
        <v>WS-24</v>
      </c>
      <c r="G14" s="51" t="str">
        <f t="array" ref="G14">IFERROR(VLOOKUP($A14&amp;"-"&amp;G$2,CHOOSE({1,2}, 'S12 Operations'!$C$2:$C$533&amp;"-"&amp;'S12 Operations'!$D$2:$D$533, 'S12 Operations'!$E$2:$E$533), 2, 0), "")</f>
        <v>WS-29</v>
      </c>
      <c r="H14" s="51" t="str">
        <f t="array" ref="H14">IFERROR(VLOOKUP($A14&amp;"-"&amp;H$2,CHOOSE({1,2}, 'S12 Operations'!$C$2:$C$533&amp;"-"&amp;'S12 Operations'!$D$2:$D$533, 'S12 Operations'!$E$2:$E$533), 2, 0), "")</f>
        <v>WS-33</v>
      </c>
      <c r="I14" s="51" t="str">
        <f t="array" ref="I14">IFERROR(VLOOKUP($A14&amp;"-"&amp;I$2,CHOOSE({1,2}, 'S12 Operations'!$C$2:$C$533&amp;"-"&amp;'S12 Operations'!$D$2:$D$533, 'S12 Operations'!$E$2:$E$533), 2, 0), "")</f>
        <v>WS-44</v>
      </c>
    </row>
    <row r="15" spans="1:9" x14ac:dyDescent="0.2">
      <c r="A15" s="50" t="str">
        <f>'S08 ABC Output'!A15</f>
        <v>I-073</v>
      </c>
      <c r="B15" s="51" t="str">
        <f t="array" ref="B15">IFERROR(VLOOKUP($A15&amp;"-"&amp;B$2,CHOOSE({1,2}, 'S12 Operations'!$C$2:$C$533&amp;"-"&amp;'S12 Operations'!$D$2:$D$533, 'S12 Operations'!$E$2:$E$533), 2, 0), "")</f>
        <v>WS-43</v>
      </c>
      <c r="C15" s="51" t="str">
        <f t="array" ref="C15">IFERROR(VLOOKUP($A15&amp;"-"&amp;C$2,CHOOSE({1,2}, 'S12 Operations'!$C$2:$C$533&amp;"-"&amp;'S12 Operations'!$D$2:$D$533, 'S12 Operations'!$E$2:$E$533), 2, 0), "")</f>
        <v>WS-38</v>
      </c>
      <c r="D15" s="51" t="str">
        <f t="array" ref="D15">IFERROR(VLOOKUP($A15&amp;"-"&amp;D$2,CHOOSE({1,2}, 'S12 Operations'!$C$2:$C$533&amp;"-"&amp;'S12 Operations'!$D$2:$D$533, 'S12 Operations'!$E$2:$E$533), 2, 0), "")</f>
        <v>WS-07</v>
      </c>
      <c r="E15" s="51" t="str">
        <f t="array" ref="E15">IFERROR(VLOOKUP($A15&amp;"-"&amp;E$2,CHOOSE({1,2}, 'S12 Operations'!$C$2:$C$533&amp;"-"&amp;'S12 Operations'!$D$2:$D$533, 'S12 Operations'!$E$2:$E$533), 2, 0), "")</f>
        <v>WS-21</v>
      </c>
      <c r="F15" s="51" t="str">
        <f t="array" ref="F15">IFERROR(VLOOKUP($A15&amp;"-"&amp;F$2,CHOOSE({1,2}, 'S12 Operations'!$C$2:$C$533&amp;"-"&amp;'S12 Operations'!$D$2:$D$533, 'S12 Operations'!$E$2:$E$533), 2, 0), "")</f>
        <v>WS-28</v>
      </c>
      <c r="G15" s="51" t="str">
        <f t="array" ref="G15">IFERROR(VLOOKUP($A15&amp;"-"&amp;G$2,CHOOSE({1,2}, 'S12 Operations'!$C$2:$C$533&amp;"-"&amp;'S12 Operations'!$D$2:$D$533, 'S12 Operations'!$E$2:$E$533), 2, 0), "")</f>
        <v>WS-27</v>
      </c>
      <c r="H15" s="51" t="str">
        <f t="array" ref="H15">IFERROR(VLOOKUP($A15&amp;"-"&amp;H$2,CHOOSE({1,2}, 'S12 Operations'!$C$2:$C$533&amp;"-"&amp;'S12 Operations'!$D$2:$D$533, 'S12 Operations'!$E$2:$E$533), 2, 0), "")</f>
        <v>WS-32</v>
      </c>
      <c r="I15" s="51" t="str">
        <f t="array" ref="I15">IFERROR(VLOOKUP($A15&amp;"-"&amp;I$2,CHOOSE({1,2}, 'S12 Operations'!$C$2:$C$533&amp;"-"&amp;'S12 Operations'!$D$2:$D$533, 'S12 Operations'!$E$2:$E$533), 2, 0), "")</f>
        <v>WS-44</v>
      </c>
    </row>
    <row r="16" spans="1:9" x14ac:dyDescent="0.2">
      <c r="A16" s="50" t="str">
        <f>'S08 ABC Output'!A16</f>
        <v>I-071</v>
      </c>
      <c r="B16" s="51" t="str">
        <f t="array" ref="B16">IFERROR(VLOOKUP($A16&amp;"-"&amp;B$2,CHOOSE({1,2}, 'S12 Operations'!$C$2:$C$533&amp;"-"&amp;'S12 Operations'!$D$2:$D$533, 'S12 Operations'!$E$2:$E$533), 2, 0), "")</f>
        <v>WS-43</v>
      </c>
      <c r="C16" s="51" t="str">
        <f t="array" ref="C16">IFERROR(VLOOKUP($A16&amp;"-"&amp;C$2,CHOOSE({1,2}, 'S12 Operations'!$C$2:$C$533&amp;"-"&amp;'S12 Operations'!$D$2:$D$533, 'S12 Operations'!$E$2:$E$533), 2, 0), "")</f>
        <v>WS-36</v>
      </c>
      <c r="D16" s="51" t="str">
        <f t="array" ref="D16">IFERROR(VLOOKUP($A16&amp;"-"&amp;D$2,CHOOSE({1,2}, 'S12 Operations'!$C$2:$C$533&amp;"-"&amp;'S12 Operations'!$D$2:$D$533, 'S12 Operations'!$E$2:$E$533), 2, 0), "")</f>
        <v>WS-05</v>
      </c>
      <c r="E16" s="51" t="str">
        <f t="array" ref="E16">IFERROR(VLOOKUP($A16&amp;"-"&amp;E$2,CHOOSE({1,2}, 'S12 Operations'!$C$2:$C$533&amp;"-"&amp;'S12 Operations'!$D$2:$D$533, 'S12 Operations'!$E$2:$E$533), 2, 0), "")</f>
        <v>WS-25</v>
      </c>
      <c r="F16" s="51" t="str">
        <f t="array" ref="F16">IFERROR(VLOOKUP($A16&amp;"-"&amp;F$2,CHOOSE({1,2}, 'S12 Operations'!$C$2:$C$533&amp;"-"&amp;'S12 Operations'!$D$2:$D$533, 'S12 Operations'!$E$2:$E$533), 2, 0), "")</f>
        <v>WS-34</v>
      </c>
      <c r="G16" s="51" t="str">
        <f t="array" ref="G16">IFERROR(VLOOKUP($A16&amp;"-"&amp;G$2,CHOOSE({1,2}, 'S12 Operations'!$C$2:$C$533&amp;"-"&amp;'S12 Operations'!$D$2:$D$533, 'S12 Operations'!$E$2:$E$533), 2, 0), "")</f>
        <v>WS-44</v>
      </c>
      <c r="H16" s="51" t="str">
        <f t="array" ref="H16">IFERROR(VLOOKUP($A16&amp;"-"&amp;H$2,CHOOSE({1,2}, 'S12 Operations'!$C$2:$C$533&amp;"-"&amp;'S12 Operations'!$D$2:$D$533, 'S12 Operations'!$E$2:$E$533), 2, 0), "")</f>
        <v/>
      </c>
      <c r="I16" s="51" t="str">
        <f t="array" ref="I16">IFERROR(VLOOKUP($A16&amp;"-"&amp;I$2,CHOOSE({1,2}, 'S12 Operations'!$C$2:$C$533&amp;"-"&amp;'S12 Operations'!$D$2:$D$533, 'S12 Operations'!$E$2:$E$533), 2, 0), "")</f>
        <v/>
      </c>
    </row>
    <row r="17" spans="1:9" x14ac:dyDescent="0.2">
      <c r="A17" s="50" t="str">
        <f>'S08 ABC Output'!A17</f>
        <v>I-007</v>
      </c>
      <c r="B17" s="51" t="str">
        <f t="array" ref="B17">IFERROR(VLOOKUP($A17&amp;"-"&amp;B$2,CHOOSE({1,2}, 'S12 Operations'!$C$2:$C$533&amp;"-"&amp;'S12 Operations'!$D$2:$D$533, 'S12 Operations'!$E$2:$E$533), 2, 0), "")</f>
        <v>WS-43</v>
      </c>
      <c r="C17" s="51" t="str">
        <f t="array" ref="C17">IFERROR(VLOOKUP($A17&amp;"-"&amp;C$2,CHOOSE({1,2}, 'S12 Operations'!$C$2:$C$533&amp;"-"&amp;'S12 Operations'!$D$2:$D$533, 'S12 Operations'!$E$2:$E$533), 2, 0), "")</f>
        <v>WS-40</v>
      </c>
      <c r="D17" s="51" t="str">
        <f t="array" ref="D17">IFERROR(VLOOKUP($A17&amp;"-"&amp;D$2,CHOOSE({1,2}, 'S12 Operations'!$C$2:$C$533&amp;"-"&amp;'S12 Operations'!$D$2:$D$533, 'S12 Operations'!$E$2:$E$533), 2, 0), "")</f>
        <v>WS-02</v>
      </c>
      <c r="E17" s="51" t="str">
        <f t="array" ref="E17">IFERROR(VLOOKUP($A17&amp;"-"&amp;E$2,CHOOSE({1,2}, 'S12 Operations'!$C$2:$C$533&amp;"-"&amp;'S12 Operations'!$D$2:$D$533, 'S12 Operations'!$E$2:$E$533), 2, 0), "")</f>
        <v>WS-18</v>
      </c>
      <c r="F17" s="51" t="str">
        <f t="array" ref="F17">IFERROR(VLOOKUP($A17&amp;"-"&amp;F$2,CHOOSE({1,2}, 'S12 Operations'!$C$2:$C$533&amp;"-"&amp;'S12 Operations'!$D$2:$D$533, 'S12 Operations'!$E$2:$E$533), 2, 0), "")</f>
        <v>WS-24</v>
      </c>
      <c r="G17" s="51" t="str">
        <f t="array" ref="G17">IFERROR(VLOOKUP($A17&amp;"-"&amp;G$2,CHOOSE({1,2}, 'S12 Operations'!$C$2:$C$533&amp;"-"&amp;'S12 Operations'!$D$2:$D$533, 'S12 Operations'!$E$2:$E$533), 2, 0), "")</f>
        <v>WS-29</v>
      </c>
      <c r="H17" s="51" t="str">
        <f t="array" ref="H17">IFERROR(VLOOKUP($A17&amp;"-"&amp;H$2,CHOOSE({1,2}, 'S12 Operations'!$C$2:$C$533&amp;"-"&amp;'S12 Operations'!$D$2:$D$533, 'S12 Operations'!$E$2:$E$533), 2, 0), "")</f>
        <v>WS-33</v>
      </c>
      <c r="I17" s="51" t="str">
        <f t="array" ref="I17">IFERROR(VLOOKUP($A17&amp;"-"&amp;I$2,CHOOSE({1,2}, 'S12 Operations'!$C$2:$C$533&amp;"-"&amp;'S12 Operations'!$D$2:$D$533, 'S12 Operations'!$E$2:$E$533), 2, 0), "")</f>
        <v>WS-44</v>
      </c>
    </row>
    <row r="18" spans="1:9" x14ac:dyDescent="0.2">
      <c r="A18" s="50" t="str">
        <f>'S08 ABC Output'!A18</f>
        <v>I-074</v>
      </c>
      <c r="B18" s="51" t="str">
        <f t="array" ref="B18">IFERROR(VLOOKUP($A18&amp;"-"&amp;B$2,CHOOSE({1,2}, 'S12 Operations'!$C$2:$C$533&amp;"-"&amp;'S12 Operations'!$D$2:$D$533, 'S12 Operations'!$E$2:$E$533), 2, 0), "")</f>
        <v>WS-43</v>
      </c>
      <c r="C18" s="51" t="str">
        <f t="array" ref="C18">IFERROR(VLOOKUP($A18&amp;"-"&amp;C$2,CHOOSE({1,2}, 'S12 Operations'!$C$2:$C$533&amp;"-"&amp;'S12 Operations'!$D$2:$D$533, 'S12 Operations'!$E$2:$E$533), 2, 0), "")</f>
        <v>WS-38</v>
      </c>
      <c r="D18" s="51" t="str">
        <f t="array" ref="D18">IFERROR(VLOOKUP($A18&amp;"-"&amp;D$2,CHOOSE({1,2}, 'S12 Operations'!$C$2:$C$533&amp;"-"&amp;'S12 Operations'!$D$2:$D$533, 'S12 Operations'!$E$2:$E$533), 2, 0), "")</f>
        <v>WS-07</v>
      </c>
      <c r="E18" s="51" t="str">
        <f t="array" ref="E18">IFERROR(VLOOKUP($A18&amp;"-"&amp;E$2,CHOOSE({1,2}, 'S12 Operations'!$C$2:$C$533&amp;"-"&amp;'S12 Operations'!$D$2:$D$533, 'S12 Operations'!$E$2:$E$533), 2, 0), "")</f>
        <v>WS-21</v>
      </c>
      <c r="F18" s="51" t="str">
        <f t="array" ref="F18">IFERROR(VLOOKUP($A18&amp;"-"&amp;F$2,CHOOSE({1,2}, 'S12 Operations'!$C$2:$C$533&amp;"-"&amp;'S12 Operations'!$D$2:$D$533, 'S12 Operations'!$E$2:$E$533), 2, 0), "")</f>
        <v>WS-28</v>
      </c>
      <c r="G18" s="51" t="str">
        <f t="array" ref="G18">IFERROR(VLOOKUP($A18&amp;"-"&amp;G$2,CHOOSE({1,2}, 'S12 Operations'!$C$2:$C$533&amp;"-"&amp;'S12 Operations'!$D$2:$D$533, 'S12 Operations'!$E$2:$E$533), 2, 0), "")</f>
        <v>WS-27</v>
      </c>
      <c r="H18" s="51" t="str">
        <f t="array" ref="H18">IFERROR(VLOOKUP($A18&amp;"-"&amp;H$2,CHOOSE({1,2}, 'S12 Operations'!$C$2:$C$533&amp;"-"&amp;'S12 Operations'!$D$2:$D$533, 'S12 Operations'!$E$2:$E$533), 2, 0), "")</f>
        <v>WS-32</v>
      </c>
      <c r="I18" s="51" t="str">
        <f t="array" ref="I18">IFERROR(VLOOKUP($A18&amp;"-"&amp;I$2,CHOOSE({1,2}, 'S12 Operations'!$C$2:$C$533&amp;"-"&amp;'S12 Operations'!$D$2:$D$533, 'S12 Operations'!$E$2:$E$533), 2, 0), "")</f>
        <v>WS-44</v>
      </c>
    </row>
  </sheetData>
  <mergeCells count="1">
    <mergeCell ref="B1:I1"/>
  </mergeCells>
  <pageMargins left="0.7" right="0.7" top="0.75" bottom="0.75" header="0.3" footer="0.3"/>
  <pageSetup orientation="portrait" horizontalDpi="4294967293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9EAD6B-0BF1-7744-A5CE-6436B46154E7}">
  <sheetPr codeName="Sheet14"/>
  <dimension ref="A1:AA37"/>
  <sheetViews>
    <sheetView zoomScale="134" zoomScaleNormal="69" workbookViewId="0">
      <selection activeCell="A3" sqref="A3:A18"/>
    </sheetView>
  </sheetViews>
  <sheetFormatPr baseColWidth="10" defaultColWidth="11" defaultRowHeight="16" x14ac:dyDescent="0.2"/>
  <cols>
    <col min="1" max="1" width="10.83203125" style="66"/>
    <col min="2" max="27" width="8" customWidth="1"/>
    <col min="28" max="227" width="10.83203125"/>
  </cols>
  <sheetData>
    <row r="1" spans="1:27" ht="18" thickBot="1" x14ac:dyDescent="0.25">
      <c r="A1" s="208" t="s">
        <v>933</v>
      </c>
      <c r="B1" s="52" t="s">
        <v>566</v>
      </c>
      <c r="C1" s="335" t="s">
        <v>567</v>
      </c>
      <c r="D1" s="336"/>
      <c r="E1" s="337"/>
      <c r="F1" s="332" t="s">
        <v>568</v>
      </c>
      <c r="G1" s="333"/>
      <c r="H1" s="334"/>
      <c r="I1" s="335" t="s">
        <v>569</v>
      </c>
      <c r="J1" s="336"/>
      <c r="K1" s="336"/>
      <c r="L1" s="336"/>
      <c r="M1" s="336"/>
      <c r="N1" s="336"/>
      <c r="O1" s="336"/>
      <c r="P1" s="337"/>
      <c r="Q1" s="332" t="s">
        <v>570</v>
      </c>
      <c r="R1" s="333"/>
      <c r="S1" s="333"/>
      <c r="T1" s="334"/>
      <c r="U1" s="335" t="s">
        <v>571</v>
      </c>
      <c r="V1" s="337"/>
      <c r="W1" s="332" t="s">
        <v>567</v>
      </c>
      <c r="X1" s="333"/>
      <c r="Y1" s="334"/>
      <c r="Z1" s="148" t="s">
        <v>572</v>
      </c>
      <c r="AA1" s="52" t="s">
        <v>566</v>
      </c>
    </row>
    <row r="2" spans="1:27" ht="18" thickBot="1" x14ac:dyDescent="0.25">
      <c r="A2" s="161" t="s">
        <v>170</v>
      </c>
      <c r="B2" s="149" t="s">
        <v>616</v>
      </c>
      <c r="C2" s="150" t="s">
        <v>609</v>
      </c>
      <c r="D2" s="151" t="s">
        <v>611</v>
      </c>
      <c r="E2" s="152" t="s">
        <v>613</v>
      </c>
      <c r="F2" s="153" t="s">
        <v>575</v>
      </c>
      <c r="G2" s="154" t="s">
        <v>577</v>
      </c>
      <c r="H2" s="155" t="s">
        <v>580</v>
      </c>
      <c r="I2" s="150" t="s">
        <v>576</v>
      </c>
      <c r="J2" s="151" t="s">
        <v>578</v>
      </c>
      <c r="K2" s="151" t="s">
        <v>581</v>
      </c>
      <c r="L2" s="151" t="s">
        <v>591</v>
      </c>
      <c r="M2" s="151" t="s">
        <v>593</v>
      </c>
      <c r="N2" s="151" t="s">
        <v>594</v>
      </c>
      <c r="O2" s="151" t="s">
        <v>596</v>
      </c>
      <c r="P2" s="152" t="s">
        <v>597</v>
      </c>
      <c r="Q2" s="153" t="s">
        <v>598</v>
      </c>
      <c r="R2" s="154" t="s">
        <v>599</v>
      </c>
      <c r="S2" s="154" t="s">
        <v>601</v>
      </c>
      <c r="T2" s="155" t="s">
        <v>604</v>
      </c>
      <c r="U2" s="150" t="s">
        <v>600</v>
      </c>
      <c r="V2" s="152" t="s">
        <v>602</v>
      </c>
      <c r="W2" s="153" t="s">
        <v>605</v>
      </c>
      <c r="X2" s="154" t="s">
        <v>606</v>
      </c>
      <c r="Y2" s="155" t="s">
        <v>607</v>
      </c>
      <c r="Z2" s="156" t="s">
        <v>615</v>
      </c>
      <c r="AA2" s="149" t="s">
        <v>617</v>
      </c>
    </row>
    <row r="3" spans="1:27" ht="17" x14ac:dyDescent="0.2">
      <c r="A3" s="179" t="str">
        <f>'S08 ABC Output'!A4</f>
        <v>I-004</v>
      </c>
      <c r="B3" s="157">
        <f t="array" ref="B3">IFERROR(VLOOKUP($A3&amp;"-"&amp;B$2, CHOOSE({1,2}, 'S12 Operations'!$C$2:$C$533&amp;"-"&amp;'S12 Operations'!$E$2:$E$533, 'S12 Operations'!$D$2:$D$533), 2, 0), "")</f>
        <v>10</v>
      </c>
      <c r="C3" s="169">
        <f t="array" ref="C3">IFERROR(VLOOKUP($A3&amp;"-"&amp;C$2, CHOOSE({1,2}, 'S12 Operations'!$C$2:$C$533&amp;"-"&amp;'S12 Operations'!$E$2:$E$533, 'S12 Operations'!$D$2:$D$533), 2, 0), "")</f>
        <v>20</v>
      </c>
      <c r="D3" s="170" t="str">
        <f t="array" ref="D3">IFERROR(VLOOKUP($A3&amp;"-"&amp;D$2, CHOOSE({1,2}, 'S12 Operations'!$C$2:$C$533&amp;"-"&amp;'S12 Operations'!$E$2:$E$533, 'S12 Operations'!$D$2:$D$533), 2, 0), "")</f>
        <v/>
      </c>
      <c r="E3" s="171" t="str">
        <f t="array" ref="E3">IFERROR(VLOOKUP($A3&amp;"-"&amp;E$2, CHOOSE({1,2}, 'S12 Operations'!$C$2:$C$533&amp;"-"&amp;'S12 Operations'!$E$2:$E$533, 'S12 Operations'!$D$2:$D$533), 2, 0), "")</f>
        <v/>
      </c>
      <c r="F3" s="172" t="str">
        <f t="array" ref="F3">IFERROR(VLOOKUP($A3&amp;"-"&amp;F$2, CHOOSE({1,2}, 'S12 Operations'!$C$2:$C$533&amp;"-"&amp;'S12 Operations'!$E$2:$E$533, 'S12 Operations'!$D$2:$D$533), 2, 0), "")</f>
        <v/>
      </c>
      <c r="G3" s="173" t="str">
        <f t="array" ref="G3">IFERROR(VLOOKUP($A3&amp;"-"&amp;G$2, CHOOSE({1,2}, 'S12 Operations'!$C$2:$C$533&amp;"-"&amp;'S12 Operations'!$E$2:$E$533, 'S12 Operations'!$D$2:$D$533), 2, 0), "")</f>
        <v/>
      </c>
      <c r="H3" s="174" t="str">
        <f t="array" ref="H3">IFERROR(VLOOKUP($A3&amp;"-"&amp;H$2, CHOOSE({1,2}, 'S12 Operations'!$C$2:$C$533&amp;"-"&amp;'S12 Operations'!$E$2:$E$533, 'S12 Operations'!$D$2:$D$533), 2, 0), "")</f>
        <v/>
      </c>
      <c r="I3" s="169" t="str">
        <f t="array" ref="I3">IFERROR(VLOOKUP($A3&amp;"-"&amp;I$2, CHOOSE({1,2}, 'S12 Operations'!$C$2:$C$533&amp;"-"&amp;'S12 Operations'!$E$2:$E$533, 'S12 Operations'!$D$2:$D$533), 2, 0), "")</f>
        <v/>
      </c>
      <c r="J3" s="170">
        <f t="array" ref="J3">IFERROR(VLOOKUP($A3&amp;"-"&amp;J$2, CHOOSE({1,2}, 'S12 Operations'!$C$2:$C$533&amp;"-"&amp;'S12 Operations'!$E$2:$E$533, 'S12 Operations'!$D$2:$D$533), 2, 0), "")</f>
        <v>30</v>
      </c>
      <c r="K3" s="170" t="str">
        <f t="array" ref="K3">IFERROR(VLOOKUP($A3&amp;"-"&amp;K$2, CHOOSE({1,2}, 'S12 Operations'!$C$2:$C$533&amp;"-"&amp;'S12 Operations'!$E$2:$E$533, 'S12 Operations'!$D$2:$D$533), 2, 0), "")</f>
        <v/>
      </c>
      <c r="L3" s="170" t="str">
        <f t="array" ref="L3">IFERROR(VLOOKUP($A3&amp;"-"&amp;L$2, CHOOSE({1,2}, 'S12 Operations'!$C$2:$C$533&amp;"-"&amp;'S12 Operations'!$E$2:$E$533, 'S12 Operations'!$D$2:$D$533), 2, 0), "")</f>
        <v/>
      </c>
      <c r="M3" s="170" t="str">
        <f t="array" ref="M3">IFERROR(VLOOKUP($A3&amp;"-"&amp;M$2, CHOOSE({1,2}, 'S12 Operations'!$C$2:$C$533&amp;"-"&amp;'S12 Operations'!$E$2:$E$533, 'S12 Operations'!$D$2:$D$533), 2, 0), "")</f>
        <v/>
      </c>
      <c r="N3" s="170" t="str">
        <f t="array" ref="N3">IFERROR(VLOOKUP($A3&amp;"-"&amp;N$2, CHOOSE({1,2}, 'S12 Operations'!$C$2:$C$533&amp;"-"&amp;'S12 Operations'!$E$2:$E$533, 'S12 Operations'!$D$2:$D$533), 2, 0), "")</f>
        <v/>
      </c>
      <c r="O3" s="170" t="str">
        <f t="array" ref="O3">IFERROR(VLOOKUP($A3&amp;"-"&amp;O$2, CHOOSE({1,2}, 'S12 Operations'!$C$2:$C$533&amp;"-"&amp;'S12 Operations'!$E$2:$E$533, 'S12 Operations'!$D$2:$D$533), 2, 0), "")</f>
        <v/>
      </c>
      <c r="P3" s="171" t="str">
        <f t="array" ref="P3">IFERROR(VLOOKUP($A3&amp;"-"&amp;P$2, CHOOSE({1,2}, 'S12 Operations'!$C$2:$C$533&amp;"-"&amp;'S12 Operations'!$E$2:$E$533, 'S12 Operations'!$D$2:$D$533), 2, 0), "")</f>
        <v/>
      </c>
      <c r="Q3" s="172">
        <f t="array" ref="Q3">IFERROR(VLOOKUP($A3&amp;"-"&amp;Q$2, CHOOSE({1,2}, 'S12 Operations'!$C$2:$C$533&amp;"-"&amp;'S12 Operations'!$E$2:$E$533, 'S12 Operations'!$D$2:$D$533), 2, 0), "")</f>
        <v>40</v>
      </c>
      <c r="R3" s="173" t="str">
        <f t="array" ref="R3">IFERROR(VLOOKUP($A3&amp;"-"&amp;R$2, CHOOSE({1,2}, 'S12 Operations'!$C$2:$C$533&amp;"-"&amp;'S12 Operations'!$E$2:$E$533, 'S12 Operations'!$D$2:$D$533), 2, 0), "")</f>
        <v/>
      </c>
      <c r="S3" s="173" t="str">
        <f t="array" ref="S3">IFERROR(VLOOKUP($A3&amp;"-"&amp;S$2, CHOOSE({1,2}, 'S12 Operations'!$C$2:$C$533&amp;"-"&amp;'S12 Operations'!$E$2:$E$533, 'S12 Operations'!$D$2:$D$533), 2, 0), "")</f>
        <v/>
      </c>
      <c r="T3" s="174" t="str">
        <f t="array" ref="T3">IFERROR(VLOOKUP($A3&amp;"-"&amp;T$2, CHOOSE({1,2}, 'S12 Operations'!$C$2:$C$533&amp;"-"&amp;'S12 Operations'!$E$2:$E$533, 'S12 Operations'!$D$2:$D$533), 2, 0), "")</f>
        <v/>
      </c>
      <c r="U3" s="169" t="str">
        <f t="array" ref="U3">IFERROR(VLOOKUP($A3&amp;"-"&amp;U$2, CHOOSE({1,2}, 'S12 Operations'!$C$2:$C$533&amp;"-"&amp;'S12 Operations'!$E$2:$E$533, 'S12 Operations'!$D$2:$D$533), 2, 0), "")</f>
        <v/>
      </c>
      <c r="V3" s="171" t="str">
        <f t="array" ref="V3">IFERROR(VLOOKUP($A3&amp;"-"&amp;V$2, CHOOSE({1,2}, 'S12 Operations'!$C$2:$C$533&amp;"-"&amp;'S12 Operations'!$E$2:$E$533, 'S12 Operations'!$D$2:$D$533), 2, 0), "")</f>
        <v/>
      </c>
      <c r="W3" s="172" t="str">
        <f t="array" ref="W3">IFERROR(VLOOKUP($A3&amp;"-"&amp;W$2, CHOOSE({1,2}, 'S12 Operations'!$C$2:$C$533&amp;"-"&amp;'S12 Operations'!$E$2:$E$533, 'S12 Operations'!$D$2:$D$533), 2, 0), "")</f>
        <v/>
      </c>
      <c r="X3" s="173" t="str">
        <f t="array" ref="X3">IFERROR(VLOOKUP($A3&amp;"-"&amp;X$2, CHOOSE({1,2}, 'S12 Operations'!$C$2:$C$533&amp;"-"&amp;'S12 Operations'!$E$2:$E$533, 'S12 Operations'!$D$2:$D$533), 2, 0), "")</f>
        <v/>
      </c>
      <c r="Y3" s="174">
        <f t="array" ref="Y3">IFERROR(VLOOKUP($A3&amp;"-"&amp;Y$2, CHOOSE({1,2}, 'S12 Operations'!$C$2:$C$533&amp;"-"&amp;'S12 Operations'!$E$2:$E$533, 'S12 Operations'!$D$2:$D$533), 2, 0), "")</f>
        <v>50</v>
      </c>
      <c r="Z3" s="158" t="str">
        <f t="array" ref="Z3">IFERROR(VLOOKUP($A3&amp;"-"&amp;Z$2, CHOOSE({1,2}, 'S12 Operations'!$C$2:$C$533&amp;"-"&amp;'S12 Operations'!$E$2:$E$533, 'S12 Operations'!$D$2:$D$533), 2, 0), "")</f>
        <v/>
      </c>
      <c r="AA3" s="157">
        <f t="array" ref="AA3">IFERROR(VLOOKUP($A3&amp;"-"&amp;AA$2, CHOOSE({1,2}, 'S12 Operations'!$C$2:$C$533&amp;"-"&amp;'S12 Operations'!$E$2:$E$533, 'S12 Operations'!$D$2:$D$533), 2, 0), "")</f>
        <v>60</v>
      </c>
    </row>
    <row r="4" spans="1:27" ht="17" x14ac:dyDescent="0.2">
      <c r="A4" s="180" t="str">
        <f>'S08 ABC Output'!A11</f>
        <v>I-066</v>
      </c>
      <c r="B4" s="59">
        <f t="array" ref="B4">IFERROR(VLOOKUP($A4&amp;"-"&amp;B$2, CHOOSE({1,2}, 'S12 Operations'!$C$2:$C$533&amp;"-"&amp;'S12 Operations'!$E$2:$E$533, 'S12 Operations'!$D$2:$D$533), 2, 0), "")</f>
        <v>10</v>
      </c>
      <c r="C4" s="162">
        <f t="array" ref="C4">IFERROR(VLOOKUP($A4&amp;"-"&amp;C$2, CHOOSE({1,2}, 'S12 Operations'!$C$2:$C$533&amp;"-"&amp;'S12 Operations'!$E$2:$E$533, 'S12 Operations'!$D$2:$D$533), 2, 0), "")</f>
        <v>20</v>
      </c>
      <c r="D4" s="160" t="str">
        <f t="array" ref="D4">IFERROR(VLOOKUP($A4&amp;"-"&amp;D$2, CHOOSE({1,2}, 'S12 Operations'!$C$2:$C$533&amp;"-"&amp;'S12 Operations'!$E$2:$E$533, 'S12 Operations'!$D$2:$D$533), 2, 0), "")</f>
        <v/>
      </c>
      <c r="E4" s="163" t="str">
        <f t="array" ref="E4">IFERROR(VLOOKUP($A4&amp;"-"&amp;E$2, CHOOSE({1,2}, 'S12 Operations'!$C$2:$C$533&amp;"-"&amp;'S12 Operations'!$E$2:$E$533, 'S12 Operations'!$D$2:$D$533), 2, 0), "")</f>
        <v/>
      </c>
      <c r="F4" s="60" t="str">
        <f t="array" ref="F4">IFERROR(VLOOKUP($A4&amp;"-"&amp;F$2, CHOOSE({1,2}, 'S12 Operations'!$C$2:$C$533&amp;"-"&amp;'S12 Operations'!$E$2:$E$533, 'S12 Operations'!$D$2:$D$533), 2, 0), "")</f>
        <v/>
      </c>
      <c r="G4" s="4" t="str">
        <f t="array" ref="G4">IFERROR(VLOOKUP($A4&amp;"-"&amp;G$2, CHOOSE({1,2}, 'S12 Operations'!$C$2:$C$533&amp;"-"&amp;'S12 Operations'!$E$2:$E$533, 'S12 Operations'!$D$2:$D$533), 2, 0), "")</f>
        <v/>
      </c>
      <c r="H4" s="61" t="str">
        <f t="array" ref="H4">IFERROR(VLOOKUP($A4&amp;"-"&amp;H$2, CHOOSE({1,2}, 'S12 Operations'!$C$2:$C$533&amp;"-"&amp;'S12 Operations'!$E$2:$E$533, 'S12 Operations'!$D$2:$D$533), 2, 0), "")</f>
        <v/>
      </c>
      <c r="I4" s="162" t="str">
        <f t="array" ref="I4">IFERROR(VLOOKUP($A4&amp;"-"&amp;I$2, CHOOSE({1,2}, 'S12 Operations'!$C$2:$C$533&amp;"-"&amp;'S12 Operations'!$E$2:$E$533, 'S12 Operations'!$D$2:$D$533), 2, 0), "")</f>
        <v/>
      </c>
      <c r="J4" s="160">
        <f t="array" ref="J4">IFERROR(VLOOKUP($A4&amp;"-"&amp;J$2, CHOOSE({1,2}, 'S12 Operations'!$C$2:$C$533&amp;"-"&amp;'S12 Operations'!$E$2:$E$533, 'S12 Operations'!$D$2:$D$533), 2, 0), "")</f>
        <v>30</v>
      </c>
      <c r="K4" s="160" t="str">
        <f t="array" ref="K4">IFERROR(VLOOKUP($A4&amp;"-"&amp;K$2, CHOOSE({1,2}, 'S12 Operations'!$C$2:$C$533&amp;"-"&amp;'S12 Operations'!$E$2:$E$533, 'S12 Operations'!$D$2:$D$533), 2, 0), "")</f>
        <v/>
      </c>
      <c r="L4" s="160" t="str">
        <f t="array" ref="L4">IFERROR(VLOOKUP($A4&amp;"-"&amp;L$2, CHOOSE({1,2}, 'S12 Operations'!$C$2:$C$533&amp;"-"&amp;'S12 Operations'!$E$2:$E$533, 'S12 Operations'!$D$2:$D$533), 2, 0), "")</f>
        <v/>
      </c>
      <c r="M4" s="160" t="str">
        <f t="array" ref="M4">IFERROR(VLOOKUP($A4&amp;"-"&amp;M$2, CHOOSE({1,2}, 'S12 Operations'!$C$2:$C$533&amp;"-"&amp;'S12 Operations'!$E$2:$E$533, 'S12 Operations'!$D$2:$D$533), 2, 0), "")</f>
        <v/>
      </c>
      <c r="N4" s="160" t="str">
        <f t="array" ref="N4">IFERROR(VLOOKUP($A4&amp;"-"&amp;N$2, CHOOSE({1,2}, 'S12 Operations'!$C$2:$C$533&amp;"-"&amp;'S12 Operations'!$E$2:$E$533, 'S12 Operations'!$D$2:$D$533), 2, 0), "")</f>
        <v/>
      </c>
      <c r="O4" s="160" t="str">
        <f t="array" ref="O4">IFERROR(VLOOKUP($A4&amp;"-"&amp;O$2, CHOOSE({1,2}, 'S12 Operations'!$C$2:$C$533&amp;"-"&amp;'S12 Operations'!$E$2:$E$533, 'S12 Operations'!$D$2:$D$533), 2, 0), "")</f>
        <v/>
      </c>
      <c r="P4" s="163" t="str">
        <f t="array" ref="P4">IFERROR(VLOOKUP($A4&amp;"-"&amp;P$2, CHOOSE({1,2}, 'S12 Operations'!$C$2:$C$533&amp;"-"&amp;'S12 Operations'!$E$2:$E$533, 'S12 Operations'!$D$2:$D$533), 2, 0), "")</f>
        <v/>
      </c>
      <c r="Q4" s="60">
        <f t="array" ref="Q4">IFERROR(VLOOKUP($A4&amp;"-"&amp;Q$2, CHOOSE({1,2}, 'S12 Operations'!$C$2:$C$533&amp;"-"&amp;'S12 Operations'!$E$2:$E$533, 'S12 Operations'!$D$2:$D$533), 2, 0), "")</f>
        <v>40</v>
      </c>
      <c r="R4" s="4" t="str">
        <f t="array" ref="R4">IFERROR(VLOOKUP($A4&amp;"-"&amp;R$2, CHOOSE({1,2}, 'S12 Operations'!$C$2:$C$533&amp;"-"&amp;'S12 Operations'!$E$2:$E$533, 'S12 Operations'!$D$2:$D$533), 2, 0), "")</f>
        <v/>
      </c>
      <c r="S4" s="4" t="str">
        <f t="array" ref="S4">IFERROR(VLOOKUP($A4&amp;"-"&amp;S$2, CHOOSE({1,2}, 'S12 Operations'!$C$2:$C$533&amp;"-"&amp;'S12 Operations'!$E$2:$E$533, 'S12 Operations'!$D$2:$D$533), 2, 0), "")</f>
        <v/>
      </c>
      <c r="T4" s="61" t="str">
        <f t="array" ref="T4">IFERROR(VLOOKUP($A4&amp;"-"&amp;T$2, CHOOSE({1,2}, 'S12 Operations'!$C$2:$C$533&amp;"-"&amp;'S12 Operations'!$E$2:$E$533, 'S12 Operations'!$D$2:$D$533), 2, 0), "")</f>
        <v/>
      </c>
      <c r="U4" s="162" t="str">
        <f t="array" ref="U4">IFERROR(VLOOKUP($A4&amp;"-"&amp;U$2, CHOOSE({1,2}, 'S12 Operations'!$C$2:$C$533&amp;"-"&amp;'S12 Operations'!$E$2:$E$533, 'S12 Operations'!$D$2:$D$533), 2, 0), "")</f>
        <v/>
      </c>
      <c r="V4" s="163" t="str">
        <f t="array" ref="V4">IFERROR(VLOOKUP($A4&amp;"-"&amp;V$2, CHOOSE({1,2}, 'S12 Operations'!$C$2:$C$533&amp;"-"&amp;'S12 Operations'!$E$2:$E$533, 'S12 Operations'!$D$2:$D$533), 2, 0), "")</f>
        <v/>
      </c>
      <c r="W4" s="60" t="str">
        <f t="array" ref="W4">IFERROR(VLOOKUP($A4&amp;"-"&amp;W$2, CHOOSE({1,2}, 'S12 Operations'!$C$2:$C$533&amp;"-"&amp;'S12 Operations'!$E$2:$E$533, 'S12 Operations'!$D$2:$D$533), 2, 0), "")</f>
        <v/>
      </c>
      <c r="X4" s="4" t="str">
        <f t="array" ref="X4">IFERROR(VLOOKUP($A4&amp;"-"&amp;X$2, CHOOSE({1,2}, 'S12 Operations'!$C$2:$C$533&amp;"-"&amp;'S12 Operations'!$E$2:$E$533, 'S12 Operations'!$D$2:$D$533), 2, 0), "")</f>
        <v/>
      </c>
      <c r="Y4" s="61">
        <f t="array" ref="Y4">IFERROR(VLOOKUP($A4&amp;"-"&amp;Y$2, CHOOSE({1,2}, 'S12 Operations'!$C$2:$C$533&amp;"-"&amp;'S12 Operations'!$E$2:$E$533, 'S12 Operations'!$D$2:$D$533), 2, 0), "")</f>
        <v>50</v>
      </c>
      <c r="Z4" s="167" t="str">
        <f t="array" ref="Z4">IFERROR(VLOOKUP($A4&amp;"-"&amp;Z$2, CHOOSE({1,2}, 'S12 Operations'!$C$2:$C$533&amp;"-"&amp;'S12 Operations'!$E$2:$E$533, 'S12 Operations'!$D$2:$D$533), 2, 0), "")</f>
        <v/>
      </c>
      <c r="AA4" s="59">
        <f t="array" ref="AA4">IFERROR(VLOOKUP($A4&amp;"-"&amp;AA$2, CHOOSE({1,2}, 'S12 Operations'!$C$2:$C$533&amp;"-"&amp;'S12 Operations'!$E$2:$E$533, 'S12 Operations'!$D$2:$D$533), 2, 0), "")</f>
        <v>60</v>
      </c>
    </row>
    <row r="5" spans="1:27" ht="17" x14ac:dyDescent="0.2">
      <c r="A5" s="180" t="str">
        <f>'S08 ABC Output'!A8</f>
        <v>I-068</v>
      </c>
      <c r="B5" s="59">
        <f t="array" ref="B5">IFERROR(VLOOKUP($A5&amp;"-"&amp;B$2, CHOOSE({1,2}, 'S12 Operations'!$C$2:$C$533&amp;"-"&amp;'S12 Operations'!$E$2:$E$533, 'S12 Operations'!$D$2:$D$533), 2, 0), "")</f>
        <v>10</v>
      </c>
      <c r="C5" s="162">
        <f t="array" ref="C5">IFERROR(VLOOKUP($A5&amp;"-"&amp;C$2, CHOOSE({1,2}, 'S12 Operations'!$C$2:$C$533&amp;"-"&amp;'S12 Operations'!$E$2:$E$533, 'S12 Operations'!$D$2:$D$533), 2, 0), "")</f>
        <v>20</v>
      </c>
      <c r="D5" s="160" t="str">
        <f t="array" ref="D5">IFERROR(VLOOKUP($A5&amp;"-"&amp;D$2, CHOOSE({1,2}, 'S12 Operations'!$C$2:$C$533&amp;"-"&amp;'S12 Operations'!$E$2:$E$533, 'S12 Operations'!$D$2:$D$533), 2, 0), "")</f>
        <v/>
      </c>
      <c r="E5" s="163" t="str">
        <f t="array" ref="E5">IFERROR(VLOOKUP($A5&amp;"-"&amp;E$2, CHOOSE({1,2}, 'S12 Operations'!$C$2:$C$533&amp;"-"&amp;'S12 Operations'!$E$2:$E$533, 'S12 Operations'!$D$2:$D$533), 2, 0), "")</f>
        <v/>
      </c>
      <c r="F5" s="60" t="str">
        <f t="array" ref="F5">IFERROR(VLOOKUP($A5&amp;"-"&amp;F$2, CHOOSE({1,2}, 'S12 Operations'!$C$2:$C$533&amp;"-"&amp;'S12 Operations'!$E$2:$E$533, 'S12 Operations'!$D$2:$D$533), 2, 0), "")</f>
        <v/>
      </c>
      <c r="G5" s="4" t="str">
        <f t="array" ref="G5">IFERROR(VLOOKUP($A5&amp;"-"&amp;G$2, CHOOSE({1,2}, 'S12 Operations'!$C$2:$C$533&amp;"-"&amp;'S12 Operations'!$E$2:$E$533, 'S12 Operations'!$D$2:$D$533), 2, 0), "")</f>
        <v/>
      </c>
      <c r="H5" s="61" t="str">
        <f t="array" ref="H5">IFERROR(VLOOKUP($A5&amp;"-"&amp;H$2, CHOOSE({1,2}, 'S12 Operations'!$C$2:$C$533&amp;"-"&amp;'S12 Operations'!$E$2:$E$533, 'S12 Operations'!$D$2:$D$533), 2, 0), "")</f>
        <v/>
      </c>
      <c r="I5" s="162" t="str">
        <f t="array" ref="I5">IFERROR(VLOOKUP($A5&amp;"-"&amp;I$2, CHOOSE({1,2}, 'S12 Operations'!$C$2:$C$533&amp;"-"&amp;'S12 Operations'!$E$2:$E$533, 'S12 Operations'!$D$2:$D$533), 2, 0), "")</f>
        <v/>
      </c>
      <c r="J5" s="160">
        <f t="array" ref="J5">IFERROR(VLOOKUP($A5&amp;"-"&amp;J$2, CHOOSE({1,2}, 'S12 Operations'!$C$2:$C$533&amp;"-"&amp;'S12 Operations'!$E$2:$E$533, 'S12 Operations'!$D$2:$D$533), 2, 0), "")</f>
        <v>30</v>
      </c>
      <c r="K5" s="160" t="str">
        <f t="array" ref="K5">IFERROR(VLOOKUP($A5&amp;"-"&amp;K$2, CHOOSE({1,2}, 'S12 Operations'!$C$2:$C$533&amp;"-"&amp;'S12 Operations'!$E$2:$E$533, 'S12 Operations'!$D$2:$D$533), 2, 0), "")</f>
        <v/>
      </c>
      <c r="L5" s="160" t="str">
        <f t="array" ref="L5">IFERROR(VLOOKUP($A5&amp;"-"&amp;L$2, CHOOSE({1,2}, 'S12 Operations'!$C$2:$C$533&amp;"-"&amp;'S12 Operations'!$E$2:$E$533, 'S12 Operations'!$D$2:$D$533), 2, 0), "")</f>
        <v/>
      </c>
      <c r="M5" s="160" t="str">
        <f t="array" ref="M5">IFERROR(VLOOKUP($A5&amp;"-"&amp;M$2, CHOOSE({1,2}, 'S12 Operations'!$C$2:$C$533&amp;"-"&amp;'S12 Operations'!$E$2:$E$533, 'S12 Operations'!$D$2:$D$533), 2, 0), "")</f>
        <v/>
      </c>
      <c r="N5" s="160" t="str">
        <f t="array" ref="N5">IFERROR(VLOOKUP($A5&amp;"-"&amp;N$2, CHOOSE({1,2}, 'S12 Operations'!$C$2:$C$533&amp;"-"&amp;'S12 Operations'!$E$2:$E$533, 'S12 Operations'!$D$2:$D$533), 2, 0), "")</f>
        <v/>
      </c>
      <c r="O5" s="160" t="str">
        <f t="array" ref="O5">IFERROR(VLOOKUP($A5&amp;"-"&amp;O$2, CHOOSE({1,2}, 'S12 Operations'!$C$2:$C$533&amp;"-"&amp;'S12 Operations'!$E$2:$E$533, 'S12 Operations'!$D$2:$D$533), 2, 0), "")</f>
        <v/>
      </c>
      <c r="P5" s="163" t="str">
        <f t="array" ref="P5">IFERROR(VLOOKUP($A5&amp;"-"&amp;P$2, CHOOSE({1,2}, 'S12 Operations'!$C$2:$C$533&amp;"-"&amp;'S12 Operations'!$E$2:$E$533, 'S12 Operations'!$D$2:$D$533), 2, 0), "")</f>
        <v/>
      </c>
      <c r="Q5" s="60">
        <f t="array" ref="Q5">IFERROR(VLOOKUP($A5&amp;"-"&amp;Q$2, CHOOSE({1,2}, 'S12 Operations'!$C$2:$C$533&amp;"-"&amp;'S12 Operations'!$E$2:$E$533, 'S12 Operations'!$D$2:$D$533), 2, 0), "")</f>
        <v>40</v>
      </c>
      <c r="R5" s="4" t="str">
        <f t="array" ref="R5">IFERROR(VLOOKUP($A5&amp;"-"&amp;R$2, CHOOSE({1,2}, 'S12 Operations'!$C$2:$C$533&amp;"-"&amp;'S12 Operations'!$E$2:$E$533, 'S12 Operations'!$D$2:$D$533), 2, 0), "")</f>
        <v/>
      </c>
      <c r="S5" s="4" t="str">
        <f t="array" ref="S5">IFERROR(VLOOKUP($A5&amp;"-"&amp;S$2, CHOOSE({1,2}, 'S12 Operations'!$C$2:$C$533&amp;"-"&amp;'S12 Operations'!$E$2:$E$533, 'S12 Operations'!$D$2:$D$533), 2, 0), "")</f>
        <v/>
      </c>
      <c r="T5" s="61" t="str">
        <f t="array" ref="T5">IFERROR(VLOOKUP($A5&amp;"-"&amp;T$2, CHOOSE({1,2}, 'S12 Operations'!$C$2:$C$533&amp;"-"&amp;'S12 Operations'!$E$2:$E$533, 'S12 Operations'!$D$2:$D$533), 2, 0), "")</f>
        <v/>
      </c>
      <c r="U5" s="162" t="str">
        <f t="array" ref="U5">IFERROR(VLOOKUP($A5&amp;"-"&amp;U$2, CHOOSE({1,2}, 'S12 Operations'!$C$2:$C$533&amp;"-"&amp;'S12 Operations'!$E$2:$E$533, 'S12 Operations'!$D$2:$D$533), 2, 0), "")</f>
        <v/>
      </c>
      <c r="V5" s="163" t="str">
        <f t="array" ref="V5">IFERROR(VLOOKUP($A5&amp;"-"&amp;V$2, CHOOSE({1,2}, 'S12 Operations'!$C$2:$C$533&amp;"-"&amp;'S12 Operations'!$E$2:$E$533, 'S12 Operations'!$D$2:$D$533), 2, 0), "")</f>
        <v/>
      </c>
      <c r="W5" s="60" t="str">
        <f t="array" ref="W5">IFERROR(VLOOKUP($A5&amp;"-"&amp;W$2, CHOOSE({1,2}, 'S12 Operations'!$C$2:$C$533&amp;"-"&amp;'S12 Operations'!$E$2:$E$533, 'S12 Operations'!$D$2:$D$533), 2, 0), "")</f>
        <v/>
      </c>
      <c r="X5" s="4" t="str">
        <f t="array" ref="X5">IFERROR(VLOOKUP($A5&amp;"-"&amp;X$2, CHOOSE({1,2}, 'S12 Operations'!$C$2:$C$533&amp;"-"&amp;'S12 Operations'!$E$2:$E$533, 'S12 Operations'!$D$2:$D$533), 2, 0), "")</f>
        <v/>
      </c>
      <c r="Y5" s="61">
        <f t="array" ref="Y5">IFERROR(VLOOKUP($A5&amp;"-"&amp;Y$2, CHOOSE({1,2}, 'S12 Operations'!$C$2:$C$533&amp;"-"&amp;'S12 Operations'!$E$2:$E$533, 'S12 Operations'!$D$2:$D$533), 2, 0), "")</f>
        <v>50</v>
      </c>
      <c r="Z5" s="167" t="str">
        <f t="array" ref="Z5">IFERROR(VLOOKUP($A5&amp;"-"&amp;Z$2, CHOOSE({1,2}, 'S12 Operations'!$C$2:$C$533&amp;"-"&amp;'S12 Operations'!$E$2:$E$533, 'S12 Operations'!$D$2:$D$533), 2, 0), "")</f>
        <v/>
      </c>
      <c r="AA5" s="59">
        <f t="array" ref="AA5">IFERROR(VLOOKUP($A5&amp;"-"&amp;AA$2, CHOOSE({1,2}, 'S12 Operations'!$C$2:$C$533&amp;"-"&amp;'S12 Operations'!$E$2:$E$533, 'S12 Operations'!$D$2:$D$533), 2, 0), "")</f>
        <v>60</v>
      </c>
    </row>
    <row r="6" spans="1:27" ht="17" x14ac:dyDescent="0.2">
      <c r="A6" s="180" t="str">
        <f>'S08 ABC Output'!A12</f>
        <v>I-069</v>
      </c>
      <c r="B6" s="59">
        <f t="array" ref="B6">IFERROR(VLOOKUP($A6&amp;"-"&amp;B$2, CHOOSE({1,2}, 'S12 Operations'!$C$2:$C$533&amp;"-"&amp;'S12 Operations'!$E$2:$E$533, 'S12 Operations'!$D$2:$D$533), 2, 0), "")</f>
        <v>10</v>
      </c>
      <c r="C6" s="162">
        <f t="array" ref="C6">IFERROR(VLOOKUP($A6&amp;"-"&amp;C$2, CHOOSE({1,2}, 'S12 Operations'!$C$2:$C$533&amp;"-"&amp;'S12 Operations'!$E$2:$E$533, 'S12 Operations'!$D$2:$D$533), 2, 0), "")</f>
        <v>20</v>
      </c>
      <c r="D6" s="160" t="str">
        <f t="array" ref="D6">IFERROR(VLOOKUP($A6&amp;"-"&amp;D$2, CHOOSE({1,2}, 'S12 Operations'!$C$2:$C$533&amp;"-"&amp;'S12 Operations'!$E$2:$E$533, 'S12 Operations'!$D$2:$D$533), 2, 0), "")</f>
        <v/>
      </c>
      <c r="E6" s="163" t="str">
        <f t="array" ref="E6">IFERROR(VLOOKUP($A6&amp;"-"&amp;E$2, CHOOSE({1,2}, 'S12 Operations'!$C$2:$C$533&amp;"-"&amp;'S12 Operations'!$E$2:$E$533, 'S12 Operations'!$D$2:$D$533), 2, 0), "")</f>
        <v/>
      </c>
      <c r="F6" s="60" t="str">
        <f t="array" ref="F6">IFERROR(VLOOKUP($A6&amp;"-"&amp;F$2, CHOOSE({1,2}, 'S12 Operations'!$C$2:$C$533&amp;"-"&amp;'S12 Operations'!$E$2:$E$533, 'S12 Operations'!$D$2:$D$533), 2, 0), "")</f>
        <v/>
      </c>
      <c r="G6" s="4" t="str">
        <f t="array" ref="G6">IFERROR(VLOOKUP($A6&amp;"-"&amp;G$2, CHOOSE({1,2}, 'S12 Operations'!$C$2:$C$533&amp;"-"&amp;'S12 Operations'!$E$2:$E$533, 'S12 Operations'!$D$2:$D$533), 2, 0), "")</f>
        <v/>
      </c>
      <c r="H6" s="61" t="str">
        <f t="array" ref="H6">IFERROR(VLOOKUP($A6&amp;"-"&amp;H$2, CHOOSE({1,2}, 'S12 Operations'!$C$2:$C$533&amp;"-"&amp;'S12 Operations'!$E$2:$E$533, 'S12 Operations'!$D$2:$D$533), 2, 0), "")</f>
        <v/>
      </c>
      <c r="I6" s="162" t="str">
        <f t="array" ref="I6">IFERROR(VLOOKUP($A6&amp;"-"&amp;I$2, CHOOSE({1,2}, 'S12 Operations'!$C$2:$C$533&amp;"-"&amp;'S12 Operations'!$E$2:$E$533, 'S12 Operations'!$D$2:$D$533), 2, 0), "")</f>
        <v/>
      </c>
      <c r="J6" s="160">
        <f t="array" ref="J6">IFERROR(VLOOKUP($A6&amp;"-"&amp;J$2, CHOOSE({1,2}, 'S12 Operations'!$C$2:$C$533&amp;"-"&amp;'S12 Operations'!$E$2:$E$533, 'S12 Operations'!$D$2:$D$533), 2, 0), "")</f>
        <v>30</v>
      </c>
      <c r="K6" s="160" t="str">
        <f t="array" ref="K6">IFERROR(VLOOKUP($A6&amp;"-"&amp;K$2, CHOOSE({1,2}, 'S12 Operations'!$C$2:$C$533&amp;"-"&amp;'S12 Operations'!$E$2:$E$533, 'S12 Operations'!$D$2:$D$533), 2, 0), "")</f>
        <v/>
      </c>
      <c r="L6" s="160" t="str">
        <f t="array" ref="L6">IFERROR(VLOOKUP($A6&amp;"-"&amp;L$2, CHOOSE({1,2}, 'S12 Operations'!$C$2:$C$533&amp;"-"&amp;'S12 Operations'!$E$2:$E$533, 'S12 Operations'!$D$2:$D$533), 2, 0), "")</f>
        <v/>
      </c>
      <c r="M6" s="160" t="str">
        <f t="array" ref="M6">IFERROR(VLOOKUP($A6&amp;"-"&amp;M$2, CHOOSE({1,2}, 'S12 Operations'!$C$2:$C$533&amp;"-"&amp;'S12 Operations'!$E$2:$E$533, 'S12 Operations'!$D$2:$D$533), 2, 0), "")</f>
        <v/>
      </c>
      <c r="N6" s="160" t="str">
        <f t="array" ref="N6">IFERROR(VLOOKUP($A6&amp;"-"&amp;N$2, CHOOSE({1,2}, 'S12 Operations'!$C$2:$C$533&amp;"-"&amp;'S12 Operations'!$E$2:$E$533, 'S12 Operations'!$D$2:$D$533), 2, 0), "")</f>
        <v/>
      </c>
      <c r="O6" s="160" t="str">
        <f t="array" ref="O6">IFERROR(VLOOKUP($A6&amp;"-"&amp;O$2, CHOOSE({1,2}, 'S12 Operations'!$C$2:$C$533&amp;"-"&amp;'S12 Operations'!$E$2:$E$533, 'S12 Operations'!$D$2:$D$533), 2, 0), "")</f>
        <v/>
      </c>
      <c r="P6" s="163" t="str">
        <f t="array" ref="P6">IFERROR(VLOOKUP($A6&amp;"-"&amp;P$2, CHOOSE({1,2}, 'S12 Operations'!$C$2:$C$533&amp;"-"&amp;'S12 Operations'!$E$2:$E$533, 'S12 Operations'!$D$2:$D$533), 2, 0), "")</f>
        <v/>
      </c>
      <c r="Q6" s="60">
        <f t="array" ref="Q6">IFERROR(VLOOKUP($A6&amp;"-"&amp;Q$2, CHOOSE({1,2}, 'S12 Operations'!$C$2:$C$533&amp;"-"&amp;'S12 Operations'!$E$2:$E$533, 'S12 Operations'!$D$2:$D$533), 2, 0), "")</f>
        <v>40</v>
      </c>
      <c r="R6" s="4" t="str">
        <f t="array" ref="R6">IFERROR(VLOOKUP($A6&amp;"-"&amp;R$2, CHOOSE({1,2}, 'S12 Operations'!$C$2:$C$533&amp;"-"&amp;'S12 Operations'!$E$2:$E$533, 'S12 Operations'!$D$2:$D$533), 2, 0), "")</f>
        <v/>
      </c>
      <c r="S6" s="4" t="str">
        <f t="array" ref="S6">IFERROR(VLOOKUP($A6&amp;"-"&amp;S$2, CHOOSE({1,2}, 'S12 Operations'!$C$2:$C$533&amp;"-"&amp;'S12 Operations'!$E$2:$E$533, 'S12 Operations'!$D$2:$D$533), 2, 0), "")</f>
        <v/>
      </c>
      <c r="T6" s="61" t="str">
        <f t="array" ref="T6">IFERROR(VLOOKUP($A6&amp;"-"&amp;T$2, CHOOSE({1,2}, 'S12 Operations'!$C$2:$C$533&amp;"-"&amp;'S12 Operations'!$E$2:$E$533, 'S12 Operations'!$D$2:$D$533), 2, 0), "")</f>
        <v/>
      </c>
      <c r="U6" s="162" t="str">
        <f t="array" ref="U6">IFERROR(VLOOKUP($A6&amp;"-"&amp;U$2, CHOOSE({1,2}, 'S12 Operations'!$C$2:$C$533&amp;"-"&amp;'S12 Operations'!$E$2:$E$533, 'S12 Operations'!$D$2:$D$533), 2, 0), "")</f>
        <v/>
      </c>
      <c r="V6" s="163" t="str">
        <f t="array" ref="V6">IFERROR(VLOOKUP($A6&amp;"-"&amp;V$2, CHOOSE({1,2}, 'S12 Operations'!$C$2:$C$533&amp;"-"&amp;'S12 Operations'!$E$2:$E$533, 'S12 Operations'!$D$2:$D$533), 2, 0), "")</f>
        <v/>
      </c>
      <c r="W6" s="60" t="str">
        <f t="array" ref="W6">IFERROR(VLOOKUP($A6&amp;"-"&amp;W$2, CHOOSE({1,2}, 'S12 Operations'!$C$2:$C$533&amp;"-"&amp;'S12 Operations'!$E$2:$E$533, 'S12 Operations'!$D$2:$D$533), 2, 0), "")</f>
        <v/>
      </c>
      <c r="X6" s="4" t="str">
        <f t="array" ref="X6">IFERROR(VLOOKUP($A6&amp;"-"&amp;X$2, CHOOSE({1,2}, 'S12 Operations'!$C$2:$C$533&amp;"-"&amp;'S12 Operations'!$E$2:$E$533, 'S12 Operations'!$D$2:$D$533), 2, 0), "")</f>
        <v/>
      </c>
      <c r="Y6" s="61">
        <f t="array" ref="Y6">IFERROR(VLOOKUP($A6&amp;"-"&amp;Y$2, CHOOSE({1,2}, 'S12 Operations'!$C$2:$C$533&amp;"-"&amp;'S12 Operations'!$E$2:$E$533, 'S12 Operations'!$D$2:$D$533), 2, 0), "")</f>
        <v>50</v>
      </c>
      <c r="Z6" s="167" t="str">
        <f t="array" ref="Z6">IFERROR(VLOOKUP($A6&amp;"-"&amp;Z$2, CHOOSE({1,2}, 'S12 Operations'!$C$2:$C$533&amp;"-"&amp;'S12 Operations'!$E$2:$E$533, 'S12 Operations'!$D$2:$D$533), 2, 0), "")</f>
        <v/>
      </c>
      <c r="AA6" s="59">
        <f t="array" ref="AA6">IFERROR(VLOOKUP($A6&amp;"-"&amp;AA$2, CHOOSE({1,2}, 'S12 Operations'!$C$2:$C$533&amp;"-"&amp;'S12 Operations'!$E$2:$E$533, 'S12 Operations'!$D$2:$D$533), 2, 0), "")</f>
        <v>60</v>
      </c>
    </row>
    <row r="7" spans="1:27" ht="17" x14ac:dyDescent="0.2">
      <c r="A7" s="180" t="str">
        <f>'S08 ABC Output'!A13</f>
        <v>I-070</v>
      </c>
      <c r="B7" s="59">
        <f t="array" ref="B7">IFERROR(VLOOKUP($A7&amp;"-"&amp;B$2, CHOOSE({1,2}, 'S12 Operations'!$C$2:$C$533&amp;"-"&amp;'S12 Operations'!$E$2:$E$533, 'S12 Operations'!$D$2:$D$533), 2, 0), "")</f>
        <v>10</v>
      </c>
      <c r="C7" s="162">
        <f t="array" ref="C7">IFERROR(VLOOKUP($A7&amp;"-"&amp;C$2, CHOOSE({1,2}, 'S12 Operations'!$C$2:$C$533&amp;"-"&amp;'S12 Operations'!$E$2:$E$533, 'S12 Operations'!$D$2:$D$533), 2, 0), "")</f>
        <v>20</v>
      </c>
      <c r="D7" s="160" t="str">
        <f t="array" ref="D7">IFERROR(VLOOKUP($A7&amp;"-"&amp;D$2, CHOOSE({1,2}, 'S12 Operations'!$C$2:$C$533&amp;"-"&amp;'S12 Operations'!$E$2:$E$533, 'S12 Operations'!$D$2:$D$533), 2, 0), "")</f>
        <v/>
      </c>
      <c r="E7" s="163" t="str">
        <f t="array" ref="E7">IFERROR(VLOOKUP($A7&amp;"-"&amp;E$2, CHOOSE({1,2}, 'S12 Operations'!$C$2:$C$533&amp;"-"&amp;'S12 Operations'!$E$2:$E$533, 'S12 Operations'!$D$2:$D$533), 2, 0), "")</f>
        <v/>
      </c>
      <c r="F7" s="60" t="str">
        <f t="array" ref="F7">IFERROR(VLOOKUP($A7&amp;"-"&amp;F$2, CHOOSE({1,2}, 'S12 Operations'!$C$2:$C$533&amp;"-"&amp;'S12 Operations'!$E$2:$E$533, 'S12 Operations'!$D$2:$D$533), 2, 0), "")</f>
        <v/>
      </c>
      <c r="G7" s="4" t="str">
        <f t="array" ref="G7">IFERROR(VLOOKUP($A7&amp;"-"&amp;G$2, CHOOSE({1,2}, 'S12 Operations'!$C$2:$C$533&amp;"-"&amp;'S12 Operations'!$E$2:$E$533, 'S12 Operations'!$D$2:$D$533), 2, 0), "")</f>
        <v/>
      </c>
      <c r="H7" s="61" t="str">
        <f t="array" ref="H7">IFERROR(VLOOKUP($A7&amp;"-"&amp;H$2, CHOOSE({1,2}, 'S12 Operations'!$C$2:$C$533&amp;"-"&amp;'S12 Operations'!$E$2:$E$533, 'S12 Operations'!$D$2:$D$533), 2, 0), "")</f>
        <v/>
      </c>
      <c r="I7" s="162" t="str">
        <f t="array" ref="I7">IFERROR(VLOOKUP($A7&amp;"-"&amp;I$2, CHOOSE({1,2}, 'S12 Operations'!$C$2:$C$533&amp;"-"&amp;'S12 Operations'!$E$2:$E$533, 'S12 Operations'!$D$2:$D$533), 2, 0), "")</f>
        <v/>
      </c>
      <c r="J7" s="160">
        <f t="array" ref="J7">IFERROR(VLOOKUP($A7&amp;"-"&amp;J$2, CHOOSE({1,2}, 'S12 Operations'!$C$2:$C$533&amp;"-"&amp;'S12 Operations'!$E$2:$E$533, 'S12 Operations'!$D$2:$D$533), 2, 0), "")</f>
        <v>30</v>
      </c>
      <c r="K7" s="160" t="str">
        <f t="array" ref="K7">IFERROR(VLOOKUP($A7&amp;"-"&amp;K$2, CHOOSE({1,2}, 'S12 Operations'!$C$2:$C$533&amp;"-"&amp;'S12 Operations'!$E$2:$E$533, 'S12 Operations'!$D$2:$D$533), 2, 0), "")</f>
        <v/>
      </c>
      <c r="L7" s="160" t="str">
        <f t="array" ref="L7">IFERROR(VLOOKUP($A7&amp;"-"&amp;L$2, CHOOSE({1,2}, 'S12 Operations'!$C$2:$C$533&amp;"-"&amp;'S12 Operations'!$E$2:$E$533, 'S12 Operations'!$D$2:$D$533), 2, 0), "")</f>
        <v/>
      </c>
      <c r="M7" s="160" t="str">
        <f t="array" ref="M7">IFERROR(VLOOKUP($A7&amp;"-"&amp;M$2, CHOOSE({1,2}, 'S12 Operations'!$C$2:$C$533&amp;"-"&amp;'S12 Operations'!$E$2:$E$533, 'S12 Operations'!$D$2:$D$533), 2, 0), "")</f>
        <v/>
      </c>
      <c r="N7" s="160" t="str">
        <f t="array" ref="N7">IFERROR(VLOOKUP($A7&amp;"-"&amp;N$2, CHOOSE({1,2}, 'S12 Operations'!$C$2:$C$533&amp;"-"&amp;'S12 Operations'!$E$2:$E$533, 'S12 Operations'!$D$2:$D$533), 2, 0), "")</f>
        <v/>
      </c>
      <c r="O7" s="160" t="str">
        <f t="array" ref="O7">IFERROR(VLOOKUP($A7&amp;"-"&amp;O$2, CHOOSE({1,2}, 'S12 Operations'!$C$2:$C$533&amp;"-"&amp;'S12 Operations'!$E$2:$E$533, 'S12 Operations'!$D$2:$D$533), 2, 0), "")</f>
        <v/>
      </c>
      <c r="P7" s="163" t="str">
        <f t="array" ref="P7">IFERROR(VLOOKUP($A7&amp;"-"&amp;P$2, CHOOSE({1,2}, 'S12 Operations'!$C$2:$C$533&amp;"-"&amp;'S12 Operations'!$E$2:$E$533, 'S12 Operations'!$D$2:$D$533), 2, 0), "")</f>
        <v/>
      </c>
      <c r="Q7" s="60">
        <f t="array" ref="Q7">IFERROR(VLOOKUP($A7&amp;"-"&amp;Q$2, CHOOSE({1,2}, 'S12 Operations'!$C$2:$C$533&amp;"-"&amp;'S12 Operations'!$E$2:$E$533, 'S12 Operations'!$D$2:$D$533), 2, 0), "")</f>
        <v>40</v>
      </c>
      <c r="R7" s="4" t="str">
        <f t="array" ref="R7">IFERROR(VLOOKUP($A7&amp;"-"&amp;R$2, CHOOSE({1,2}, 'S12 Operations'!$C$2:$C$533&amp;"-"&amp;'S12 Operations'!$E$2:$E$533, 'S12 Operations'!$D$2:$D$533), 2, 0), "")</f>
        <v/>
      </c>
      <c r="S7" s="4" t="str">
        <f t="array" ref="S7">IFERROR(VLOOKUP($A7&amp;"-"&amp;S$2, CHOOSE({1,2}, 'S12 Operations'!$C$2:$C$533&amp;"-"&amp;'S12 Operations'!$E$2:$E$533, 'S12 Operations'!$D$2:$D$533), 2, 0), "")</f>
        <v/>
      </c>
      <c r="T7" s="61" t="str">
        <f t="array" ref="T7">IFERROR(VLOOKUP($A7&amp;"-"&amp;T$2, CHOOSE({1,2}, 'S12 Operations'!$C$2:$C$533&amp;"-"&amp;'S12 Operations'!$E$2:$E$533, 'S12 Operations'!$D$2:$D$533), 2, 0), "")</f>
        <v/>
      </c>
      <c r="U7" s="162" t="str">
        <f t="array" ref="U7">IFERROR(VLOOKUP($A7&amp;"-"&amp;U$2, CHOOSE({1,2}, 'S12 Operations'!$C$2:$C$533&amp;"-"&amp;'S12 Operations'!$E$2:$E$533, 'S12 Operations'!$D$2:$D$533), 2, 0), "")</f>
        <v/>
      </c>
      <c r="V7" s="163" t="str">
        <f t="array" ref="V7">IFERROR(VLOOKUP($A7&amp;"-"&amp;V$2, CHOOSE({1,2}, 'S12 Operations'!$C$2:$C$533&amp;"-"&amp;'S12 Operations'!$E$2:$E$533, 'S12 Operations'!$D$2:$D$533), 2, 0), "")</f>
        <v/>
      </c>
      <c r="W7" s="60" t="str">
        <f t="array" ref="W7">IFERROR(VLOOKUP($A7&amp;"-"&amp;W$2, CHOOSE({1,2}, 'S12 Operations'!$C$2:$C$533&amp;"-"&amp;'S12 Operations'!$E$2:$E$533, 'S12 Operations'!$D$2:$D$533), 2, 0), "")</f>
        <v/>
      </c>
      <c r="X7" s="4" t="str">
        <f t="array" ref="X7">IFERROR(VLOOKUP($A7&amp;"-"&amp;X$2, CHOOSE({1,2}, 'S12 Operations'!$C$2:$C$533&amp;"-"&amp;'S12 Operations'!$E$2:$E$533, 'S12 Operations'!$D$2:$D$533), 2, 0), "")</f>
        <v/>
      </c>
      <c r="Y7" s="61">
        <f t="array" ref="Y7">IFERROR(VLOOKUP($A7&amp;"-"&amp;Y$2, CHOOSE({1,2}, 'S12 Operations'!$C$2:$C$533&amp;"-"&amp;'S12 Operations'!$E$2:$E$533, 'S12 Operations'!$D$2:$D$533), 2, 0), "")</f>
        <v>50</v>
      </c>
      <c r="Z7" s="167" t="str">
        <f t="array" ref="Z7">IFERROR(VLOOKUP($A7&amp;"-"&amp;Z$2, CHOOSE({1,2}, 'S12 Operations'!$C$2:$C$533&amp;"-"&amp;'S12 Operations'!$E$2:$E$533, 'S12 Operations'!$D$2:$D$533), 2, 0), "")</f>
        <v/>
      </c>
      <c r="AA7" s="59">
        <f t="array" ref="AA7">IFERROR(VLOOKUP($A7&amp;"-"&amp;AA$2, CHOOSE({1,2}, 'S12 Operations'!$C$2:$C$533&amp;"-"&amp;'S12 Operations'!$E$2:$E$533, 'S12 Operations'!$D$2:$D$533), 2, 0), "")</f>
        <v>60</v>
      </c>
    </row>
    <row r="8" spans="1:27" ht="18" thickBot="1" x14ac:dyDescent="0.25">
      <c r="A8" s="159" t="str">
        <f>'S08 ABC Output'!A16</f>
        <v>I-071</v>
      </c>
      <c r="B8" s="62">
        <f t="array" ref="B8">IFERROR(VLOOKUP($A8&amp;"-"&amp;B$2, CHOOSE({1,2}, 'S12 Operations'!$C$2:$C$533&amp;"-"&amp;'S12 Operations'!$E$2:$E$533, 'S12 Operations'!$D$2:$D$533), 2, 0), "")</f>
        <v>10</v>
      </c>
      <c r="C8" s="164">
        <f t="array" ref="C8">IFERROR(VLOOKUP($A8&amp;"-"&amp;C$2, CHOOSE({1,2}, 'S12 Operations'!$C$2:$C$533&amp;"-"&amp;'S12 Operations'!$E$2:$E$533, 'S12 Operations'!$D$2:$D$533), 2, 0), "")</f>
        <v>20</v>
      </c>
      <c r="D8" s="165" t="str">
        <f t="array" ref="D8">IFERROR(VLOOKUP($A8&amp;"-"&amp;D$2, CHOOSE({1,2}, 'S12 Operations'!$C$2:$C$533&amp;"-"&amp;'S12 Operations'!$E$2:$E$533, 'S12 Operations'!$D$2:$D$533), 2, 0), "")</f>
        <v/>
      </c>
      <c r="E8" s="166" t="str">
        <f t="array" ref="E8">IFERROR(VLOOKUP($A8&amp;"-"&amp;E$2, CHOOSE({1,2}, 'S12 Operations'!$C$2:$C$533&amp;"-"&amp;'S12 Operations'!$E$2:$E$533, 'S12 Operations'!$D$2:$D$533), 2, 0), "")</f>
        <v/>
      </c>
      <c r="F8" s="63" t="str">
        <f t="array" ref="F8">IFERROR(VLOOKUP($A8&amp;"-"&amp;F$2, CHOOSE({1,2}, 'S12 Operations'!$C$2:$C$533&amp;"-"&amp;'S12 Operations'!$E$2:$E$533, 'S12 Operations'!$D$2:$D$533), 2, 0), "")</f>
        <v/>
      </c>
      <c r="G8" s="64" t="str">
        <f t="array" ref="G8">IFERROR(VLOOKUP($A8&amp;"-"&amp;G$2, CHOOSE({1,2}, 'S12 Operations'!$C$2:$C$533&amp;"-"&amp;'S12 Operations'!$E$2:$E$533, 'S12 Operations'!$D$2:$D$533), 2, 0), "")</f>
        <v/>
      </c>
      <c r="H8" s="65" t="str">
        <f t="array" ref="H8">IFERROR(VLOOKUP($A8&amp;"-"&amp;H$2, CHOOSE({1,2}, 'S12 Operations'!$C$2:$C$533&amp;"-"&amp;'S12 Operations'!$E$2:$E$533, 'S12 Operations'!$D$2:$D$533), 2, 0), "")</f>
        <v/>
      </c>
      <c r="I8" s="164" t="str">
        <f t="array" ref="I8">IFERROR(VLOOKUP($A8&amp;"-"&amp;I$2, CHOOSE({1,2}, 'S12 Operations'!$C$2:$C$533&amp;"-"&amp;'S12 Operations'!$E$2:$E$533, 'S12 Operations'!$D$2:$D$533), 2, 0), "")</f>
        <v/>
      </c>
      <c r="J8" s="165">
        <f t="array" ref="J8">IFERROR(VLOOKUP($A8&amp;"-"&amp;J$2, CHOOSE({1,2}, 'S12 Operations'!$C$2:$C$533&amp;"-"&amp;'S12 Operations'!$E$2:$E$533, 'S12 Operations'!$D$2:$D$533), 2, 0), "")</f>
        <v>30</v>
      </c>
      <c r="K8" s="165" t="str">
        <f t="array" ref="K8">IFERROR(VLOOKUP($A8&amp;"-"&amp;K$2, CHOOSE({1,2}, 'S12 Operations'!$C$2:$C$533&amp;"-"&amp;'S12 Operations'!$E$2:$E$533, 'S12 Operations'!$D$2:$D$533), 2, 0), "")</f>
        <v/>
      </c>
      <c r="L8" s="165" t="str">
        <f t="array" ref="L8">IFERROR(VLOOKUP($A8&amp;"-"&amp;L$2, CHOOSE({1,2}, 'S12 Operations'!$C$2:$C$533&amp;"-"&amp;'S12 Operations'!$E$2:$E$533, 'S12 Operations'!$D$2:$D$533), 2, 0), "")</f>
        <v/>
      </c>
      <c r="M8" s="165" t="str">
        <f t="array" ref="M8">IFERROR(VLOOKUP($A8&amp;"-"&amp;M$2, CHOOSE({1,2}, 'S12 Operations'!$C$2:$C$533&amp;"-"&amp;'S12 Operations'!$E$2:$E$533, 'S12 Operations'!$D$2:$D$533), 2, 0), "")</f>
        <v/>
      </c>
      <c r="N8" s="165" t="str">
        <f t="array" ref="N8">IFERROR(VLOOKUP($A8&amp;"-"&amp;N$2, CHOOSE({1,2}, 'S12 Operations'!$C$2:$C$533&amp;"-"&amp;'S12 Operations'!$E$2:$E$533, 'S12 Operations'!$D$2:$D$533), 2, 0), "")</f>
        <v/>
      </c>
      <c r="O8" s="165" t="str">
        <f t="array" ref="O8">IFERROR(VLOOKUP($A8&amp;"-"&amp;O$2, CHOOSE({1,2}, 'S12 Operations'!$C$2:$C$533&amp;"-"&amp;'S12 Operations'!$E$2:$E$533, 'S12 Operations'!$D$2:$D$533), 2, 0), "")</f>
        <v/>
      </c>
      <c r="P8" s="166" t="str">
        <f t="array" ref="P8">IFERROR(VLOOKUP($A8&amp;"-"&amp;P$2, CHOOSE({1,2}, 'S12 Operations'!$C$2:$C$533&amp;"-"&amp;'S12 Operations'!$E$2:$E$533, 'S12 Operations'!$D$2:$D$533), 2, 0), "")</f>
        <v/>
      </c>
      <c r="Q8" s="63">
        <f t="array" ref="Q8">IFERROR(VLOOKUP($A8&amp;"-"&amp;Q$2, CHOOSE({1,2}, 'S12 Operations'!$C$2:$C$533&amp;"-"&amp;'S12 Operations'!$E$2:$E$533, 'S12 Operations'!$D$2:$D$533), 2, 0), "")</f>
        <v>40</v>
      </c>
      <c r="R8" s="64" t="str">
        <f t="array" ref="R8">IFERROR(VLOOKUP($A8&amp;"-"&amp;R$2, CHOOSE({1,2}, 'S12 Operations'!$C$2:$C$533&amp;"-"&amp;'S12 Operations'!$E$2:$E$533, 'S12 Operations'!$D$2:$D$533), 2, 0), "")</f>
        <v/>
      </c>
      <c r="S8" s="64" t="str">
        <f t="array" ref="S8">IFERROR(VLOOKUP($A8&amp;"-"&amp;S$2, CHOOSE({1,2}, 'S12 Operations'!$C$2:$C$533&amp;"-"&amp;'S12 Operations'!$E$2:$E$533, 'S12 Operations'!$D$2:$D$533), 2, 0), "")</f>
        <v/>
      </c>
      <c r="T8" s="65" t="str">
        <f t="array" ref="T8">IFERROR(VLOOKUP($A8&amp;"-"&amp;T$2, CHOOSE({1,2}, 'S12 Operations'!$C$2:$C$533&amp;"-"&amp;'S12 Operations'!$E$2:$E$533, 'S12 Operations'!$D$2:$D$533), 2, 0), "")</f>
        <v/>
      </c>
      <c r="U8" s="164" t="str">
        <f t="array" ref="U8">IFERROR(VLOOKUP($A8&amp;"-"&amp;U$2, CHOOSE({1,2}, 'S12 Operations'!$C$2:$C$533&amp;"-"&amp;'S12 Operations'!$E$2:$E$533, 'S12 Operations'!$D$2:$D$533), 2, 0), "")</f>
        <v/>
      </c>
      <c r="V8" s="166" t="str">
        <f t="array" ref="V8">IFERROR(VLOOKUP($A8&amp;"-"&amp;V$2, CHOOSE({1,2}, 'S12 Operations'!$C$2:$C$533&amp;"-"&amp;'S12 Operations'!$E$2:$E$533, 'S12 Operations'!$D$2:$D$533), 2, 0), "")</f>
        <v/>
      </c>
      <c r="W8" s="63" t="str">
        <f t="array" ref="W8">IFERROR(VLOOKUP($A8&amp;"-"&amp;W$2, CHOOSE({1,2}, 'S12 Operations'!$C$2:$C$533&amp;"-"&amp;'S12 Operations'!$E$2:$E$533, 'S12 Operations'!$D$2:$D$533), 2, 0), "")</f>
        <v/>
      </c>
      <c r="X8" s="64" t="str">
        <f t="array" ref="X8">IFERROR(VLOOKUP($A8&amp;"-"&amp;X$2, CHOOSE({1,2}, 'S12 Operations'!$C$2:$C$533&amp;"-"&amp;'S12 Operations'!$E$2:$E$533, 'S12 Operations'!$D$2:$D$533), 2, 0), "")</f>
        <v/>
      </c>
      <c r="Y8" s="65">
        <f t="array" ref="Y8">IFERROR(VLOOKUP($A8&amp;"-"&amp;Y$2, CHOOSE({1,2}, 'S12 Operations'!$C$2:$C$533&amp;"-"&amp;'S12 Operations'!$E$2:$E$533, 'S12 Operations'!$D$2:$D$533), 2, 0), "")</f>
        <v>50</v>
      </c>
      <c r="Z8" s="168" t="str">
        <f t="array" ref="Z8">IFERROR(VLOOKUP($A8&amp;"-"&amp;Z$2, CHOOSE({1,2}, 'S12 Operations'!$C$2:$C$533&amp;"-"&amp;'S12 Operations'!$E$2:$E$533, 'S12 Operations'!$D$2:$D$533), 2, 0), "")</f>
        <v/>
      </c>
      <c r="AA8" s="62">
        <f t="array" ref="AA8">IFERROR(VLOOKUP($A8&amp;"-"&amp;AA$2, CHOOSE({1,2}, 'S12 Operations'!$C$2:$C$533&amp;"-"&amp;'S12 Operations'!$E$2:$E$533, 'S12 Operations'!$D$2:$D$533), 2, 0), "")</f>
        <v>60</v>
      </c>
    </row>
    <row r="9" spans="1:27" ht="17" x14ac:dyDescent="0.2">
      <c r="A9" s="179" t="str">
        <f>'S08 ABC Output'!A5</f>
        <v>I-037</v>
      </c>
      <c r="B9" s="157">
        <f t="array" ref="B9">IFERROR(VLOOKUP($A9&amp;"-"&amp;B$2, CHOOSE({1,2}, 'S12 Operations'!$C$2:$C$533&amp;"-"&amp;'S12 Operations'!$E$2:$E$533, 'S12 Operations'!$D$2:$D$533), 2, 0), "")</f>
        <v>10</v>
      </c>
      <c r="C9" s="169" t="str">
        <f t="array" ref="C9">IFERROR(VLOOKUP($A9&amp;"-"&amp;C$2, CHOOSE({1,2}, 'S12 Operations'!$C$2:$C$533&amp;"-"&amp;'S12 Operations'!$E$2:$E$533, 'S12 Operations'!$D$2:$D$533), 2, 0), "")</f>
        <v/>
      </c>
      <c r="D9" s="170">
        <f t="array" ref="D9">IFERROR(VLOOKUP($A9&amp;"-"&amp;D$2, CHOOSE({1,2}, 'S12 Operations'!$C$2:$C$533&amp;"-"&amp;'S12 Operations'!$E$2:$E$533, 'S12 Operations'!$D$2:$D$533), 2, 0), "")</f>
        <v>20</v>
      </c>
      <c r="E9" s="171" t="str">
        <f t="array" ref="E9">IFERROR(VLOOKUP($A9&amp;"-"&amp;E$2, CHOOSE({1,2}, 'S12 Operations'!$C$2:$C$533&amp;"-"&amp;'S12 Operations'!$E$2:$E$533, 'S12 Operations'!$D$2:$D$533), 2, 0), "")</f>
        <v/>
      </c>
      <c r="F9" s="172" t="str">
        <f t="array" ref="F9">IFERROR(VLOOKUP($A9&amp;"-"&amp;F$2, CHOOSE({1,2}, 'S12 Operations'!$C$2:$C$533&amp;"-"&amp;'S12 Operations'!$E$2:$E$533, 'S12 Operations'!$D$2:$D$533), 2, 0), "")</f>
        <v/>
      </c>
      <c r="G9" s="173" t="str">
        <f t="array" ref="G9">IFERROR(VLOOKUP($A9&amp;"-"&amp;G$2, CHOOSE({1,2}, 'S12 Operations'!$C$2:$C$533&amp;"-"&amp;'S12 Operations'!$E$2:$E$533, 'S12 Operations'!$D$2:$D$533), 2, 0), "")</f>
        <v/>
      </c>
      <c r="H9" s="174">
        <f t="array" ref="H9">IFERROR(VLOOKUP($A9&amp;"-"&amp;H$2, CHOOSE({1,2}, 'S12 Operations'!$C$2:$C$533&amp;"-"&amp;'S12 Operations'!$E$2:$E$533, 'S12 Operations'!$D$2:$D$533), 2, 0), "")</f>
        <v>30</v>
      </c>
      <c r="I9" s="169" t="str">
        <f t="array" ref="I9">IFERROR(VLOOKUP($A9&amp;"-"&amp;I$2, CHOOSE({1,2}, 'S12 Operations'!$C$2:$C$533&amp;"-"&amp;'S12 Operations'!$E$2:$E$533, 'S12 Operations'!$D$2:$D$533), 2, 0), "")</f>
        <v/>
      </c>
      <c r="J9" s="170" t="str">
        <f t="array" ref="J9">IFERROR(VLOOKUP($A9&amp;"-"&amp;J$2, CHOOSE({1,2}, 'S12 Operations'!$C$2:$C$533&amp;"-"&amp;'S12 Operations'!$E$2:$E$533, 'S12 Operations'!$D$2:$D$533), 2, 0), "")</f>
        <v/>
      </c>
      <c r="K9" s="170" t="str">
        <f t="array" ref="K9">IFERROR(VLOOKUP($A9&amp;"-"&amp;K$2, CHOOSE({1,2}, 'S12 Operations'!$C$2:$C$533&amp;"-"&amp;'S12 Operations'!$E$2:$E$533, 'S12 Operations'!$D$2:$D$533), 2, 0), "")</f>
        <v/>
      </c>
      <c r="L9" s="170" t="str">
        <f t="array" ref="L9">IFERROR(VLOOKUP($A9&amp;"-"&amp;L$2, CHOOSE({1,2}, 'S12 Operations'!$C$2:$C$533&amp;"-"&amp;'S12 Operations'!$E$2:$E$533, 'S12 Operations'!$D$2:$D$533), 2, 0), "")</f>
        <v/>
      </c>
      <c r="M9" s="170" t="str">
        <f t="array" ref="M9">IFERROR(VLOOKUP($A9&amp;"-"&amp;M$2, CHOOSE({1,2}, 'S12 Operations'!$C$2:$C$533&amp;"-"&amp;'S12 Operations'!$E$2:$E$533, 'S12 Operations'!$D$2:$D$533), 2, 0), "")</f>
        <v/>
      </c>
      <c r="N9" s="170">
        <f t="array" ref="N9">IFERROR(VLOOKUP($A9&amp;"-"&amp;N$2, CHOOSE({1,2}, 'S12 Operations'!$C$2:$C$533&amp;"-"&amp;'S12 Operations'!$E$2:$E$533, 'S12 Operations'!$D$2:$D$533), 2, 0), "")</f>
        <v>40</v>
      </c>
      <c r="O9" s="170" t="str">
        <f t="array" ref="O9">IFERROR(VLOOKUP($A9&amp;"-"&amp;O$2, CHOOSE({1,2}, 'S12 Operations'!$C$2:$C$533&amp;"-"&amp;'S12 Operations'!$E$2:$E$533, 'S12 Operations'!$D$2:$D$533), 2, 0), "")</f>
        <v/>
      </c>
      <c r="P9" s="171" t="str">
        <f t="array" ref="P9">IFERROR(VLOOKUP($A9&amp;"-"&amp;P$2, CHOOSE({1,2}, 'S12 Operations'!$C$2:$C$533&amp;"-"&amp;'S12 Operations'!$E$2:$E$533, 'S12 Operations'!$D$2:$D$533), 2, 0), "")</f>
        <v/>
      </c>
      <c r="Q9" s="172" t="str">
        <f t="array" ref="Q9">IFERROR(VLOOKUP($A9&amp;"-"&amp;Q$2, CHOOSE({1,2}, 'S12 Operations'!$C$2:$C$533&amp;"-"&amp;'S12 Operations'!$E$2:$E$533, 'S12 Operations'!$D$2:$D$533), 2, 0), "")</f>
        <v/>
      </c>
      <c r="R9" s="173" t="str">
        <f t="array" ref="R9">IFERROR(VLOOKUP($A9&amp;"-"&amp;R$2, CHOOSE({1,2}, 'S12 Operations'!$C$2:$C$533&amp;"-"&amp;'S12 Operations'!$E$2:$E$533, 'S12 Operations'!$D$2:$D$533), 2, 0), "")</f>
        <v/>
      </c>
      <c r="S9" s="173">
        <f t="array" ref="S9">IFERROR(VLOOKUP($A9&amp;"-"&amp;S$2, CHOOSE({1,2}, 'S12 Operations'!$C$2:$C$533&amp;"-"&amp;'S12 Operations'!$E$2:$E$533, 'S12 Operations'!$D$2:$D$533), 2, 0), "")</f>
        <v>50</v>
      </c>
      <c r="T9" s="174" t="str">
        <f t="array" ref="T9">IFERROR(VLOOKUP($A9&amp;"-"&amp;T$2, CHOOSE({1,2}, 'S12 Operations'!$C$2:$C$533&amp;"-"&amp;'S12 Operations'!$E$2:$E$533, 'S12 Operations'!$D$2:$D$533), 2, 0), "")</f>
        <v/>
      </c>
      <c r="U9" s="169">
        <f t="array" ref="U9">IFERROR(VLOOKUP($A9&amp;"-"&amp;U$2, CHOOSE({1,2}, 'S12 Operations'!$C$2:$C$533&amp;"-"&amp;'S12 Operations'!$E$2:$E$533, 'S12 Operations'!$D$2:$D$533), 2, 0), "")</f>
        <v>60</v>
      </c>
      <c r="V9" s="171" t="str">
        <f t="array" ref="V9">IFERROR(VLOOKUP($A9&amp;"-"&amp;V$2, CHOOSE({1,2}, 'S12 Operations'!$C$2:$C$533&amp;"-"&amp;'S12 Operations'!$E$2:$E$533, 'S12 Operations'!$D$2:$D$533), 2, 0), "")</f>
        <v/>
      </c>
      <c r="W9" s="172">
        <f t="array" ref="W9">IFERROR(VLOOKUP($A9&amp;"-"&amp;W$2, CHOOSE({1,2}, 'S12 Operations'!$C$2:$C$533&amp;"-"&amp;'S12 Operations'!$E$2:$E$533, 'S12 Operations'!$D$2:$D$533), 2, 0), "")</f>
        <v>70</v>
      </c>
      <c r="X9" s="173" t="str">
        <f t="array" ref="X9">IFERROR(VLOOKUP($A9&amp;"-"&amp;X$2, CHOOSE({1,2}, 'S12 Operations'!$C$2:$C$533&amp;"-"&amp;'S12 Operations'!$E$2:$E$533, 'S12 Operations'!$D$2:$D$533), 2, 0), "")</f>
        <v/>
      </c>
      <c r="Y9" s="174" t="str">
        <f t="array" ref="Y9">IFERROR(VLOOKUP($A9&amp;"-"&amp;Y$2, CHOOSE({1,2}, 'S12 Operations'!$C$2:$C$533&amp;"-"&amp;'S12 Operations'!$E$2:$E$533, 'S12 Operations'!$D$2:$D$533), 2, 0), "")</f>
        <v/>
      </c>
      <c r="Z9" s="158" t="str">
        <f t="array" ref="Z9">IFERROR(VLOOKUP($A9&amp;"-"&amp;Z$2, CHOOSE({1,2}, 'S12 Operations'!$C$2:$C$533&amp;"-"&amp;'S12 Operations'!$E$2:$E$533, 'S12 Operations'!$D$2:$D$533), 2, 0), "")</f>
        <v/>
      </c>
      <c r="AA9" s="157">
        <f t="array" ref="AA9">IFERROR(VLOOKUP($A9&amp;"-"&amp;AA$2, CHOOSE({1,2}, 'S12 Operations'!$C$2:$C$533&amp;"-"&amp;'S12 Operations'!$E$2:$E$533, 'S12 Operations'!$D$2:$D$533), 2, 0), "")</f>
        <v>80</v>
      </c>
    </row>
    <row r="10" spans="1:27" ht="17" x14ac:dyDescent="0.2">
      <c r="A10" s="180" t="str">
        <f>'S08 ABC Output'!A15</f>
        <v>I-073</v>
      </c>
      <c r="B10" s="59">
        <f t="array" ref="B10">IFERROR(VLOOKUP($A10&amp;"-"&amp;B$2, CHOOSE({1,2}, 'S12 Operations'!$C$2:$C$533&amp;"-"&amp;'S12 Operations'!$E$2:$E$533, 'S12 Operations'!$D$2:$D$533), 2, 0), "")</f>
        <v>10</v>
      </c>
      <c r="C10" s="162" t="str">
        <f t="array" ref="C10">IFERROR(VLOOKUP($A10&amp;"-"&amp;C$2, CHOOSE({1,2}, 'S12 Operations'!$C$2:$C$533&amp;"-"&amp;'S12 Operations'!$E$2:$E$533, 'S12 Operations'!$D$2:$D$533), 2, 0), "")</f>
        <v/>
      </c>
      <c r="D10" s="160">
        <f t="array" ref="D10">IFERROR(VLOOKUP($A10&amp;"-"&amp;D$2, CHOOSE({1,2}, 'S12 Operations'!$C$2:$C$533&amp;"-"&amp;'S12 Operations'!$E$2:$E$533, 'S12 Operations'!$D$2:$D$533), 2, 0), "")</f>
        <v>20</v>
      </c>
      <c r="E10" s="163" t="str">
        <f t="array" ref="E10">IFERROR(VLOOKUP($A10&amp;"-"&amp;E$2, CHOOSE({1,2}, 'S12 Operations'!$C$2:$C$533&amp;"-"&amp;'S12 Operations'!$E$2:$E$533, 'S12 Operations'!$D$2:$D$533), 2, 0), "")</f>
        <v/>
      </c>
      <c r="F10" s="60" t="str">
        <f t="array" ref="F10">IFERROR(VLOOKUP($A10&amp;"-"&amp;F$2, CHOOSE({1,2}, 'S12 Operations'!$C$2:$C$533&amp;"-"&amp;'S12 Operations'!$E$2:$E$533, 'S12 Operations'!$D$2:$D$533), 2, 0), "")</f>
        <v/>
      </c>
      <c r="G10" s="4" t="str">
        <f t="array" ref="G10">IFERROR(VLOOKUP($A10&amp;"-"&amp;G$2, CHOOSE({1,2}, 'S12 Operations'!$C$2:$C$533&amp;"-"&amp;'S12 Operations'!$E$2:$E$533, 'S12 Operations'!$D$2:$D$533), 2, 0), "")</f>
        <v/>
      </c>
      <c r="H10" s="61">
        <f t="array" ref="H10">IFERROR(VLOOKUP($A10&amp;"-"&amp;H$2, CHOOSE({1,2}, 'S12 Operations'!$C$2:$C$533&amp;"-"&amp;'S12 Operations'!$E$2:$E$533, 'S12 Operations'!$D$2:$D$533), 2, 0), "")</f>
        <v>30</v>
      </c>
      <c r="I10" s="162" t="str">
        <f t="array" ref="I10">IFERROR(VLOOKUP($A10&amp;"-"&amp;I$2, CHOOSE({1,2}, 'S12 Operations'!$C$2:$C$533&amp;"-"&amp;'S12 Operations'!$E$2:$E$533, 'S12 Operations'!$D$2:$D$533), 2, 0), "")</f>
        <v/>
      </c>
      <c r="J10" s="160" t="str">
        <f t="array" ref="J10">IFERROR(VLOOKUP($A10&amp;"-"&amp;J$2, CHOOSE({1,2}, 'S12 Operations'!$C$2:$C$533&amp;"-"&amp;'S12 Operations'!$E$2:$E$533, 'S12 Operations'!$D$2:$D$533), 2, 0), "")</f>
        <v/>
      </c>
      <c r="K10" s="160" t="str">
        <f t="array" ref="K10">IFERROR(VLOOKUP($A10&amp;"-"&amp;K$2, CHOOSE({1,2}, 'S12 Operations'!$C$2:$C$533&amp;"-"&amp;'S12 Operations'!$E$2:$E$533, 'S12 Operations'!$D$2:$D$533), 2, 0), "")</f>
        <v/>
      </c>
      <c r="L10" s="160" t="str">
        <f t="array" ref="L10">IFERROR(VLOOKUP($A10&amp;"-"&amp;L$2, CHOOSE({1,2}, 'S12 Operations'!$C$2:$C$533&amp;"-"&amp;'S12 Operations'!$E$2:$E$533, 'S12 Operations'!$D$2:$D$533), 2, 0), "")</f>
        <v/>
      </c>
      <c r="M10" s="160" t="str">
        <f t="array" ref="M10">IFERROR(VLOOKUP($A10&amp;"-"&amp;M$2, CHOOSE({1,2}, 'S12 Operations'!$C$2:$C$533&amp;"-"&amp;'S12 Operations'!$E$2:$E$533, 'S12 Operations'!$D$2:$D$533), 2, 0), "")</f>
        <v/>
      </c>
      <c r="N10" s="160">
        <f t="array" ref="N10">IFERROR(VLOOKUP($A10&amp;"-"&amp;N$2, CHOOSE({1,2}, 'S12 Operations'!$C$2:$C$533&amp;"-"&amp;'S12 Operations'!$E$2:$E$533, 'S12 Operations'!$D$2:$D$533), 2, 0), "")</f>
        <v>40</v>
      </c>
      <c r="O10" s="160" t="str">
        <f t="array" ref="O10">IFERROR(VLOOKUP($A10&amp;"-"&amp;O$2, CHOOSE({1,2}, 'S12 Operations'!$C$2:$C$533&amp;"-"&amp;'S12 Operations'!$E$2:$E$533, 'S12 Operations'!$D$2:$D$533), 2, 0), "")</f>
        <v/>
      </c>
      <c r="P10" s="163" t="str">
        <f t="array" ref="P10">IFERROR(VLOOKUP($A10&amp;"-"&amp;P$2, CHOOSE({1,2}, 'S12 Operations'!$C$2:$C$533&amp;"-"&amp;'S12 Operations'!$E$2:$E$533, 'S12 Operations'!$D$2:$D$533), 2, 0), "")</f>
        <v/>
      </c>
      <c r="Q10" s="60" t="str">
        <f t="array" ref="Q10">IFERROR(VLOOKUP($A10&amp;"-"&amp;Q$2, CHOOSE({1,2}, 'S12 Operations'!$C$2:$C$533&amp;"-"&amp;'S12 Operations'!$E$2:$E$533, 'S12 Operations'!$D$2:$D$533), 2, 0), "")</f>
        <v/>
      </c>
      <c r="R10" s="4" t="str">
        <f t="array" ref="R10">IFERROR(VLOOKUP($A10&amp;"-"&amp;R$2, CHOOSE({1,2}, 'S12 Operations'!$C$2:$C$533&amp;"-"&amp;'S12 Operations'!$E$2:$E$533, 'S12 Operations'!$D$2:$D$533), 2, 0), "")</f>
        <v/>
      </c>
      <c r="S10" s="4">
        <f t="array" ref="S10">IFERROR(VLOOKUP($A10&amp;"-"&amp;S$2, CHOOSE({1,2}, 'S12 Operations'!$C$2:$C$533&amp;"-"&amp;'S12 Operations'!$E$2:$E$533, 'S12 Operations'!$D$2:$D$533), 2, 0), "")</f>
        <v>50</v>
      </c>
      <c r="T10" s="61" t="str">
        <f t="array" ref="T10">IFERROR(VLOOKUP($A10&amp;"-"&amp;T$2, CHOOSE({1,2}, 'S12 Operations'!$C$2:$C$533&amp;"-"&amp;'S12 Operations'!$E$2:$E$533, 'S12 Operations'!$D$2:$D$533), 2, 0), "")</f>
        <v/>
      </c>
      <c r="U10" s="162">
        <f t="array" ref="U10">IFERROR(VLOOKUP($A10&amp;"-"&amp;U$2, CHOOSE({1,2}, 'S12 Operations'!$C$2:$C$533&amp;"-"&amp;'S12 Operations'!$E$2:$E$533, 'S12 Operations'!$D$2:$D$533), 2, 0), "")</f>
        <v>60</v>
      </c>
      <c r="V10" s="163" t="str">
        <f t="array" ref="V10">IFERROR(VLOOKUP($A10&amp;"-"&amp;V$2, CHOOSE({1,2}, 'S12 Operations'!$C$2:$C$533&amp;"-"&amp;'S12 Operations'!$E$2:$E$533, 'S12 Operations'!$D$2:$D$533), 2, 0), "")</f>
        <v/>
      </c>
      <c r="W10" s="60">
        <f t="array" ref="W10">IFERROR(VLOOKUP($A10&amp;"-"&amp;W$2, CHOOSE({1,2}, 'S12 Operations'!$C$2:$C$533&amp;"-"&amp;'S12 Operations'!$E$2:$E$533, 'S12 Operations'!$D$2:$D$533), 2, 0), "")</f>
        <v>70</v>
      </c>
      <c r="X10" s="4" t="str">
        <f t="array" ref="X10">IFERROR(VLOOKUP($A10&amp;"-"&amp;X$2, CHOOSE({1,2}, 'S12 Operations'!$C$2:$C$533&amp;"-"&amp;'S12 Operations'!$E$2:$E$533, 'S12 Operations'!$D$2:$D$533), 2, 0), "")</f>
        <v/>
      </c>
      <c r="Y10" s="61" t="str">
        <f t="array" ref="Y10">IFERROR(VLOOKUP($A10&amp;"-"&amp;Y$2, CHOOSE({1,2}, 'S12 Operations'!$C$2:$C$533&amp;"-"&amp;'S12 Operations'!$E$2:$E$533, 'S12 Operations'!$D$2:$D$533), 2, 0), "")</f>
        <v/>
      </c>
      <c r="Z10" s="167" t="str">
        <f t="array" ref="Z10">IFERROR(VLOOKUP($A10&amp;"-"&amp;Z$2, CHOOSE({1,2}, 'S12 Operations'!$C$2:$C$533&amp;"-"&amp;'S12 Operations'!$E$2:$E$533, 'S12 Operations'!$D$2:$D$533), 2, 0), "")</f>
        <v/>
      </c>
      <c r="AA10" s="59">
        <f t="array" ref="AA10">IFERROR(VLOOKUP($A10&amp;"-"&amp;AA$2, CHOOSE({1,2}, 'S12 Operations'!$C$2:$C$533&amp;"-"&amp;'S12 Operations'!$E$2:$E$533, 'S12 Operations'!$D$2:$D$533), 2, 0), "")</f>
        <v>80</v>
      </c>
    </row>
    <row r="11" spans="1:27" ht="18" thickBot="1" x14ac:dyDescent="0.25">
      <c r="A11" s="159" t="str">
        <f>'S08 ABC Output'!A18</f>
        <v>I-074</v>
      </c>
      <c r="B11" s="62">
        <f t="array" ref="B11">IFERROR(VLOOKUP($A11&amp;"-"&amp;B$2, CHOOSE({1,2}, 'S12 Operations'!$C$2:$C$533&amp;"-"&amp;'S12 Operations'!$E$2:$E$533, 'S12 Operations'!$D$2:$D$533), 2, 0), "")</f>
        <v>10</v>
      </c>
      <c r="C11" s="164" t="str">
        <f t="array" ref="C11">IFERROR(VLOOKUP($A11&amp;"-"&amp;C$2, CHOOSE({1,2}, 'S12 Operations'!$C$2:$C$533&amp;"-"&amp;'S12 Operations'!$E$2:$E$533, 'S12 Operations'!$D$2:$D$533), 2, 0), "")</f>
        <v/>
      </c>
      <c r="D11" s="165">
        <f t="array" ref="D11">IFERROR(VLOOKUP($A11&amp;"-"&amp;D$2, CHOOSE({1,2}, 'S12 Operations'!$C$2:$C$533&amp;"-"&amp;'S12 Operations'!$E$2:$E$533, 'S12 Operations'!$D$2:$D$533), 2, 0), "")</f>
        <v>20</v>
      </c>
      <c r="E11" s="166" t="str">
        <f t="array" ref="E11">IFERROR(VLOOKUP($A11&amp;"-"&amp;E$2, CHOOSE({1,2}, 'S12 Operations'!$C$2:$C$533&amp;"-"&amp;'S12 Operations'!$E$2:$E$533, 'S12 Operations'!$D$2:$D$533), 2, 0), "")</f>
        <v/>
      </c>
      <c r="F11" s="63" t="str">
        <f t="array" ref="F11">IFERROR(VLOOKUP($A11&amp;"-"&amp;F$2, CHOOSE({1,2}, 'S12 Operations'!$C$2:$C$533&amp;"-"&amp;'S12 Operations'!$E$2:$E$533, 'S12 Operations'!$D$2:$D$533), 2, 0), "")</f>
        <v/>
      </c>
      <c r="G11" s="64" t="str">
        <f t="array" ref="G11">IFERROR(VLOOKUP($A11&amp;"-"&amp;G$2, CHOOSE({1,2}, 'S12 Operations'!$C$2:$C$533&amp;"-"&amp;'S12 Operations'!$E$2:$E$533, 'S12 Operations'!$D$2:$D$533), 2, 0), "")</f>
        <v/>
      </c>
      <c r="H11" s="65">
        <f t="array" ref="H11">IFERROR(VLOOKUP($A11&amp;"-"&amp;H$2, CHOOSE({1,2}, 'S12 Operations'!$C$2:$C$533&amp;"-"&amp;'S12 Operations'!$E$2:$E$533, 'S12 Operations'!$D$2:$D$533), 2, 0), "")</f>
        <v>30</v>
      </c>
      <c r="I11" s="164" t="str">
        <f t="array" ref="I11">IFERROR(VLOOKUP($A11&amp;"-"&amp;I$2, CHOOSE({1,2}, 'S12 Operations'!$C$2:$C$533&amp;"-"&amp;'S12 Operations'!$E$2:$E$533, 'S12 Operations'!$D$2:$D$533), 2, 0), "")</f>
        <v/>
      </c>
      <c r="J11" s="165" t="str">
        <f t="array" ref="J11">IFERROR(VLOOKUP($A11&amp;"-"&amp;J$2, CHOOSE({1,2}, 'S12 Operations'!$C$2:$C$533&amp;"-"&amp;'S12 Operations'!$E$2:$E$533, 'S12 Operations'!$D$2:$D$533), 2, 0), "")</f>
        <v/>
      </c>
      <c r="K11" s="165" t="str">
        <f t="array" ref="K11">IFERROR(VLOOKUP($A11&amp;"-"&amp;K$2, CHOOSE({1,2}, 'S12 Operations'!$C$2:$C$533&amp;"-"&amp;'S12 Operations'!$E$2:$E$533, 'S12 Operations'!$D$2:$D$533), 2, 0), "")</f>
        <v/>
      </c>
      <c r="L11" s="165" t="str">
        <f t="array" ref="L11">IFERROR(VLOOKUP($A11&amp;"-"&amp;L$2, CHOOSE({1,2}, 'S12 Operations'!$C$2:$C$533&amp;"-"&amp;'S12 Operations'!$E$2:$E$533, 'S12 Operations'!$D$2:$D$533), 2, 0), "")</f>
        <v/>
      </c>
      <c r="M11" s="165" t="str">
        <f t="array" ref="M11">IFERROR(VLOOKUP($A11&amp;"-"&amp;M$2, CHOOSE({1,2}, 'S12 Operations'!$C$2:$C$533&amp;"-"&amp;'S12 Operations'!$E$2:$E$533, 'S12 Operations'!$D$2:$D$533), 2, 0), "")</f>
        <v/>
      </c>
      <c r="N11" s="165">
        <f t="array" ref="N11">IFERROR(VLOOKUP($A11&amp;"-"&amp;N$2, CHOOSE({1,2}, 'S12 Operations'!$C$2:$C$533&amp;"-"&amp;'S12 Operations'!$E$2:$E$533, 'S12 Operations'!$D$2:$D$533), 2, 0), "")</f>
        <v>40</v>
      </c>
      <c r="O11" s="165" t="str">
        <f t="array" ref="O11">IFERROR(VLOOKUP($A11&amp;"-"&amp;O$2, CHOOSE({1,2}, 'S12 Operations'!$C$2:$C$533&amp;"-"&amp;'S12 Operations'!$E$2:$E$533, 'S12 Operations'!$D$2:$D$533), 2, 0), "")</f>
        <v/>
      </c>
      <c r="P11" s="166" t="str">
        <f t="array" ref="P11">IFERROR(VLOOKUP($A11&amp;"-"&amp;P$2, CHOOSE({1,2}, 'S12 Operations'!$C$2:$C$533&amp;"-"&amp;'S12 Operations'!$E$2:$E$533, 'S12 Operations'!$D$2:$D$533), 2, 0), "")</f>
        <v/>
      </c>
      <c r="Q11" s="63" t="str">
        <f t="array" ref="Q11">IFERROR(VLOOKUP($A11&amp;"-"&amp;Q$2, CHOOSE({1,2}, 'S12 Operations'!$C$2:$C$533&amp;"-"&amp;'S12 Operations'!$E$2:$E$533, 'S12 Operations'!$D$2:$D$533), 2, 0), "")</f>
        <v/>
      </c>
      <c r="R11" s="64" t="str">
        <f t="array" ref="R11">IFERROR(VLOOKUP($A11&amp;"-"&amp;R$2, CHOOSE({1,2}, 'S12 Operations'!$C$2:$C$533&amp;"-"&amp;'S12 Operations'!$E$2:$E$533, 'S12 Operations'!$D$2:$D$533), 2, 0), "")</f>
        <v/>
      </c>
      <c r="S11" s="64">
        <f t="array" ref="S11">IFERROR(VLOOKUP($A11&amp;"-"&amp;S$2, CHOOSE({1,2}, 'S12 Operations'!$C$2:$C$533&amp;"-"&amp;'S12 Operations'!$E$2:$E$533, 'S12 Operations'!$D$2:$D$533), 2, 0), "")</f>
        <v>50</v>
      </c>
      <c r="T11" s="65" t="str">
        <f t="array" ref="T11">IFERROR(VLOOKUP($A11&amp;"-"&amp;T$2, CHOOSE({1,2}, 'S12 Operations'!$C$2:$C$533&amp;"-"&amp;'S12 Operations'!$E$2:$E$533, 'S12 Operations'!$D$2:$D$533), 2, 0), "")</f>
        <v/>
      </c>
      <c r="U11" s="164">
        <f t="array" ref="U11">IFERROR(VLOOKUP($A11&amp;"-"&amp;U$2, CHOOSE({1,2}, 'S12 Operations'!$C$2:$C$533&amp;"-"&amp;'S12 Operations'!$E$2:$E$533, 'S12 Operations'!$D$2:$D$533), 2, 0), "")</f>
        <v>60</v>
      </c>
      <c r="V11" s="166" t="str">
        <f t="array" ref="V11">IFERROR(VLOOKUP($A11&amp;"-"&amp;V$2, CHOOSE({1,2}, 'S12 Operations'!$C$2:$C$533&amp;"-"&amp;'S12 Operations'!$E$2:$E$533, 'S12 Operations'!$D$2:$D$533), 2, 0), "")</f>
        <v/>
      </c>
      <c r="W11" s="63">
        <f t="array" ref="W11">IFERROR(VLOOKUP($A11&amp;"-"&amp;W$2, CHOOSE({1,2}, 'S12 Operations'!$C$2:$C$533&amp;"-"&amp;'S12 Operations'!$E$2:$E$533, 'S12 Operations'!$D$2:$D$533), 2, 0), "")</f>
        <v>70</v>
      </c>
      <c r="X11" s="64" t="str">
        <f t="array" ref="X11">IFERROR(VLOOKUP($A11&amp;"-"&amp;X$2, CHOOSE({1,2}, 'S12 Operations'!$C$2:$C$533&amp;"-"&amp;'S12 Operations'!$E$2:$E$533, 'S12 Operations'!$D$2:$D$533), 2, 0), "")</f>
        <v/>
      </c>
      <c r="Y11" s="65" t="str">
        <f t="array" ref="Y11">IFERROR(VLOOKUP($A11&amp;"-"&amp;Y$2, CHOOSE({1,2}, 'S12 Operations'!$C$2:$C$533&amp;"-"&amp;'S12 Operations'!$E$2:$E$533, 'S12 Operations'!$D$2:$D$533), 2, 0), "")</f>
        <v/>
      </c>
      <c r="Z11" s="168" t="str">
        <f t="array" ref="Z11">IFERROR(VLOOKUP($A11&amp;"-"&amp;Z$2, CHOOSE({1,2}, 'S12 Operations'!$C$2:$C$533&amp;"-"&amp;'S12 Operations'!$E$2:$E$533, 'S12 Operations'!$D$2:$D$533), 2, 0), "")</f>
        <v/>
      </c>
      <c r="AA11" s="62">
        <f t="array" ref="AA11">IFERROR(VLOOKUP($A11&amp;"-"&amp;AA$2, CHOOSE({1,2}, 'S12 Operations'!$C$2:$C$533&amp;"-"&amp;'S12 Operations'!$E$2:$E$533, 'S12 Operations'!$D$2:$D$533), 2, 0), "")</f>
        <v>80</v>
      </c>
    </row>
    <row r="12" spans="1:27" ht="17" x14ac:dyDescent="0.2">
      <c r="A12" s="179" t="str">
        <f>'S08 ABC Output'!A14</f>
        <v>I-006</v>
      </c>
      <c r="B12" s="157">
        <f t="array" ref="B12">IFERROR(VLOOKUP($A12&amp;"-"&amp;B$2, CHOOSE({1,2}, 'S12 Operations'!$C$2:$C$533&amp;"-"&amp;'S12 Operations'!$E$2:$E$533, 'S12 Operations'!$D$2:$D$533), 2, 0), "")</f>
        <v>10</v>
      </c>
      <c r="C12" s="169" t="str">
        <f t="array" ref="C12">IFERROR(VLOOKUP($A12&amp;"-"&amp;C$2, CHOOSE({1,2}, 'S12 Operations'!$C$2:$C$533&amp;"-"&amp;'S12 Operations'!$E$2:$E$533, 'S12 Operations'!$D$2:$D$533), 2, 0), "")</f>
        <v/>
      </c>
      <c r="D12" s="170" t="str">
        <f t="array" ref="D12">IFERROR(VLOOKUP($A12&amp;"-"&amp;D$2, CHOOSE({1,2}, 'S12 Operations'!$C$2:$C$533&amp;"-"&amp;'S12 Operations'!$E$2:$E$533, 'S12 Operations'!$D$2:$D$533), 2, 0), "")</f>
        <v/>
      </c>
      <c r="E12" s="171">
        <f t="array" ref="E12">IFERROR(VLOOKUP($A12&amp;"-"&amp;E$2, CHOOSE({1,2}, 'S12 Operations'!$C$2:$C$533&amp;"-"&amp;'S12 Operations'!$E$2:$E$533, 'S12 Operations'!$D$2:$D$533), 2, 0), "")</f>
        <v>20</v>
      </c>
      <c r="F12" s="172">
        <f t="array" ref="F12">IFERROR(VLOOKUP($A12&amp;"-"&amp;F$2, CHOOSE({1,2}, 'S12 Operations'!$C$2:$C$533&amp;"-"&amp;'S12 Operations'!$E$2:$E$533, 'S12 Operations'!$D$2:$D$533), 2, 0), "")</f>
        <v>30</v>
      </c>
      <c r="G12" s="173" t="str">
        <f t="array" ref="G12">IFERROR(VLOOKUP($A12&amp;"-"&amp;G$2, CHOOSE({1,2}, 'S12 Operations'!$C$2:$C$533&amp;"-"&amp;'S12 Operations'!$E$2:$E$533, 'S12 Operations'!$D$2:$D$533), 2, 0), "")</f>
        <v/>
      </c>
      <c r="H12" s="174" t="str">
        <f t="array" ref="H12">IFERROR(VLOOKUP($A12&amp;"-"&amp;H$2, CHOOSE({1,2}, 'S12 Operations'!$C$2:$C$533&amp;"-"&amp;'S12 Operations'!$E$2:$E$533, 'S12 Operations'!$D$2:$D$533), 2, 0), "")</f>
        <v/>
      </c>
      <c r="I12" s="169" t="str">
        <f t="array" ref="I12">IFERROR(VLOOKUP($A12&amp;"-"&amp;I$2, CHOOSE({1,2}, 'S12 Operations'!$C$2:$C$533&amp;"-"&amp;'S12 Operations'!$E$2:$E$533, 'S12 Operations'!$D$2:$D$533), 2, 0), "")</f>
        <v/>
      </c>
      <c r="J12" s="170" t="str">
        <f t="array" ref="J12">IFERROR(VLOOKUP($A12&amp;"-"&amp;J$2, CHOOSE({1,2}, 'S12 Operations'!$C$2:$C$533&amp;"-"&amp;'S12 Operations'!$E$2:$E$533, 'S12 Operations'!$D$2:$D$533), 2, 0), "")</f>
        <v/>
      </c>
      <c r="K12" s="170" t="str">
        <f t="array" ref="K12">IFERROR(VLOOKUP($A12&amp;"-"&amp;K$2, CHOOSE({1,2}, 'S12 Operations'!$C$2:$C$533&amp;"-"&amp;'S12 Operations'!$E$2:$E$533, 'S12 Operations'!$D$2:$D$533), 2, 0), "")</f>
        <v/>
      </c>
      <c r="L12" s="170">
        <f t="array" ref="L12">IFERROR(VLOOKUP($A12&amp;"-"&amp;L$2, CHOOSE({1,2}, 'S12 Operations'!$C$2:$C$533&amp;"-"&amp;'S12 Operations'!$E$2:$E$533, 'S12 Operations'!$D$2:$D$533), 2, 0), "")</f>
        <v>40</v>
      </c>
      <c r="M12" s="170" t="str">
        <f t="array" ref="M12">IFERROR(VLOOKUP($A12&amp;"-"&amp;M$2, CHOOSE({1,2}, 'S12 Operations'!$C$2:$C$533&amp;"-"&amp;'S12 Operations'!$E$2:$E$533, 'S12 Operations'!$D$2:$D$533), 2, 0), "")</f>
        <v/>
      </c>
      <c r="N12" s="170" t="str">
        <f t="array" ref="N12">IFERROR(VLOOKUP($A12&amp;"-"&amp;N$2, CHOOSE({1,2}, 'S12 Operations'!$C$2:$C$533&amp;"-"&amp;'S12 Operations'!$E$2:$E$533, 'S12 Operations'!$D$2:$D$533), 2, 0), "")</f>
        <v/>
      </c>
      <c r="O12" s="170" t="str">
        <f t="array" ref="O12">IFERROR(VLOOKUP($A12&amp;"-"&amp;O$2, CHOOSE({1,2}, 'S12 Operations'!$C$2:$C$533&amp;"-"&amp;'S12 Operations'!$E$2:$E$533, 'S12 Operations'!$D$2:$D$533), 2, 0), "")</f>
        <v/>
      </c>
      <c r="P12" s="171">
        <f t="array" ref="P12">IFERROR(VLOOKUP($A12&amp;"-"&amp;P$2, CHOOSE({1,2}, 'S12 Operations'!$C$2:$C$533&amp;"-"&amp;'S12 Operations'!$E$2:$E$533, 'S12 Operations'!$D$2:$D$533), 2, 0), "")</f>
        <v>50</v>
      </c>
      <c r="Q12" s="172" t="str">
        <f t="array" ref="Q12">IFERROR(VLOOKUP($A12&amp;"-"&amp;Q$2, CHOOSE({1,2}, 'S12 Operations'!$C$2:$C$533&amp;"-"&amp;'S12 Operations'!$E$2:$E$533, 'S12 Operations'!$D$2:$D$533), 2, 0), "")</f>
        <v/>
      </c>
      <c r="R12" s="173" t="str">
        <f t="array" ref="R12">IFERROR(VLOOKUP($A12&amp;"-"&amp;R$2, CHOOSE({1,2}, 'S12 Operations'!$C$2:$C$533&amp;"-"&amp;'S12 Operations'!$E$2:$E$533, 'S12 Operations'!$D$2:$D$533), 2, 0), "")</f>
        <v/>
      </c>
      <c r="S12" s="173" t="str">
        <f t="array" ref="S12">IFERROR(VLOOKUP($A12&amp;"-"&amp;S$2, CHOOSE({1,2}, 'S12 Operations'!$C$2:$C$533&amp;"-"&amp;'S12 Operations'!$E$2:$E$533, 'S12 Operations'!$D$2:$D$533), 2, 0), "")</f>
        <v/>
      </c>
      <c r="T12" s="174" t="str">
        <f t="array" ref="T12">IFERROR(VLOOKUP($A12&amp;"-"&amp;T$2, CHOOSE({1,2}, 'S12 Operations'!$C$2:$C$533&amp;"-"&amp;'S12 Operations'!$E$2:$E$533, 'S12 Operations'!$D$2:$D$533), 2, 0), "")</f>
        <v/>
      </c>
      <c r="U12" s="169" t="str">
        <f t="array" ref="U12">IFERROR(VLOOKUP($A12&amp;"-"&amp;U$2, CHOOSE({1,2}, 'S12 Operations'!$C$2:$C$533&amp;"-"&amp;'S12 Operations'!$E$2:$E$533, 'S12 Operations'!$D$2:$D$533), 2, 0), "")</f>
        <v/>
      </c>
      <c r="V12" s="171">
        <f t="array" ref="V12">IFERROR(VLOOKUP($A12&amp;"-"&amp;V$2, CHOOSE({1,2}, 'S12 Operations'!$C$2:$C$533&amp;"-"&amp;'S12 Operations'!$E$2:$E$533, 'S12 Operations'!$D$2:$D$533), 2, 0), "")</f>
        <v>60</v>
      </c>
      <c r="W12" s="172" t="str">
        <f t="array" ref="W12">IFERROR(VLOOKUP($A12&amp;"-"&amp;W$2, CHOOSE({1,2}, 'S12 Operations'!$C$2:$C$533&amp;"-"&amp;'S12 Operations'!$E$2:$E$533, 'S12 Operations'!$D$2:$D$533), 2, 0), "")</f>
        <v/>
      </c>
      <c r="X12" s="173">
        <f t="array" ref="X12">IFERROR(VLOOKUP($A12&amp;"-"&amp;X$2, CHOOSE({1,2}, 'S12 Operations'!$C$2:$C$533&amp;"-"&amp;'S12 Operations'!$E$2:$E$533, 'S12 Operations'!$D$2:$D$533), 2, 0), "")</f>
        <v>70</v>
      </c>
      <c r="Y12" s="174" t="str">
        <f t="array" ref="Y12">IFERROR(VLOOKUP($A12&amp;"-"&amp;Y$2, CHOOSE({1,2}, 'S12 Operations'!$C$2:$C$533&amp;"-"&amp;'S12 Operations'!$E$2:$E$533, 'S12 Operations'!$D$2:$D$533), 2, 0), "")</f>
        <v/>
      </c>
      <c r="Z12" s="158" t="str">
        <f t="array" ref="Z12">IFERROR(VLOOKUP($A12&amp;"-"&amp;Z$2, CHOOSE({1,2}, 'S12 Operations'!$C$2:$C$533&amp;"-"&amp;'S12 Operations'!$E$2:$E$533, 'S12 Operations'!$D$2:$D$533), 2, 0), "")</f>
        <v/>
      </c>
      <c r="AA12" s="157">
        <f t="array" ref="AA12">IFERROR(VLOOKUP($A12&amp;"-"&amp;AA$2, CHOOSE({1,2}, 'S12 Operations'!$C$2:$C$533&amp;"-"&amp;'S12 Operations'!$E$2:$E$533, 'S12 Operations'!$D$2:$D$533), 2, 0), "")</f>
        <v>80</v>
      </c>
    </row>
    <row r="13" spans="1:27" ht="17" x14ac:dyDescent="0.2">
      <c r="A13" s="180" t="str">
        <f>'S08 ABC Output'!A17</f>
        <v>I-007</v>
      </c>
      <c r="B13" s="59">
        <f t="array" ref="B13">IFERROR(VLOOKUP($A13&amp;"-"&amp;B$2, CHOOSE({1,2}, 'S12 Operations'!$C$2:$C$533&amp;"-"&amp;'S12 Operations'!$E$2:$E$533, 'S12 Operations'!$D$2:$D$533), 2, 0), "")</f>
        <v>10</v>
      </c>
      <c r="C13" s="162" t="str">
        <f t="array" ref="C13">IFERROR(VLOOKUP($A13&amp;"-"&amp;C$2, CHOOSE({1,2}, 'S12 Operations'!$C$2:$C$533&amp;"-"&amp;'S12 Operations'!$E$2:$E$533, 'S12 Operations'!$D$2:$D$533), 2, 0), "")</f>
        <v/>
      </c>
      <c r="D13" s="160" t="str">
        <f t="array" ref="D13">IFERROR(VLOOKUP($A13&amp;"-"&amp;D$2, CHOOSE({1,2}, 'S12 Operations'!$C$2:$C$533&amp;"-"&amp;'S12 Operations'!$E$2:$E$533, 'S12 Operations'!$D$2:$D$533), 2, 0), "")</f>
        <v/>
      </c>
      <c r="E13" s="163">
        <f t="array" ref="E13">IFERROR(VLOOKUP($A13&amp;"-"&amp;E$2, CHOOSE({1,2}, 'S12 Operations'!$C$2:$C$533&amp;"-"&amp;'S12 Operations'!$E$2:$E$533, 'S12 Operations'!$D$2:$D$533), 2, 0), "")</f>
        <v>20</v>
      </c>
      <c r="F13" s="60">
        <f t="array" ref="F13">IFERROR(VLOOKUP($A13&amp;"-"&amp;F$2, CHOOSE({1,2}, 'S12 Operations'!$C$2:$C$533&amp;"-"&amp;'S12 Operations'!$E$2:$E$533, 'S12 Operations'!$D$2:$D$533), 2, 0), "")</f>
        <v>30</v>
      </c>
      <c r="G13" s="4" t="str">
        <f t="array" ref="G13">IFERROR(VLOOKUP($A13&amp;"-"&amp;G$2, CHOOSE({1,2}, 'S12 Operations'!$C$2:$C$533&amp;"-"&amp;'S12 Operations'!$E$2:$E$533, 'S12 Operations'!$D$2:$D$533), 2, 0), "")</f>
        <v/>
      </c>
      <c r="H13" s="61" t="str">
        <f t="array" ref="H13">IFERROR(VLOOKUP($A13&amp;"-"&amp;H$2, CHOOSE({1,2}, 'S12 Operations'!$C$2:$C$533&amp;"-"&amp;'S12 Operations'!$E$2:$E$533, 'S12 Operations'!$D$2:$D$533), 2, 0), "")</f>
        <v/>
      </c>
      <c r="I13" s="162" t="str">
        <f t="array" ref="I13">IFERROR(VLOOKUP($A13&amp;"-"&amp;I$2, CHOOSE({1,2}, 'S12 Operations'!$C$2:$C$533&amp;"-"&amp;'S12 Operations'!$E$2:$E$533, 'S12 Operations'!$D$2:$D$533), 2, 0), "")</f>
        <v/>
      </c>
      <c r="J13" s="160" t="str">
        <f t="array" ref="J13">IFERROR(VLOOKUP($A13&amp;"-"&amp;J$2, CHOOSE({1,2}, 'S12 Operations'!$C$2:$C$533&amp;"-"&amp;'S12 Operations'!$E$2:$E$533, 'S12 Operations'!$D$2:$D$533), 2, 0), "")</f>
        <v/>
      </c>
      <c r="K13" s="160" t="str">
        <f t="array" ref="K13">IFERROR(VLOOKUP($A13&amp;"-"&amp;K$2, CHOOSE({1,2}, 'S12 Operations'!$C$2:$C$533&amp;"-"&amp;'S12 Operations'!$E$2:$E$533, 'S12 Operations'!$D$2:$D$533), 2, 0), "")</f>
        <v/>
      </c>
      <c r="L13" s="160">
        <f t="array" ref="L13">IFERROR(VLOOKUP($A13&amp;"-"&amp;L$2, CHOOSE({1,2}, 'S12 Operations'!$C$2:$C$533&amp;"-"&amp;'S12 Operations'!$E$2:$E$533, 'S12 Operations'!$D$2:$D$533), 2, 0), "")</f>
        <v>40</v>
      </c>
      <c r="M13" s="160" t="str">
        <f t="array" ref="M13">IFERROR(VLOOKUP($A13&amp;"-"&amp;M$2, CHOOSE({1,2}, 'S12 Operations'!$C$2:$C$533&amp;"-"&amp;'S12 Operations'!$E$2:$E$533, 'S12 Operations'!$D$2:$D$533), 2, 0), "")</f>
        <v/>
      </c>
      <c r="N13" s="160" t="str">
        <f t="array" ref="N13">IFERROR(VLOOKUP($A13&amp;"-"&amp;N$2, CHOOSE({1,2}, 'S12 Operations'!$C$2:$C$533&amp;"-"&amp;'S12 Operations'!$E$2:$E$533, 'S12 Operations'!$D$2:$D$533), 2, 0), "")</f>
        <v/>
      </c>
      <c r="O13" s="160" t="str">
        <f t="array" ref="O13">IFERROR(VLOOKUP($A13&amp;"-"&amp;O$2, CHOOSE({1,2}, 'S12 Operations'!$C$2:$C$533&amp;"-"&amp;'S12 Operations'!$E$2:$E$533, 'S12 Operations'!$D$2:$D$533), 2, 0), "")</f>
        <v/>
      </c>
      <c r="P13" s="163">
        <f t="array" ref="P13">IFERROR(VLOOKUP($A13&amp;"-"&amp;P$2, CHOOSE({1,2}, 'S12 Operations'!$C$2:$C$533&amp;"-"&amp;'S12 Operations'!$E$2:$E$533, 'S12 Operations'!$D$2:$D$533), 2, 0), "")</f>
        <v>50</v>
      </c>
      <c r="Q13" s="60" t="str">
        <f t="array" ref="Q13">IFERROR(VLOOKUP($A13&amp;"-"&amp;Q$2, CHOOSE({1,2}, 'S12 Operations'!$C$2:$C$533&amp;"-"&amp;'S12 Operations'!$E$2:$E$533, 'S12 Operations'!$D$2:$D$533), 2, 0), "")</f>
        <v/>
      </c>
      <c r="R13" s="4" t="str">
        <f t="array" ref="R13">IFERROR(VLOOKUP($A13&amp;"-"&amp;R$2, CHOOSE({1,2}, 'S12 Operations'!$C$2:$C$533&amp;"-"&amp;'S12 Operations'!$E$2:$E$533, 'S12 Operations'!$D$2:$D$533), 2, 0), "")</f>
        <v/>
      </c>
      <c r="S13" s="4" t="str">
        <f t="array" ref="S13">IFERROR(VLOOKUP($A13&amp;"-"&amp;S$2, CHOOSE({1,2}, 'S12 Operations'!$C$2:$C$533&amp;"-"&amp;'S12 Operations'!$E$2:$E$533, 'S12 Operations'!$D$2:$D$533), 2, 0), "")</f>
        <v/>
      </c>
      <c r="T13" s="61" t="str">
        <f t="array" ref="T13">IFERROR(VLOOKUP($A13&amp;"-"&amp;T$2, CHOOSE({1,2}, 'S12 Operations'!$C$2:$C$533&amp;"-"&amp;'S12 Operations'!$E$2:$E$533, 'S12 Operations'!$D$2:$D$533), 2, 0), "")</f>
        <v/>
      </c>
      <c r="U13" s="162" t="str">
        <f t="array" ref="U13">IFERROR(VLOOKUP($A13&amp;"-"&amp;U$2, CHOOSE({1,2}, 'S12 Operations'!$C$2:$C$533&amp;"-"&amp;'S12 Operations'!$E$2:$E$533, 'S12 Operations'!$D$2:$D$533), 2, 0), "")</f>
        <v/>
      </c>
      <c r="V13" s="163">
        <f t="array" ref="V13">IFERROR(VLOOKUP($A13&amp;"-"&amp;V$2, CHOOSE({1,2}, 'S12 Operations'!$C$2:$C$533&amp;"-"&amp;'S12 Operations'!$E$2:$E$533, 'S12 Operations'!$D$2:$D$533), 2, 0), "")</f>
        <v>60</v>
      </c>
      <c r="W13" s="60" t="str">
        <f t="array" ref="W13">IFERROR(VLOOKUP($A13&amp;"-"&amp;W$2, CHOOSE({1,2}, 'S12 Operations'!$C$2:$C$533&amp;"-"&amp;'S12 Operations'!$E$2:$E$533, 'S12 Operations'!$D$2:$D$533), 2, 0), "")</f>
        <v/>
      </c>
      <c r="X13" s="4">
        <f t="array" ref="X13">IFERROR(VLOOKUP($A13&amp;"-"&amp;X$2, CHOOSE({1,2}, 'S12 Operations'!$C$2:$C$533&amp;"-"&amp;'S12 Operations'!$E$2:$E$533, 'S12 Operations'!$D$2:$D$533), 2, 0), "")</f>
        <v>70</v>
      </c>
      <c r="Y13" s="61" t="str">
        <f t="array" ref="Y13">IFERROR(VLOOKUP($A13&amp;"-"&amp;Y$2, CHOOSE({1,2}, 'S12 Operations'!$C$2:$C$533&amp;"-"&amp;'S12 Operations'!$E$2:$E$533, 'S12 Operations'!$D$2:$D$533), 2, 0), "")</f>
        <v/>
      </c>
      <c r="Z13" s="167" t="str">
        <f t="array" ref="Z13">IFERROR(VLOOKUP($A13&amp;"-"&amp;Z$2, CHOOSE({1,2}, 'S12 Operations'!$C$2:$C$533&amp;"-"&amp;'S12 Operations'!$E$2:$E$533, 'S12 Operations'!$D$2:$D$533), 2, 0), "")</f>
        <v/>
      </c>
      <c r="AA13" s="59">
        <f t="array" ref="AA13">IFERROR(VLOOKUP($A13&amp;"-"&amp;AA$2, CHOOSE({1,2}, 'S12 Operations'!$C$2:$C$533&amp;"-"&amp;'S12 Operations'!$E$2:$E$533, 'S12 Operations'!$D$2:$D$533), 2, 0), "")</f>
        <v>80</v>
      </c>
    </row>
    <row r="14" spans="1:27" ht="18" thickBot="1" x14ac:dyDescent="0.25">
      <c r="A14" s="159" t="str">
        <f>'S08 ABC Output'!A3</f>
        <v>I-010</v>
      </c>
      <c r="B14" s="62">
        <f t="array" ref="B14">IFERROR(VLOOKUP($A14&amp;"-"&amp;B$2, CHOOSE({1,2}, 'S12 Operations'!$C$2:$C$533&amp;"-"&amp;'S12 Operations'!$E$2:$E$533, 'S12 Operations'!$D$2:$D$533), 2, 0), "")</f>
        <v>10</v>
      </c>
      <c r="C14" s="164" t="str">
        <f t="array" ref="C14">IFERROR(VLOOKUP($A14&amp;"-"&amp;C$2, CHOOSE({1,2}, 'S12 Operations'!$C$2:$C$533&amp;"-"&amp;'S12 Operations'!$E$2:$E$533, 'S12 Operations'!$D$2:$D$533), 2, 0), "")</f>
        <v/>
      </c>
      <c r="D14" s="165" t="str">
        <f t="array" ref="D14">IFERROR(VLOOKUP($A14&amp;"-"&amp;D$2, CHOOSE({1,2}, 'S12 Operations'!$C$2:$C$533&amp;"-"&amp;'S12 Operations'!$E$2:$E$533, 'S12 Operations'!$D$2:$D$533), 2, 0), "")</f>
        <v/>
      </c>
      <c r="E14" s="166">
        <f t="array" ref="E14">IFERROR(VLOOKUP($A14&amp;"-"&amp;E$2, CHOOSE({1,2}, 'S12 Operations'!$C$2:$C$533&amp;"-"&amp;'S12 Operations'!$E$2:$E$533, 'S12 Operations'!$D$2:$D$533), 2, 0), "")</f>
        <v>20</v>
      </c>
      <c r="F14" s="63">
        <f t="array" ref="F14">IFERROR(VLOOKUP($A14&amp;"-"&amp;F$2, CHOOSE({1,2}, 'S12 Operations'!$C$2:$C$533&amp;"-"&amp;'S12 Operations'!$E$2:$E$533, 'S12 Operations'!$D$2:$D$533), 2, 0), "")</f>
        <v>30</v>
      </c>
      <c r="G14" s="64" t="str">
        <f t="array" ref="G14">IFERROR(VLOOKUP($A14&amp;"-"&amp;G$2, CHOOSE({1,2}, 'S12 Operations'!$C$2:$C$533&amp;"-"&amp;'S12 Operations'!$E$2:$E$533, 'S12 Operations'!$D$2:$D$533), 2, 0), "")</f>
        <v/>
      </c>
      <c r="H14" s="65" t="str">
        <f t="array" ref="H14">IFERROR(VLOOKUP($A14&amp;"-"&amp;H$2, CHOOSE({1,2}, 'S12 Operations'!$C$2:$C$533&amp;"-"&amp;'S12 Operations'!$E$2:$E$533, 'S12 Operations'!$D$2:$D$533), 2, 0), "")</f>
        <v/>
      </c>
      <c r="I14" s="164" t="str">
        <f t="array" ref="I14">IFERROR(VLOOKUP($A14&amp;"-"&amp;I$2, CHOOSE({1,2}, 'S12 Operations'!$C$2:$C$533&amp;"-"&amp;'S12 Operations'!$E$2:$E$533, 'S12 Operations'!$D$2:$D$533), 2, 0), "")</f>
        <v/>
      </c>
      <c r="J14" s="165" t="str">
        <f t="array" ref="J14">IFERROR(VLOOKUP($A14&amp;"-"&amp;J$2, CHOOSE({1,2}, 'S12 Operations'!$C$2:$C$533&amp;"-"&amp;'S12 Operations'!$E$2:$E$533, 'S12 Operations'!$D$2:$D$533), 2, 0), "")</f>
        <v/>
      </c>
      <c r="K14" s="165" t="str">
        <f t="array" ref="K14">IFERROR(VLOOKUP($A14&amp;"-"&amp;K$2, CHOOSE({1,2}, 'S12 Operations'!$C$2:$C$533&amp;"-"&amp;'S12 Operations'!$E$2:$E$533, 'S12 Operations'!$D$2:$D$533), 2, 0), "")</f>
        <v/>
      </c>
      <c r="L14" s="165">
        <f t="array" ref="L14">IFERROR(VLOOKUP($A14&amp;"-"&amp;L$2, CHOOSE({1,2}, 'S12 Operations'!$C$2:$C$533&amp;"-"&amp;'S12 Operations'!$E$2:$E$533, 'S12 Operations'!$D$2:$D$533), 2, 0), "")</f>
        <v>40</v>
      </c>
      <c r="M14" s="165" t="str">
        <f t="array" ref="M14">IFERROR(VLOOKUP($A14&amp;"-"&amp;M$2, CHOOSE({1,2}, 'S12 Operations'!$C$2:$C$533&amp;"-"&amp;'S12 Operations'!$E$2:$E$533, 'S12 Operations'!$D$2:$D$533), 2, 0), "")</f>
        <v/>
      </c>
      <c r="N14" s="165" t="str">
        <f t="array" ref="N14">IFERROR(VLOOKUP($A14&amp;"-"&amp;N$2, CHOOSE({1,2}, 'S12 Operations'!$C$2:$C$533&amp;"-"&amp;'S12 Operations'!$E$2:$E$533, 'S12 Operations'!$D$2:$D$533), 2, 0), "")</f>
        <v/>
      </c>
      <c r="O14" s="165" t="str">
        <f t="array" ref="O14">IFERROR(VLOOKUP($A14&amp;"-"&amp;O$2, CHOOSE({1,2}, 'S12 Operations'!$C$2:$C$533&amp;"-"&amp;'S12 Operations'!$E$2:$E$533, 'S12 Operations'!$D$2:$D$533), 2, 0), "")</f>
        <v/>
      </c>
      <c r="P14" s="166">
        <f t="array" ref="P14">IFERROR(VLOOKUP($A14&amp;"-"&amp;P$2, CHOOSE({1,2}, 'S12 Operations'!$C$2:$C$533&amp;"-"&amp;'S12 Operations'!$E$2:$E$533, 'S12 Operations'!$D$2:$D$533), 2, 0), "")</f>
        <v>50</v>
      </c>
      <c r="Q14" s="63" t="str">
        <f t="array" ref="Q14">IFERROR(VLOOKUP($A14&amp;"-"&amp;Q$2, CHOOSE({1,2}, 'S12 Operations'!$C$2:$C$533&amp;"-"&amp;'S12 Operations'!$E$2:$E$533, 'S12 Operations'!$D$2:$D$533), 2, 0), "")</f>
        <v/>
      </c>
      <c r="R14" s="64" t="str">
        <f t="array" ref="R14">IFERROR(VLOOKUP($A14&amp;"-"&amp;R$2, CHOOSE({1,2}, 'S12 Operations'!$C$2:$C$533&amp;"-"&amp;'S12 Operations'!$E$2:$E$533, 'S12 Operations'!$D$2:$D$533), 2, 0), "")</f>
        <v/>
      </c>
      <c r="S14" s="64" t="str">
        <f t="array" ref="S14">IFERROR(VLOOKUP($A14&amp;"-"&amp;S$2, CHOOSE({1,2}, 'S12 Operations'!$C$2:$C$533&amp;"-"&amp;'S12 Operations'!$E$2:$E$533, 'S12 Operations'!$D$2:$D$533), 2, 0), "")</f>
        <v/>
      </c>
      <c r="T14" s="65" t="str">
        <f t="array" ref="T14">IFERROR(VLOOKUP($A14&amp;"-"&amp;T$2, CHOOSE({1,2}, 'S12 Operations'!$C$2:$C$533&amp;"-"&amp;'S12 Operations'!$E$2:$E$533, 'S12 Operations'!$D$2:$D$533), 2, 0), "")</f>
        <v/>
      </c>
      <c r="U14" s="164" t="str">
        <f t="array" ref="U14">IFERROR(VLOOKUP($A14&amp;"-"&amp;U$2, CHOOSE({1,2}, 'S12 Operations'!$C$2:$C$533&amp;"-"&amp;'S12 Operations'!$E$2:$E$533, 'S12 Operations'!$D$2:$D$533), 2, 0), "")</f>
        <v/>
      </c>
      <c r="V14" s="166">
        <f t="array" ref="V14">IFERROR(VLOOKUP($A14&amp;"-"&amp;V$2, CHOOSE({1,2}, 'S12 Operations'!$C$2:$C$533&amp;"-"&amp;'S12 Operations'!$E$2:$E$533, 'S12 Operations'!$D$2:$D$533), 2, 0), "")</f>
        <v>60</v>
      </c>
      <c r="W14" s="63" t="str">
        <f t="array" ref="W14">IFERROR(VLOOKUP($A14&amp;"-"&amp;W$2, CHOOSE({1,2}, 'S12 Operations'!$C$2:$C$533&amp;"-"&amp;'S12 Operations'!$E$2:$E$533, 'S12 Operations'!$D$2:$D$533), 2, 0), "")</f>
        <v/>
      </c>
      <c r="X14" s="64">
        <f t="array" ref="X14">IFERROR(VLOOKUP($A14&amp;"-"&amp;X$2, CHOOSE({1,2}, 'S12 Operations'!$C$2:$C$533&amp;"-"&amp;'S12 Operations'!$E$2:$E$533, 'S12 Operations'!$D$2:$D$533), 2, 0), "")</f>
        <v>70</v>
      </c>
      <c r="Y14" s="65" t="str">
        <f t="array" ref="Y14">IFERROR(VLOOKUP($A14&amp;"-"&amp;Y$2, CHOOSE({1,2}, 'S12 Operations'!$C$2:$C$533&amp;"-"&amp;'S12 Operations'!$E$2:$E$533, 'S12 Operations'!$D$2:$D$533), 2, 0), "")</f>
        <v/>
      </c>
      <c r="Z14" s="168" t="str">
        <f t="array" ref="Z14">IFERROR(VLOOKUP($A14&amp;"-"&amp;Z$2, CHOOSE({1,2}, 'S12 Operations'!$C$2:$C$533&amp;"-"&amp;'S12 Operations'!$E$2:$E$533, 'S12 Operations'!$D$2:$D$533), 2, 0), "")</f>
        <v/>
      </c>
      <c r="AA14" s="62">
        <f t="array" ref="AA14">IFERROR(VLOOKUP($A14&amp;"-"&amp;AA$2, CHOOSE({1,2}, 'S12 Operations'!$C$2:$C$533&amp;"-"&amp;'S12 Operations'!$E$2:$E$533, 'S12 Operations'!$D$2:$D$533), 2, 0), "")</f>
        <v>80</v>
      </c>
    </row>
    <row r="15" spans="1:27" ht="17" x14ac:dyDescent="0.2">
      <c r="A15" s="179" t="str">
        <f>'S08 ABC Output'!A10</f>
        <v>I-012</v>
      </c>
      <c r="B15" s="157">
        <f t="array" ref="B15">IFERROR(VLOOKUP($A15&amp;"-"&amp;B$2, CHOOSE({1,2}, 'S12 Operations'!$C$2:$C$533&amp;"-"&amp;'S12 Operations'!$E$2:$E$533, 'S12 Operations'!$D$2:$D$533), 2, 0), "")</f>
        <v>10</v>
      </c>
      <c r="C15" s="169" t="str">
        <f t="array" ref="C15">IFERROR(VLOOKUP($A15&amp;"-"&amp;C$2, CHOOSE({1,2}, 'S12 Operations'!$C$2:$C$533&amp;"-"&amp;'S12 Operations'!$E$2:$E$533, 'S12 Operations'!$D$2:$D$533), 2, 0), "")</f>
        <v/>
      </c>
      <c r="D15" s="170" t="str">
        <f t="array" ref="D15">IFERROR(VLOOKUP($A15&amp;"-"&amp;D$2, CHOOSE({1,2}, 'S12 Operations'!$C$2:$C$533&amp;"-"&amp;'S12 Operations'!$E$2:$E$533, 'S12 Operations'!$D$2:$D$533), 2, 0), "")</f>
        <v/>
      </c>
      <c r="E15" s="171">
        <f t="array" ref="E15">IFERROR(VLOOKUP($A15&amp;"-"&amp;E$2, CHOOSE({1,2}, 'S12 Operations'!$C$2:$C$533&amp;"-"&amp;'S12 Operations'!$E$2:$E$533, 'S12 Operations'!$D$2:$D$533), 2, 0), "")</f>
        <v>20</v>
      </c>
      <c r="F15" s="172" t="str">
        <f t="array" ref="F15">IFERROR(VLOOKUP($A15&amp;"-"&amp;F$2, CHOOSE({1,2}, 'S12 Operations'!$C$2:$C$533&amp;"-"&amp;'S12 Operations'!$E$2:$E$533, 'S12 Operations'!$D$2:$D$533), 2, 0), "")</f>
        <v/>
      </c>
      <c r="G15" s="173" t="str">
        <f t="array" ref="G15">IFERROR(VLOOKUP($A15&amp;"-"&amp;G$2, CHOOSE({1,2}, 'S12 Operations'!$C$2:$C$533&amp;"-"&amp;'S12 Operations'!$E$2:$E$533, 'S12 Operations'!$D$2:$D$533), 2, 0), "")</f>
        <v/>
      </c>
      <c r="H15" s="174">
        <f t="array" ref="H15">IFERROR(VLOOKUP($A15&amp;"-"&amp;H$2, CHOOSE({1,2}, 'S12 Operations'!$C$2:$C$533&amp;"-"&amp;'S12 Operations'!$E$2:$E$533, 'S12 Operations'!$D$2:$D$533), 2, 0), "")</f>
        <v>30</v>
      </c>
      <c r="I15" s="169" t="str">
        <f t="array" ref="I15">IFERROR(VLOOKUP($A15&amp;"-"&amp;I$2, CHOOSE({1,2}, 'S12 Operations'!$C$2:$C$533&amp;"-"&amp;'S12 Operations'!$E$2:$E$533, 'S12 Operations'!$D$2:$D$533), 2, 0), "")</f>
        <v/>
      </c>
      <c r="J15" s="170" t="str">
        <f t="array" ref="J15">IFERROR(VLOOKUP($A15&amp;"-"&amp;J$2, CHOOSE({1,2}, 'S12 Operations'!$C$2:$C$533&amp;"-"&amp;'S12 Operations'!$E$2:$E$533, 'S12 Operations'!$D$2:$D$533), 2, 0), "")</f>
        <v/>
      </c>
      <c r="K15" s="170">
        <f t="array" ref="K15">IFERROR(VLOOKUP($A15&amp;"-"&amp;K$2, CHOOSE({1,2}, 'S12 Operations'!$C$2:$C$533&amp;"-"&amp;'S12 Operations'!$E$2:$E$533, 'S12 Operations'!$D$2:$D$533), 2, 0), "")</f>
        <v>40</v>
      </c>
      <c r="L15" s="170" t="str">
        <f t="array" ref="L15">IFERROR(VLOOKUP($A15&amp;"-"&amp;L$2, CHOOSE({1,2}, 'S12 Operations'!$C$2:$C$533&amp;"-"&amp;'S12 Operations'!$E$2:$E$533, 'S12 Operations'!$D$2:$D$533), 2, 0), "")</f>
        <v/>
      </c>
      <c r="M15" s="170">
        <f t="array" ref="M15">IFERROR(VLOOKUP($A15&amp;"-"&amp;M$2, CHOOSE({1,2}, 'S12 Operations'!$C$2:$C$533&amp;"-"&amp;'S12 Operations'!$E$2:$E$533, 'S12 Operations'!$D$2:$D$533), 2, 0), "")</f>
        <v>50</v>
      </c>
      <c r="N15" s="170" t="str">
        <f t="array" ref="N15">IFERROR(VLOOKUP($A15&amp;"-"&amp;N$2, CHOOSE({1,2}, 'S12 Operations'!$C$2:$C$533&amp;"-"&amp;'S12 Operations'!$E$2:$E$533, 'S12 Operations'!$D$2:$D$533), 2, 0), "")</f>
        <v/>
      </c>
      <c r="O15" s="170" t="str">
        <f t="array" ref="O15">IFERROR(VLOOKUP($A15&amp;"-"&amp;O$2, CHOOSE({1,2}, 'S12 Operations'!$C$2:$C$533&amp;"-"&amp;'S12 Operations'!$E$2:$E$533, 'S12 Operations'!$D$2:$D$533), 2, 0), "")</f>
        <v/>
      </c>
      <c r="P15" s="171" t="str">
        <f t="array" ref="P15">IFERROR(VLOOKUP($A15&amp;"-"&amp;P$2, CHOOSE({1,2}, 'S12 Operations'!$C$2:$C$533&amp;"-"&amp;'S12 Operations'!$E$2:$E$533, 'S12 Operations'!$D$2:$D$533), 2, 0), "")</f>
        <v/>
      </c>
      <c r="Q15" s="172" t="str">
        <f t="array" ref="Q15">IFERROR(VLOOKUP($A15&amp;"-"&amp;Q$2, CHOOSE({1,2}, 'S12 Operations'!$C$2:$C$533&amp;"-"&amp;'S12 Operations'!$E$2:$E$533, 'S12 Operations'!$D$2:$D$533), 2, 0), "")</f>
        <v/>
      </c>
      <c r="R15" s="173">
        <f t="array" ref="R15">IFERROR(VLOOKUP($A15&amp;"-"&amp;R$2, CHOOSE({1,2}, 'S12 Operations'!$C$2:$C$533&amp;"-"&amp;'S12 Operations'!$E$2:$E$533, 'S12 Operations'!$D$2:$D$533), 2, 0), "")</f>
        <v>60</v>
      </c>
      <c r="S15" s="173" t="str">
        <f t="array" ref="S15">IFERROR(VLOOKUP($A15&amp;"-"&amp;S$2, CHOOSE({1,2}, 'S12 Operations'!$C$2:$C$533&amp;"-"&amp;'S12 Operations'!$E$2:$E$533, 'S12 Operations'!$D$2:$D$533), 2, 0), "")</f>
        <v/>
      </c>
      <c r="T15" s="174" t="str">
        <f t="array" ref="T15">IFERROR(VLOOKUP($A15&amp;"-"&amp;T$2, CHOOSE({1,2}, 'S12 Operations'!$C$2:$C$533&amp;"-"&amp;'S12 Operations'!$E$2:$E$533, 'S12 Operations'!$D$2:$D$533), 2, 0), "")</f>
        <v/>
      </c>
      <c r="U15" s="169" t="str">
        <f t="array" ref="U15">IFERROR(VLOOKUP($A15&amp;"-"&amp;U$2, CHOOSE({1,2}, 'S12 Operations'!$C$2:$C$533&amp;"-"&amp;'S12 Operations'!$E$2:$E$533, 'S12 Operations'!$D$2:$D$533), 2, 0), "")</f>
        <v/>
      </c>
      <c r="V15" s="171" t="str">
        <f t="array" ref="V15">IFERROR(VLOOKUP($A15&amp;"-"&amp;V$2, CHOOSE({1,2}, 'S12 Operations'!$C$2:$C$533&amp;"-"&amp;'S12 Operations'!$E$2:$E$533, 'S12 Operations'!$D$2:$D$533), 2, 0), "")</f>
        <v/>
      </c>
      <c r="W15" s="172">
        <f t="array" ref="W15">IFERROR(VLOOKUP($A15&amp;"-"&amp;W$2, CHOOSE({1,2}, 'S12 Operations'!$C$2:$C$533&amp;"-"&amp;'S12 Operations'!$E$2:$E$533, 'S12 Operations'!$D$2:$D$533), 2, 0), "")</f>
        <v>70</v>
      </c>
      <c r="X15" s="173" t="str">
        <f t="array" ref="X15">IFERROR(VLOOKUP($A15&amp;"-"&amp;X$2, CHOOSE({1,2}, 'S12 Operations'!$C$2:$C$533&amp;"-"&amp;'S12 Operations'!$E$2:$E$533, 'S12 Operations'!$D$2:$D$533), 2, 0), "")</f>
        <v/>
      </c>
      <c r="Y15" s="174" t="str">
        <f t="array" ref="Y15">IFERROR(VLOOKUP($A15&amp;"-"&amp;Y$2, CHOOSE({1,2}, 'S12 Operations'!$C$2:$C$533&amp;"-"&amp;'S12 Operations'!$E$2:$E$533, 'S12 Operations'!$D$2:$D$533), 2, 0), "")</f>
        <v/>
      </c>
      <c r="Z15" s="158" t="str">
        <f t="array" ref="Z15">IFERROR(VLOOKUP($A15&amp;"-"&amp;Z$2, CHOOSE({1,2}, 'S12 Operations'!$C$2:$C$533&amp;"-"&amp;'S12 Operations'!$E$2:$E$533, 'S12 Operations'!$D$2:$D$533), 2, 0), "")</f>
        <v/>
      </c>
      <c r="AA15" s="157">
        <f t="array" ref="AA15">IFERROR(VLOOKUP($A15&amp;"-"&amp;AA$2, CHOOSE({1,2}, 'S12 Operations'!$C$2:$C$533&amp;"-"&amp;'S12 Operations'!$E$2:$E$533, 'S12 Operations'!$D$2:$D$533), 2, 0), "")</f>
        <v>80</v>
      </c>
    </row>
    <row r="16" spans="1:27" ht="18" thickBot="1" x14ac:dyDescent="0.25">
      <c r="A16" s="159" t="str">
        <f>'S08 ABC Output'!A7</f>
        <v>I-052</v>
      </c>
      <c r="B16" s="62">
        <f t="array" ref="B16">IFERROR(VLOOKUP($A16&amp;"-"&amp;B$2, CHOOSE({1,2}, 'S12 Operations'!$C$2:$C$533&amp;"-"&amp;'S12 Operations'!$E$2:$E$533, 'S12 Operations'!$D$2:$D$533), 2, 0), "")</f>
        <v>10</v>
      </c>
      <c r="C16" s="164" t="str">
        <f t="array" ref="C16">IFERROR(VLOOKUP($A16&amp;"-"&amp;C$2, CHOOSE({1,2}, 'S12 Operations'!$C$2:$C$533&amp;"-"&amp;'S12 Operations'!$E$2:$E$533, 'S12 Operations'!$D$2:$D$533), 2, 0), "")</f>
        <v/>
      </c>
      <c r="D16" s="165" t="str">
        <f t="array" ref="D16">IFERROR(VLOOKUP($A16&amp;"-"&amp;D$2, CHOOSE({1,2}, 'S12 Operations'!$C$2:$C$533&amp;"-"&amp;'S12 Operations'!$E$2:$E$533, 'S12 Operations'!$D$2:$D$533), 2, 0), "")</f>
        <v/>
      </c>
      <c r="E16" s="166">
        <f t="array" ref="E16">IFERROR(VLOOKUP($A16&amp;"-"&amp;E$2, CHOOSE({1,2}, 'S12 Operations'!$C$2:$C$533&amp;"-"&amp;'S12 Operations'!$E$2:$E$533, 'S12 Operations'!$D$2:$D$533), 2, 0), "")</f>
        <v>20</v>
      </c>
      <c r="F16" s="63" t="str">
        <f t="array" ref="F16">IFERROR(VLOOKUP($A16&amp;"-"&amp;F$2, CHOOSE({1,2}, 'S12 Operations'!$C$2:$C$533&amp;"-"&amp;'S12 Operations'!$E$2:$E$533, 'S12 Operations'!$D$2:$D$533), 2, 0), "")</f>
        <v/>
      </c>
      <c r="G16" s="64" t="str">
        <f t="array" ref="G16">IFERROR(VLOOKUP($A16&amp;"-"&amp;G$2, CHOOSE({1,2}, 'S12 Operations'!$C$2:$C$533&amp;"-"&amp;'S12 Operations'!$E$2:$E$533, 'S12 Operations'!$D$2:$D$533), 2, 0), "")</f>
        <v/>
      </c>
      <c r="H16" s="65">
        <f t="array" ref="H16">IFERROR(VLOOKUP($A16&amp;"-"&amp;H$2, CHOOSE({1,2}, 'S12 Operations'!$C$2:$C$533&amp;"-"&amp;'S12 Operations'!$E$2:$E$533, 'S12 Operations'!$D$2:$D$533), 2, 0), "")</f>
        <v>30</v>
      </c>
      <c r="I16" s="164" t="str">
        <f t="array" ref="I16">IFERROR(VLOOKUP($A16&amp;"-"&amp;I$2, CHOOSE({1,2}, 'S12 Operations'!$C$2:$C$533&amp;"-"&amp;'S12 Operations'!$E$2:$E$533, 'S12 Operations'!$D$2:$D$533), 2, 0), "")</f>
        <v/>
      </c>
      <c r="J16" s="165" t="str">
        <f t="array" ref="J16">IFERROR(VLOOKUP($A16&amp;"-"&amp;J$2, CHOOSE({1,2}, 'S12 Operations'!$C$2:$C$533&amp;"-"&amp;'S12 Operations'!$E$2:$E$533, 'S12 Operations'!$D$2:$D$533), 2, 0), "")</f>
        <v/>
      </c>
      <c r="K16" s="165">
        <f t="array" ref="K16">IFERROR(VLOOKUP($A16&amp;"-"&amp;K$2, CHOOSE({1,2}, 'S12 Operations'!$C$2:$C$533&amp;"-"&amp;'S12 Operations'!$E$2:$E$533, 'S12 Operations'!$D$2:$D$533), 2, 0), "")</f>
        <v>40</v>
      </c>
      <c r="L16" s="165" t="str">
        <f t="array" ref="L16">IFERROR(VLOOKUP($A16&amp;"-"&amp;L$2, CHOOSE({1,2}, 'S12 Operations'!$C$2:$C$533&amp;"-"&amp;'S12 Operations'!$E$2:$E$533, 'S12 Operations'!$D$2:$D$533), 2, 0), "")</f>
        <v/>
      </c>
      <c r="M16" s="165">
        <f t="array" ref="M16">IFERROR(VLOOKUP($A16&amp;"-"&amp;M$2, CHOOSE({1,2}, 'S12 Operations'!$C$2:$C$533&amp;"-"&amp;'S12 Operations'!$E$2:$E$533, 'S12 Operations'!$D$2:$D$533), 2, 0), "")</f>
        <v>50</v>
      </c>
      <c r="N16" s="165" t="str">
        <f t="array" ref="N16">IFERROR(VLOOKUP($A16&amp;"-"&amp;N$2, CHOOSE({1,2}, 'S12 Operations'!$C$2:$C$533&amp;"-"&amp;'S12 Operations'!$E$2:$E$533, 'S12 Operations'!$D$2:$D$533), 2, 0), "")</f>
        <v/>
      </c>
      <c r="O16" s="165" t="str">
        <f t="array" ref="O16">IFERROR(VLOOKUP($A16&amp;"-"&amp;O$2, CHOOSE({1,2}, 'S12 Operations'!$C$2:$C$533&amp;"-"&amp;'S12 Operations'!$E$2:$E$533, 'S12 Operations'!$D$2:$D$533), 2, 0), "")</f>
        <v/>
      </c>
      <c r="P16" s="166" t="str">
        <f t="array" ref="P16">IFERROR(VLOOKUP($A16&amp;"-"&amp;P$2, CHOOSE({1,2}, 'S12 Operations'!$C$2:$C$533&amp;"-"&amp;'S12 Operations'!$E$2:$E$533, 'S12 Operations'!$D$2:$D$533), 2, 0), "")</f>
        <v/>
      </c>
      <c r="Q16" s="63" t="str">
        <f t="array" ref="Q16">IFERROR(VLOOKUP($A16&amp;"-"&amp;Q$2, CHOOSE({1,2}, 'S12 Operations'!$C$2:$C$533&amp;"-"&amp;'S12 Operations'!$E$2:$E$533, 'S12 Operations'!$D$2:$D$533), 2, 0), "")</f>
        <v/>
      </c>
      <c r="R16" s="64">
        <f t="array" ref="R16">IFERROR(VLOOKUP($A16&amp;"-"&amp;R$2, CHOOSE({1,2}, 'S12 Operations'!$C$2:$C$533&amp;"-"&amp;'S12 Operations'!$E$2:$E$533, 'S12 Operations'!$D$2:$D$533), 2, 0), "")</f>
        <v>60</v>
      </c>
      <c r="S16" s="64" t="str">
        <f t="array" ref="S16">IFERROR(VLOOKUP($A16&amp;"-"&amp;S$2, CHOOSE({1,2}, 'S12 Operations'!$C$2:$C$533&amp;"-"&amp;'S12 Operations'!$E$2:$E$533, 'S12 Operations'!$D$2:$D$533), 2, 0), "")</f>
        <v/>
      </c>
      <c r="T16" s="65" t="str">
        <f t="array" ref="T16">IFERROR(VLOOKUP($A16&amp;"-"&amp;T$2, CHOOSE({1,2}, 'S12 Operations'!$C$2:$C$533&amp;"-"&amp;'S12 Operations'!$E$2:$E$533, 'S12 Operations'!$D$2:$D$533), 2, 0), "")</f>
        <v/>
      </c>
      <c r="U16" s="164" t="str">
        <f t="array" ref="U16">IFERROR(VLOOKUP($A16&amp;"-"&amp;U$2, CHOOSE({1,2}, 'S12 Operations'!$C$2:$C$533&amp;"-"&amp;'S12 Operations'!$E$2:$E$533, 'S12 Operations'!$D$2:$D$533), 2, 0), "")</f>
        <v/>
      </c>
      <c r="V16" s="166" t="str">
        <f t="array" ref="V16">IFERROR(VLOOKUP($A16&amp;"-"&amp;V$2, CHOOSE({1,2}, 'S12 Operations'!$C$2:$C$533&amp;"-"&amp;'S12 Operations'!$E$2:$E$533, 'S12 Operations'!$D$2:$D$533), 2, 0), "")</f>
        <v/>
      </c>
      <c r="W16" s="63">
        <f t="array" ref="W16">IFERROR(VLOOKUP($A16&amp;"-"&amp;W$2, CHOOSE({1,2}, 'S12 Operations'!$C$2:$C$533&amp;"-"&amp;'S12 Operations'!$E$2:$E$533, 'S12 Operations'!$D$2:$D$533), 2, 0), "")</f>
        <v>70</v>
      </c>
      <c r="X16" s="64" t="str">
        <f t="array" ref="X16">IFERROR(VLOOKUP($A16&amp;"-"&amp;X$2, CHOOSE({1,2}, 'S12 Operations'!$C$2:$C$533&amp;"-"&amp;'S12 Operations'!$E$2:$E$533, 'S12 Operations'!$D$2:$D$533), 2, 0), "")</f>
        <v/>
      </c>
      <c r="Y16" s="65" t="str">
        <f t="array" ref="Y16">IFERROR(VLOOKUP($A16&amp;"-"&amp;Y$2, CHOOSE({1,2}, 'S12 Operations'!$C$2:$C$533&amp;"-"&amp;'S12 Operations'!$E$2:$E$533, 'S12 Operations'!$D$2:$D$533), 2, 0), "")</f>
        <v/>
      </c>
      <c r="Z16" s="168" t="str">
        <f t="array" ref="Z16">IFERROR(VLOOKUP($A16&amp;"-"&amp;Z$2, CHOOSE({1,2}, 'S12 Operations'!$C$2:$C$533&amp;"-"&amp;'S12 Operations'!$E$2:$E$533, 'S12 Operations'!$D$2:$D$533), 2, 0), "")</f>
        <v/>
      </c>
      <c r="AA16" s="62">
        <f t="array" ref="AA16">IFERROR(VLOOKUP($A16&amp;"-"&amp;AA$2, CHOOSE({1,2}, 'S12 Operations'!$C$2:$C$533&amp;"-"&amp;'S12 Operations'!$E$2:$E$533, 'S12 Operations'!$D$2:$D$533), 2, 0), "")</f>
        <v>80</v>
      </c>
    </row>
    <row r="17" spans="1:27" ht="17" x14ac:dyDescent="0.2">
      <c r="A17" s="179" t="str">
        <f>'S08 ABC Output'!A9</f>
        <v>I-053</v>
      </c>
      <c r="B17" s="157">
        <f t="array" ref="B17">IFERROR(VLOOKUP($A17&amp;"-"&amp;B$2, CHOOSE({1,2}, 'S12 Operations'!$C$2:$C$533&amp;"-"&amp;'S12 Operations'!$E$2:$E$533, 'S12 Operations'!$D$2:$D$533), 2, 0), "")</f>
        <v>10</v>
      </c>
      <c r="C17" s="169" t="str">
        <f t="array" ref="C17">IFERROR(VLOOKUP($A17&amp;"-"&amp;C$2, CHOOSE({1,2}, 'S12 Operations'!$C$2:$C$533&amp;"-"&amp;'S12 Operations'!$E$2:$E$533, 'S12 Operations'!$D$2:$D$533), 2, 0), "")</f>
        <v/>
      </c>
      <c r="D17" s="170" t="str">
        <f t="array" ref="D17">IFERROR(VLOOKUP($A17&amp;"-"&amp;D$2, CHOOSE({1,2}, 'S12 Operations'!$C$2:$C$533&amp;"-"&amp;'S12 Operations'!$E$2:$E$533, 'S12 Operations'!$D$2:$D$533), 2, 0), "")</f>
        <v/>
      </c>
      <c r="E17" s="171">
        <f t="array" ref="E17">IFERROR(VLOOKUP($A17&amp;"-"&amp;E$2, CHOOSE({1,2}, 'S12 Operations'!$C$2:$C$533&amp;"-"&amp;'S12 Operations'!$E$2:$E$533, 'S12 Operations'!$D$2:$D$533), 2, 0), "")</f>
        <v>20</v>
      </c>
      <c r="F17" s="172" t="str">
        <f t="array" ref="F17">IFERROR(VLOOKUP($A17&amp;"-"&amp;F$2, CHOOSE({1,2}, 'S12 Operations'!$C$2:$C$533&amp;"-"&amp;'S12 Operations'!$E$2:$E$533, 'S12 Operations'!$D$2:$D$533), 2, 0), "")</f>
        <v/>
      </c>
      <c r="G17" s="173">
        <f t="array" ref="G17">IFERROR(VLOOKUP($A17&amp;"-"&amp;G$2, CHOOSE({1,2}, 'S12 Operations'!$C$2:$C$533&amp;"-"&amp;'S12 Operations'!$E$2:$E$533, 'S12 Operations'!$D$2:$D$533), 2, 0), "")</f>
        <v>30</v>
      </c>
      <c r="H17" s="174" t="str">
        <f t="array" ref="H17">IFERROR(VLOOKUP($A17&amp;"-"&amp;H$2, CHOOSE({1,2}, 'S12 Operations'!$C$2:$C$533&amp;"-"&amp;'S12 Operations'!$E$2:$E$533, 'S12 Operations'!$D$2:$D$533), 2, 0), "")</f>
        <v/>
      </c>
      <c r="I17" s="169">
        <f t="array" ref="I17">IFERROR(VLOOKUP($A17&amp;"-"&amp;I$2, CHOOSE({1,2}, 'S12 Operations'!$C$2:$C$533&amp;"-"&amp;'S12 Operations'!$E$2:$E$533, 'S12 Operations'!$D$2:$D$533), 2, 0), "")</f>
        <v>40</v>
      </c>
      <c r="J17" s="170" t="str">
        <f t="array" ref="J17">IFERROR(VLOOKUP($A17&amp;"-"&amp;J$2, CHOOSE({1,2}, 'S12 Operations'!$C$2:$C$533&amp;"-"&amp;'S12 Operations'!$E$2:$E$533, 'S12 Operations'!$D$2:$D$533), 2, 0), "")</f>
        <v/>
      </c>
      <c r="K17" s="170" t="str">
        <f t="array" ref="K17">IFERROR(VLOOKUP($A17&amp;"-"&amp;K$2, CHOOSE({1,2}, 'S12 Operations'!$C$2:$C$533&amp;"-"&amp;'S12 Operations'!$E$2:$E$533, 'S12 Operations'!$D$2:$D$533), 2, 0), "")</f>
        <v/>
      </c>
      <c r="L17" s="170" t="str">
        <f t="array" ref="L17">IFERROR(VLOOKUP($A17&amp;"-"&amp;L$2, CHOOSE({1,2}, 'S12 Operations'!$C$2:$C$533&amp;"-"&amp;'S12 Operations'!$E$2:$E$533, 'S12 Operations'!$D$2:$D$533), 2, 0), "")</f>
        <v/>
      </c>
      <c r="M17" s="170" t="str">
        <f t="array" ref="M17">IFERROR(VLOOKUP($A17&amp;"-"&amp;M$2, CHOOSE({1,2}, 'S12 Operations'!$C$2:$C$533&amp;"-"&amp;'S12 Operations'!$E$2:$E$533, 'S12 Operations'!$D$2:$D$533), 2, 0), "")</f>
        <v/>
      </c>
      <c r="N17" s="170" t="str">
        <f t="array" ref="N17">IFERROR(VLOOKUP($A17&amp;"-"&amp;N$2, CHOOSE({1,2}, 'S12 Operations'!$C$2:$C$533&amp;"-"&amp;'S12 Operations'!$E$2:$E$533, 'S12 Operations'!$D$2:$D$533), 2, 0), "")</f>
        <v/>
      </c>
      <c r="O17" s="170">
        <f t="array" ref="O17">IFERROR(VLOOKUP($A17&amp;"-"&amp;O$2, CHOOSE({1,2}, 'S12 Operations'!$C$2:$C$533&amp;"-"&amp;'S12 Operations'!$E$2:$E$533, 'S12 Operations'!$D$2:$D$533), 2, 0), "")</f>
        <v>50</v>
      </c>
      <c r="P17" s="171" t="str">
        <f t="array" ref="P17">IFERROR(VLOOKUP($A17&amp;"-"&amp;P$2, CHOOSE({1,2}, 'S12 Operations'!$C$2:$C$533&amp;"-"&amp;'S12 Operations'!$E$2:$E$533, 'S12 Operations'!$D$2:$D$533), 2, 0), "")</f>
        <v/>
      </c>
      <c r="Q17" s="172" t="str">
        <f t="array" ref="Q17">IFERROR(VLOOKUP($A17&amp;"-"&amp;Q$2, CHOOSE({1,2}, 'S12 Operations'!$C$2:$C$533&amp;"-"&amp;'S12 Operations'!$E$2:$E$533, 'S12 Operations'!$D$2:$D$533), 2, 0), "")</f>
        <v/>
      </c>
      <c r="R17" s="173" t="str">
        <f t="array" ref="R17">IFERROR(VLOOKUP($A17&amp;"-"&amp;R$2, CHOOSE({1,2}, 'S12 Operations'!$C$2:$C$533&amp;"-"&amp;'S12 Operations'!$E$2:$E$533, 'S12 Operations'!$D$2:$D$533), 2, 0), "")</f>
        <v/>
      </c>
      <c r="S17" s="173" t="str">
        <f t="array" ref="S17">IFERROR(VLOOKUP($A17&amp;"-"&amp;S$2, CHOOSE({1,2}, 'S12 Operations'!$C$2:$C$533&amp;"-"&amp;'S12 Operations'!$E$2:$E$533, 'S12 Operations'!$D$2:$D$533), 2, 0), "")</f>
        <v/>
      </c>
      <c r="T17" s="174">
        <f t="array" ref="T17">IFERROR(VLOOKUP($A17&amp;"-"&amp;T$2, CHOOSE({1,2}, 'S12 Operations'!$C$2:$C$533&amp;"-"&amp;'S12 Operations'!$E$2:$E$533, 'S12 Operations'!$D$2:$D$533), 2, 0), "")</f>
        <v>60</v>
      </c>
      <c r="U17" s="169" t="str">
        <f t="array" ref="U17">IFERROR(VLOOKUP($A17&amp;"-"&amp;U$2, CHOOSE({1,2}, 'S12 Operations'!$C$2:$C$533&amp;"-"&amp;'S12 Operations'!$E$2:$E$533, 'S12 Operations'!$D$2:$D$533), 2, 0), "")</f>
        <v/>
      </c>
      <c r="V17" s="171" t="str">
        <f t="array" ref="V17">IFERROR(VLOOKUP($A17&amp;"-"&amp;V$2, CHOOSE({1,2}, 'S12 Operations'!$C$2:$C$533&amp;"-"&amp;'S12 Operations'!$E$2:$E$533, 'S12 Operations'!$D$2:$D$533), 2, 0), "")</f>
        <v/>
      </c>
      <c r="W17" s="172">
        <f t="array" ref="W17">IFERROR(VLOOKUP($A17&amp;"-"&amp;W$2, CHOOSE({1,2}, 'S12 Operations'!$C$2:$C$533&amp;"-"&amp;'S12 Operations'!$E$2:$E$533, 'S12 Operations'!$D$2:$D$533), 2, 0), "")</f>
        <v>70</v>
      </c>
      <c r="X17" s="173" t="str">
        <f t="array" ref="X17">IFERROR(VLOOKUP($A17&amp;"-"&amp;X$2, CHOOSE({1,2}, 'S12 Operations'!$C$2:$C$533&amp;"-"&amp;'S12 Operations'!$E$2:$E$533, 'S12 Operations'!$D$2:$D$533), 2, 0), "")</f>
        <v/>
      </c>
      <c r="Y17" s="174" t="str">
        <f t="array" ref="Y17">IFERROR(VLOOKUP($A17&amp;"-"&amp;Y$2, CHOOSE({1,2}, 'S12 Operations'!$C$2:$C$533&amp;"-"&amp;'S12 Operations'!$E$2:$E$533, 'S12 Operations'!$D$2:$D$533), 2, 0), "")</f>
        <v/>
      </c>
      <c r="Z17" s="158" t="str">
        <f t="array" ref="Z17">IFERROR(VLOOKUP($A17&amp;"-"&amp;Z$2, CHOOSE({1,2}, 'S12 Operations'!$C$2:$C$533&amp;"-"&amp;'S12 Operations'!$E$2:$E$533, 'S12 Operations'!$D$2:$D$533), 2, 0), "")</f>
        <v/>
      </c>
      <c r="AA17" s="157">
        <f t="array" ref="AA17">IFERROR(VLOOKUP($A17&amp;"-"&amp;AA$2, CHOOSE({1,2}, 'S12 Operations'!$C$2:$C$533&amp;"-"&amp;'S12 Operations'!$E$2:$E$533, 'S12 Operations'!$D$2:$D$533), 2, 0), "")</f>
        <v>80</v>
      </c>
    </row>
    <row r="18" spans="1:27" ht="18" thickBot="1" x14ac:dyDescent="0.25">
      <c r="A18" s="159" t="str">
        <f>'S08 ABC Output'!A6</f>
        <v>I-064</v>
      </c>
      <c r="B18" s="62">
        <f t="array" ref="B18">IFERROR(VLOOKUP($A18&amp;"-"&amp;B$2, CHOOSE({1,2}, 'S12 Operations'!$C$2:$C$533&amp;"-"&amp;'S12 Operations'!$E$2:$E$533, 'S12 Operations'!$D$2:$D$533), 2, 0), "")</f>
        <v>10</v>
      </c>
      <c r="C18" s="164" t="str">
        <f t="array" ref="C18">IFERROR(VLOOKUP($A18&amp;"-"&amp;C$2, CHOOSE({1,2}, 'S12 Operations'!$C$2:$C$533&amp;"-"&amp;'S12 Operations'!$E$2:$E$533, 'S12 Operations'!$D$2:$D$533), 2, 0), "")</f>
        <v/>
      </c>
      <c r="D18" s="165" t="str">
        <f t="array" ref="D18">IFERROR(VLOOKUP($A18&amp;"-"&amp;D$2, CHOOSE({1,2}, 'S12 Operations'!$C$2:$C$533&amp;"-"&amp;'S12 Operations'!$E$2:$E$533, 'S12 Operations'!$D$2:$D$533), 2, 0), "")</f>
        <v/>
      </c>
      <c r="E18" s="166">
        <f t="array" ref="E18">IFERROR(VLOOKUP($A18&amp;"-"&amp;E$2, CHOOSE({1,2}, 'S12 Operations'!$C$2:$C$533&amp;"-"&amp;'S12 Operations'!$E$2:$E$533, 'S12 Operations'!$D$2:$D$533), 2, 0), "")</f>
        <v>20</v>
      </c>
      <c r="F18" s="63" t="str">
        <f t="array" ref="F18">IFERROR(VLOOKUP($A18&amp;"-"&amp;F$2, CHOOSE({1,2}, 'S12 Operations'!$C$2:$C$533&amp;"-"&amp;'S12 Operations'!$E$2:$E$533, 'S12 Operations'!$D$2:$D$533), 2, 0), "")</f>
        <v/>
      </c>
      <c r="G18" s="64">
        <f t="array" ref="G18">IFERROR(VLOOKUP($A18&amp;"-"&amp;G$2, CHOOSE({1,2}, 'S12 Operations'!$C$2:$C$533&amp;"-"&amp;'S12 Operations'!$E$2:$E$533, 'S12 Operations'!$D$2:$D$533), 2, 0), "")</f>
        <v>30</v>
      </c>
      <c r="H18" s="65" t="str">
        <f t="array" ref="H18">IFERROR(VLOOKUP($A18&amp;"-"&amp;H$2, CHOOSE({1,2}, 'S12 Operations'!$C$2:$C$533&amp;"-"&amp;'S12 Operations'!$E$2:$E$533, 'S12 Operations'!$D$2:$D$533), 2, 0), "")</f>
        <v/>
      </c>
      <c r="I18" s="164">
        <f t="array" ref="I18">IFERROR(VLOOKUP($A18&amp;"-"&amp;I$2, CHOOSE({1,2}, 'S12 Operations'!$C$2:$C$533&amp;"-"&amp;'S12 Operations'!$E$2:$E$533, 'S12 Operations'!$D$2:$D$533), 2, 0), "")</f>
        <v>40</v>
      </c>
      <c r="J18" s="165" t="str">
        <f t="array" ref="J18">IFERROR(VLOOKUP($A18&amp;"-"&amp;J$2, CHOOSE({1,2}, 'S12 Operations'!$C$2:$C$533&amp;"-"&amp;'S12 Operations'!$E$2:$E$533, 'S12 Operations'!$D$2:$D$533), 2, 0), "")</f>
        <v/>
      </c>
      <c r="K18" s="165" t="str">
        <f t="array" ref="K18">IFERROR(VLOOKUP($A18&amp;"-"&amp;K$2, CHOOSE({1,2}, 'S12 Operations'!$C$2:$C$533&amp;"-"&amp;'S12 Operations'!$E$2:$E$533, 'S12 Operations'!$D$2:$D$533), 2, 0), "")</f>
        <v/>
      </c>
      <c r="L18" s="165" t="str">
        <f t="array" ref="L18">IFERROR(VLOOKUP($A18&amp;"-"&amp;L$2, CHOOSE({1,2}, 'S12 Operations'!$C$2:$C$533&amp;"-"&amp;'S12 Operations'!$E$2:$E$533, 'S12 Operations'!$D$2:$D$533), 2, 0), "")</f>
        <v/>
      </c>
      <c r="M18" s="165" t="str">
        <f t="array" ref="M18">IFERROR(VLOOKUP($A18&amp;"-"&amp;M$2, CHOOSE({1,2}, 'S12 Operations'!$C$2:$C$533&amp;"-"&amp;'S12 Operations'!$E$2:$E$533, 'S12 Operations'!$D$2:$D$533), 2, 0), "")</f>
        <v/>
      </c>
      <c r="N18" s="165" t="str">
        <f t="array" ref="N18">IFERROR(VLOOKUP($A18&amp;"-"&amp;N$2, CHOOSE({1,2}, 'S12 Operations'!$C$2:$C$533&amp;"-"&amp;'S12 Operations'!$E$2:$E$533, 'S12 Operations'!$D$2:$D$533), 2, 0), "")</f>
        <v/>
      </c>
      <c r="O18" s="165">
        <f t="array" ref="O18">IFERROR(VLOOKUP($A18&amp;"-"&amp;O$2, CHOOSE({1,2}, 'S12 Operations'!$C$2:$C$533&amp;"-"&amp;'S12 Operations'!$E$2:$E$533, 'S12 Operations'!$D$2:$D$533), 2, 0), "")</f>
        <v>50</v>
      </c>
      <c r="P18" s="166" t="str">
        <f t="array" ref="P18">IFERROR(VLOOKUP($A18&amp;"-"&amp;P$2, CHOOSE({1,2}, 'S12 Operations'!$C$2:$C$533&amp;"-"&amp;'S12 Operations'!$E$2:$E$533, 'S12 Operations'!$D$2:$D$533), 2, 0), "")</f>
        <v/>
      </c>
      <c r="Q18" s="63" t="str">
        <f t="array" ref="Q18">IFERROR(VLOOKUP($A18&amp;"-"&amp;Q$2, CHOOSE({1,2}, 'S12 Operations'!$C$2:$C$533&amp;"-"&amp;'S12 Operations'!$E$2:$E$533, 'S12 Operations'!$D$2:$D$533), 2, 0), "")</f>
        <v/>
      </c>
      <c r="R18" s="64" t="str">
        <f t="array" ref="R18">IFERROR(VLOOKUP($A18&amp;"-"&amp;R$2, CHOOSE({1,2}, 'S12 Operations'!$C$2:$C$533&amp;"-"&amp;'S12 Operations'!$E$2:$E$533, 'S12 Operations'!$D$2:$D$533), 2, 0), "")</f>
        <v/>
      </c>
      <c r="S18" s="64" t="str">
        <f t="array" ref="S18">IFERROR(VLOOKUP($A18&amp;"-"&amp;S$2, CHOOSE({1,2}, 'S12 Operations'!$C$2:$C$533&amp;"-"&amp;'S12 Operations'!$E$2:$E$533, 'S12 Operations'!$D$2:$D$533), 2, 0), "")</f>
        <v/>
      </c>
      <c r="T18" s="65">
        <f t="array" ref="T18">IFERROR(VLOOKUP($A18&amp;"-"&amp;T$2, CHOOSE({1,2}, 'S12 Operations'!$C$2:$C$533&amp;"-"&amp;'S12 Operations'!$E$2:$E$533, 'S12 Operations'!$D$2:$D$533), 2, 0), "")</f>
        <v>60</v>
      </c>
      <c r="U18" s="164" t="str">
        <f t="array" ref="U18">IFERROR(VLOOKUP($A18&amp;"-"&amp;U$2, CHOOSE({1,2}, 'S12 Operations'!$C$2:$C$533&amp;"-"&amp;'S12 Operations'!$E$2:$E$533, 'S12 Operations'!$D$2:$D$533), 2, 0), "")</f>
        <v/>
      </c>
      <c r="V18" s="166" t="str">
        <f t="array" ref="V18">IFERROR(VLOOKUP($A18&amp;"-"&amp;V$2, CHOOSE({1,2}, 'S12 Operations'!$C$2:$C$533&amp;"-"&amp;'S12 Operations'!$E$2:$E$533, 'S12 Operations'!$D$2:$D$533), 2, 0), "")</f>
        <v/>
      </c>
      <c r="W18" s="63">
        <f t="array" ref="W18">IFERROR(VLOOKUP($A18&amp;"-"&amp;W$2, CHOOSE({1,2}, 'S12 Operations'!$C$2:$C$533&amp;"-"&amp;'S12 Operations'!$E$2:$E$533, 'S12 Operations'!$D$2:$D$533), 2, 0), "")</f>
        <v>70</v>
      </c>
      <c r="X18" s="64" t="str">
        <f t="array" ref="X18">IFERROR(VLOOKUP($A18&amp;"-"&amp;X$2, CHOOSE({1,2}, 'S12 Operations'!$C$2:$C$533&amp;"-"&amp;'S12 Operations'!$E$2:$E$533, 'S12 Operations'!$D$2:$D$533), 2, 0), "")</f>
        <v/>
      </c>
      <c r="Y18" s="65" t="str">
        <f t="array" ref="Y18">IFERROR(VLOOKUP($A18&amp;"-"&amp;Y$2, CHOOSE({1,2}, 'S12 Operations'!$C$2:$C$533&amp;"-"&amp;'S12 Operations'!$E$2:$E$533, 'S12 Operations'!$D$2:$D$533), 2, 0), "")</f>
        <v/>
      </c>
      <c r="Z18" s="168" t="str">
        <f t="array" ref="Z18">IFERROR(VLOOKUP($A18&amp;"-"&amp;Z$2, CHOOSE({1,2}, 'S12 Operations'!$C$2:$C$533&amp;"-"&amp;'S12 Operations'!$E$2:$E$533, 'S12 Operations'!$D$2:$D$533), 2, 0), "")</f>
        <v/>
      </c>
      <c r="AA18" s="62">
        <f t="array" ref="AA18">IFERROR(VLOOKUP($A18&amp;"-"&amp;AA$2, CHOOSE({1,2}, 'S12 Operations'!$C$2:$C$533&amp;"-"&amp;'S12 Operations'!$E$2:$E$533, 'S12 Operations'!$D$2:$D$533), 2, 0), "")</f>
        <v>80</v>
      </c>
    </row>
    <row r="19" spans="1:27" ht="17" thickBot="1" x14ac:dyDescent="0.25"/>
    <row r="20" spans="1:27" ht="18" thickBot="1" x14ac:dyDescent="0.25">
      <c r="A20" s="209" t="s">
        <v>932</v>
      </c>
      <c r="B20" s="52" t="s">
        <v>566</v>
      </c>
      <c r="C20" s="335" t="s">
        <v>567</v>
      </c>
      <c r="D20" s="336"/>
      <c r="E20" s="337"/>
      <c r="F20" s="332" t="s">
        <v>568</v>
      </c>
      <c r="G20" s="333"/>
      <c r="H20" s="334"/>
      <c r="I20" s="335" t="s">
        <v>569</v>
      </c>
      <c r="J20" s="336"/>
      <c r="K20" s="336"/>
      <c r="L20" s="336"/>
      <c r="M20" s="336"/>
      <c r="N20" s="336"/>
      <c r="O20" s="336"/>
      <c r="P20" s="337"/>
      <c r="Q20" s="332" t="s">
        <v>570</v>
      </c>
      <c r="R20" s="333"/>
      <c r="S20" s="333"/>
      <c r="T20" s="334"/>
      <c r="U20" s="335" t="s">
        <v>571</v>
      </c>
      <c r="V20" s="337"/>
      <c r="W20" s="332" t="s">
        <v>567</v>
      </c>
      <c r="X20" s="333"/>
      <c r="Y20" s="334"/>
      <c r="Z20" s="148" t="s">
        <v>572</v>
      </c>
      <c r="AA20" s="52" t="s">
        <v>566</v>
      </c>
    </row>
    <row r="21" spans="1:27" ht="18" thickBot="1" x14ac:dyDescent="0.25">
      <c r="A21" s="212" t="s">
        <v>170</v>
      </c>
      <c r="B21" s="213" t="s">
        <v>616</v>
      </c>
      <c r="C21" s="214" t="s">
        <v>609</v>
      </c>
      <c r="D21" s="215" t="s">
        <v>611</v>
      </c>
      <c r="E21" s="216" t="s">
        <v>613</v>
      </c>
      <c r="F21" s="54" t="s">
        <v>575</v>
      </c>
      <c r="G21" s="55" t="s">
        <v>577</v>
      </c>
      <c r="H21" s="56" t="s">
        <v>580</v>
      </c>
      <c r="I21" s="214" t="s">
        <v>576</v>
      </c>
      <c r="J21" s="215" t="s">
        <v>578</v>
      </c>
      <c r="K21" s="215" t="s">
        <v>581</v>
      </c>
      <c r="L21" s="215" t="s">
        <v>591</v>
      </c>
      <c r="M21" s="215" t="s">
        <v>593</v>
      </c>
      <c r="N21" s="215" t="s">
        <v>594</v>
      </c>
      <c r="O21" s="215" t="s">
        <v>596</v>
      </c>
      <c r="P21" s="216" t="s">
        <v>597</v>
      </c>
      <c r="Q21" s="54" t="s">
        <v>598</v>
      </c>
      <c r="R21" s="55" t="s">
        <v>599</v>
      </c>
      <c r="S21" s="55" t="s">
        <v>601</v>
      </c>
      <c r="T21" s="56" t="s">
        <v>604</v>
      </c>
      <c r="U21" s="214" t="s">
        <v>600</v>
      </c>
      <c r="V21" s="216" t="s">
        <v>602</v>
      </c>
      <c r="W21" s="54" t="s">
        <v>605</v>
      </c>
      <c r="X21" s="55" t="s">
        <v>606</v>
      </c>
      <c r="Y21" s="56" t="s">
        <v>607</v>
      </c>
      <c r="Z21" s="217" t="s">
        <v>615</v>
      </c>
      <c r="AA21" s="213" t="s">
        <v>617</v>
      </c>
    </row>
    <row r="22" spans="1:27" ht="17" x14ac:dyDescent="0.2">
      <c r="A22" s="210" t="str">
        <f>'S08 ABC Output'!A3</f>
        <v>I-010</v>
      </c>
      <c r="B22" s="211">
        <f t="array" ref="B22">IFERROR(VLOOKUP($A22&amp;"-"&amp;B$21, CHOOSE({1,2}, 'S12 Operations'!$C$2:$C$533&amp;"-"&amp;'S12 Operations'!$E$2:$E$533, 'S12 Operations'!$D$2:$D$5334), 2, 0), "")</f>
        <v>10</v>
      </c>
      <c r="C22" s="211" t="str">
        <f t="array" ref="C22">IFERROR(VLOOKUP($A22&amp;"-"&amp;C$21, CHOOSE({1,2}, 'S12 Operations'!$C$2:$C$533&amp;"-"&amp;'S12 Operations'!$E$2:$E$533, 'S12 Operations'!$D$2:$D$5334), 2, 0), "")</f>
        <v/>
      </c>
      <c r="D22" s="211" t="str">
        <f t="array" ref="D22">IFERROR(VLOOKUP($A22&amp;"-"&amp;D$21, CHOOSE({1,2}, 'S12 Operations'!$C$2:$C$533&amp;"-"&amp;'S12 Operations'!$E$2:$E$533, 'S12 Operations'!$D$2:$D$5334), 2, 0), "")</f>
        <v/>
      </c>
      <c r="E22" s="211">
        <f t="array" ref="E22">IFERROR(VLOOKUP($A22&amp;"-"&amp;E$21, CHOOSE({1,2}, 'S12 Operations'!$C$2:$C$533&amp;"-"&amp;'S12 Operations'!$E$2:$E$533, 'S12 Operations'!$D$2:$D$5334), 2, 0), "")</f>
        <v>20</v>
      </c>
      <c r="F22" s="211">
        <f t="array" ref="F22">IFERROR(VLOOKUP($A22&amp;"-"&amp;F$21, CHOOSE({1,2}, 'S12 Operations'!$C$2:$C$533&amp;"-"&amp;'S12 Operations'!$E$2:$E$533, 'S12 Operations'!$D$2:$D$5334), 2, 0), "")</f>
        <v>30</v>
      </c>
      <c r="G22" s="211" t="str">
        <f t="array" ref="G22">IFERROR(VLOOKUP($A22&amp;"-"&amp;G$21, CHOOSE({1,2}, 'S12 Operations'!$C$2:$C$533&amp;"-"&amp;'S12 Operations'!$E$2:$E$533, 'S12 Operations'!$D$2:$D$5334), 2, 0), "")</f>
        <v/>
      </c>
      <c r="H22" s="211" t="str">
        <f t="array" ref="H22">IFERROR(VLOOKUP($A22&amp;"-"&amp;H$21, CHOOSE({1,2}, 'S12 Operations'!$C$2:$C$533&amp;"-"&amp;'S12 Operations'!$E$2:$E$533, 'S12 Operations'!$D$2:$D$5334), 2, 0), "")</f>
        <v/>
      </c>
      <c r="I22" s="211" t="str">
        <f t="array" ref="I22">IFERROR(VLOOKUP($A22&amp;"-"&amp;I$21, CHOOSE({1,2}, 'S12 Operations'!$C$2:$C$533&amp;"-"&amp;'S12 Operations'!$E$2:$E$533, 'S12 Operations'!$D$2:$D$5334), 2, 0), "")</f>
        <v/>
      </c>
      <c r="J22" s="211" t="str">
        <f t="array" ref="J22">IFERROR(VLOOKUP($A22&amp;"-"&amp;J$21, CHOOSE({1,2}, 'S12 Operations'!$C$2:$C$533&amp;"-"&amp;'S12 Operations'!$E$2:$E$533, 'S12 Operations'!$D$2:$D$5334), 2, 0), "")</f>
        <v/>
      </c>
      <c r="K22" s="211" t="str">
        <f t="array" ref="K22">IFERROR(VLOOKUP($A22&amp;"-"&amp;K$21, CHOOSE({1,2}, 'S12 Operations'!$C$2:$C$533&amp;"-"&amp;'S12 Operations'!$E$2:$E$533, 'S12 Operations'!$D$2:$D$5334), 2, 0), "")</f>
        <v/>
      </c>
      <c r="L22" s="211">
        <f t="array" ref="L22">IFERROR(VLOOKUP($A22&amp;"-"&amp;L$21, CHOOSE({1,2}, 'S12 Operations'!$C$2:$C$533&amp;"-"&amp;'S12 Operations'!$E$2:$E$533, 'S12 Operations'!$D$2:$D$5334), 2, 0), "")</f>
        <v>40</v>
      </c>
      <c r="M22" s="211" t="str">
        <f t="array" ref="M22">IFERROR(VLOOKUP($A22&amp;"-"&amp;M$21, CHOOSE({1,2}, 'S12 Operations'!$C$2:$C$533&amp;"-"&amp;'S12 Operations'!$E$2:$E$533, 'S12 Operations'!$D$2:$D$5334), 2, 0), "")</f>
        <v/>
      </c>
      <c r="N22" s="211" t="str">
        <f t="array" ref="N22">IFERROR(VLOOKUP($A22&amp;"-"&amp;N$21, CHOOSE({1,2}, 'S12 Operations'!$C$2:$C$533&amp;"-"&amp;'S12 Operations'!$E$2:$E$533, 'S12 Operations'!$D$2:$D$5334), 2, 0), "")</f>
        <v/>
      </c>
      <c r="O22" s="211" t="str">
        <f t="array" ref="O22">IFERROR(VLOOKUP($A22&amp;"-"&amp;O$21, CHOOSE({1,2}, 'S12 Operations'!$C$2:$C$533&amp;"-"&amp;'S12 Operations'!$E$2:$E$533, 'S12 Operations'!$D$2:$D$5334), 2, 0), "")</f>
        <v/>
      </c>
      <c r="P22" s="211">
        <f t="array" ref="P22">IFERROR(VLOOKUP($A22&amp;"-"&amp;P$21, CHOOSE({1,2}, 'S12 Operations'!$C$2:$C$533&amp;"-"&amp;'S12 Operations'!$E$2:$E$533, 'S12 Operations'!$D$2:$D$5334), 2, 0), "")</f>
        <v>50</v>
      </c>
      <c r="Q22" s="211" t="str">
        <f t="array" ref="Q22">IFERROR(VLOOKUP($A22&amp;"-"&amp;Q$21, CHOOSE({1,2}, 'S12 Operations'!$C$2:$C$533&amp;"-"&amp;'S12 Operations'!$E$2:$E$533, 'S12 Operations'!$D$2:$D$5334), 2, 0), "")</f>
        <v/>
      </c>
      <c r="R22" s="211" t="str">
        <f t="array" ref="R22">IFERROR(VLOOKUP($A22&amp;"-"&amp;R$21, CHOOSE({1,2}, 'S12 Operations'!$C$2:$C$533&amp;"-"&amp;'S12 Operations'!$E$2:$E$533, 'S12 Operations'!$D$2:$D$5334), 2, 0), "")</f>
        <v/>
      </c>
      <c r="S22" s="211" t="str">
        <f t="array" ref="S22">IFERROR(VLOOKUP($A22&amp;"-"&amp;S$21, CHOOSE({1,2}, 'S12 Operations'!$C$2:$C$533&amp;"-"&amp;'S12 Operations'!$E$2:$E$533, 'S12 Operations'!$D$2:$D$5334), 2, 0), "")</f>
        <v/>
      </c>
      <c r="T22" s="211" t="str">
        <f t="array" ref="T22">IFERROR(VLOOKUP($A22&amp;"-"&amp;T$21, CHOOSE({1,2}, 'S12 Operations'!$C$2:$C$533&amp;"-"&amp;'S12 Operations'!$E$2:$E$533, 'S12 Operations'!$D$2:$D$5334), 2, 0), "")</f>
        <v/>
      </c>
      <c r="U22" s="211" t="str">
        <f t="array" ref="U22">IFERROR(VLOOKUP($A22&amp;"-"&amp;U$21, CHOOSE({1,2}, 'S12 Operations'!$C$2:$C$533&amp;"-"&amp;'S12 Operations'!$E$2:$E$533, 'S12 Operations'!$D$2:$D$5334), 2, 0), "")</f>
        <v/>
      </c>
      <c r="V22" s="211">
        <f t="array" ref="V22">IFERROR(VLOOKUP($A22&amp;"-"&amp;V$21, CHOOSE({1,2}, 'S12 Operations'!$C$2:$C$533&amp;"-"&amp;'S12 Operations'!$E$2:$E$533, 'S12 Operations'!$D$2:$D$5334), 2, 0), "")</f>
        <v>60</v>
      </c>
      <c r="W22" s="211" t="str">
        <f t="array" ref="W22">IFERROR(VLOOKUP($A22&amp;"-"&amp;W$21, CHOOSE({1,2}, 'S12 Operations'!$C$2:$C$533&amp;"-"&amp;'S12 Operations'!$E$2:$E$533, 'S12 Operations'!$D$2:$D$5334), 2, 0), "")</f>
        <v/>
      </c>
      <c r="X22" s="211">
        <f t="array" ref="X22">IFERROR(VLOOKUP($A22&amp;"-"&amp;X$21, CHOOSE({1,2}, 'S12 Operations'!$C$2:$C$533&amp;"-"&amp;'S12 Operations'!$E$2:$E$533, 'S12 Operations'!$D$2:$D$5334), 2, 0), "")</f>
        <v>70</v>
      </c>
      <c r="Y22" s="211" t="str">
        <f t="array" ref="Y22">IFERROR(VLOOKUP($A22&amp;"-"&amp;Y$21, CHOOSE({1,2}, 'S12 Operations'!$C$2:$C$533&amp;"-"&amp;'S12 Operations'!$E$2:$E$533, 'S12 Operations'!$D$2:$D$5334), 2, 0), "")</f>
        <v/>
      </c>
      <c r="Z22" s="211" t="str">
        <f t="array" ref="Z22">IFERROR(VLOOKUP($A22&amp;"-"&amp;Z$21, CHOOSE({1,2}, 'S12 Operations'!$C$2:$C$533&amp;"-"&amp;'S12 Operations'!$E$2:$E$533, 'S12 Operations'!$D$2:$D$5334), 2, 0), "")</f>
        <v/>
      </c>
      <c r="AA22" s="211">
        <f t="array" ref="AA22">IFERROR(VLOOKUP($A22&amp;"-"&amp;AA$21, CHOOSE({1,2}, 'S12 Operations'!$C$2:$C$533&amp;"-"&amp;'S12 Operations'!$E$2:$E$533, 'S12 Operations'!$D$2:$D$5334), 2, 0), "")</f>
        <v>80</v>
      </c>
    </row>
    <row r="23" spans="1:27" ht="17" x14ac:dyDescent="0.2">
      <c r="A23" s="210" t="str">
        <f>'S08 ABC Output'!A4</f>
        <v>I-004</v>
      </c>
      <c r="B23" s="211">
        <f t="array" ref="B23">IFERROR(VLOOKUP($A23&amp;"-"&amp;B$21, CHOOSE({1,2}, 'S12 Operations'!$C$2:$C$533&amp;"-"&amp;'S12 Operations'!$E$2:$E$533, 'S12 Operations'!$D$2:$D$5334), 2, 0), "")</f>
        <v>10</v>
      </c>
      <c r="C23" s="211">
        <f t="array" ref="C23">IFERROR(VLOOKUP($A23&amp;"-"&amp;C$21, CHOOSE({1,2}, 'S12 Operations'!$C$2:$C$533&amp;"-"&amp;'S12 Operations'!$E$2:$E$533, 'S12 Operations'!$D$2:$D$5334), 2, 0), "")</f>
        <v>20</v>
      </c>
      <c r="D23" s="211" t="str">
        <f t="array" ref="D23">IFERROR(VLOOKUP($A23&amp;"-"&amp;D$21, CHOOSE({1,2}, 'S12 Operations'!$C$2:$C$533&amp;"-"&amp;'S12 Operations'!$E$2:$E$533, 'S12 Operations'!$D$2:$D$5334), 2, 0), "")</f>
        <v/>
      </c>
      <c r="E23" s="211" t="str">
        <f t="array" ref="E23">IFERROR(VLOOKUP($A23&amp;"-"&amp;E$21, CHOOSE({1,2}, 'S12 Operations'!$C$2:$C$533&amp;"-"&amp;'S12 Operations'!$E$2:$E$533, 'S12 Operations'!$D$2:$D$5334), 2, 0), "")</f>
        <v/>
      </c>
      <c r="F23" s="211" t="str">
        <f t="array" ref="F23">IFERROR(VLOOKUP($A23&amp;"-"&amp;F$21, CHOOSE({1,2}, 'S12 Operations'!$C$2:$C$533&amp;"-"&amp;'S12 Operations'!$E$2:$E$533, 'S12 Operations'!$D$2:$D$5334), 2, 0), "")</f>
        <v/>
      </c>
      <c r="G23" s="211" t="str">
        <f t="array" ref="G23">IFERROR(VLOOKUP($A23&amp;"-"&amp;G$21, CHOOSE({1,2}, 'S12 Operations'!$C$2:$C$533&amp;"-"&amp;'S12 Operations'!$E$2:$E$533, 'S12 Operations'!$D$2:$D$5334), 2, 0), "")</f>
        <v/>
      </c>
      <c r="H23" s="211" t="str">
        <f t="array" ref="H23">IFERROR(VLOOKUP($A23&amp;"-"&amp;H$21, CHOOSE({1,2}, 'S12 Operations'!$C$2:$C$533&amp;"-"&amp;'S12 Operations'!$E$2:$E$533, 'S12 Operations'!$D$2:$D$5334), 2, 0), "")</f>
        <v/>
      </c>
      <c r="I23" s="211" t="str">
        <f t="array" ref="I23">IFERROR(VLOOKUP($A23&amp;"-"&amp;I$21, CHOOSE({1,2}, 'S12 Operations'!$C$2:$C$533&amp;"-"&amp;'S12 Operations'!$E$2:$E$533, 'S12 Operations'!$D$2:$D$5334), 2, 0), "")</f>
        <v/>
      </c>
      <c r="J23" s="211">
        <f t="array" ref="J23">IFERROR(VLOOKUP($A23&amp;"-"&amp;J$21, CHOOSE({1,2}, 'S12 Operations'!$C$2:$C$533&amp;"-"&amp;'S12 Operations'!$E$2:$E$533, 'S12 Operations'!$D$2:$D$5334), 2, 0), "")</f>
        <v>30</v>
      </c>
      <c r="K23" s="211" t="str">
        <f t="array" ref="K23">IFERROR(VLOOKUP($A23&amp;"-"&amp;K$21, CHOOSE({1,2}, 'S12 Operations'!$C$2:$C$533&amp;"-"&amp;'S12 Operations'!$E$2:$E$533, 'S12 Operations'!$D$2:$D$5334), 2, 0), "")</f>
        <v/>
      </c>
      <c r="L23" s="211" t="str">
        <f t="array" ref="L23">IFERROR(VLOOKUP($A23&amp;"-"&amp;L$21, CHOOSE({1,2}, 'S12 Operations'!$C$2:$C$533&amp;"-"&amp;'S12 Operations'!$E$2:$E$533, 'S12 Operations'!$D$2:$D$5334), 2, 0), "")</f>
        <v/>
      </c>
      <c r="M23" s="211" t="str">
        <f t="array" ref="M23">IFERROR(VLOOKUP($A23&amp;"-"&amp;M$21, CHOOSE({1,2}, 'S12 Operations'!$C$2:$C$533&amp;"-"&amp;'S12 Operations'!$E$2:$E$533, 'S12 Operations'!$D$2:$D$5334), 2, 0), "")</f>
        <v/>
      </c>
      <c r="N23" s="211" t="str">
        <f t="array" ref="N23">IFERROR(VLOOKUP($A23&amp;"-"&amp;N$21, CHOOSE({1,2}, 'S12 Operations'!$C$2:$C$533&amp;"-"&amp;'S12 Operations'!$E$2:$E$533, 'S12 Operations'!$D$2:$D$5334), 2, 0), "")</f>
        <v/>
      </c>
      <c r="O23" s="211" t="str">
        <f t="array" ref="O23">IFERROR(VLOOKUP($A23&amp;"-"&amp;O$21, CHOOSE({1,2}, 'S12 Operations'!$C$2:$C$533&amp;"-"&amp;'S12 Operations'!$E$2:$E$533, 'S12 Operations'!$D$2:$D$5334), 2, 0), "")</f>
        <v/>
      </c>
      <c r="P23" s="211" t="str">
        <f t="array" ref="P23">IFERROR(VLOOKUP($A23&amp;"-"&amp;P$21, CHOOSE({1,2}, 'S12 Operations'!$C$2:$C$533&amp;"-"&amp;'S12 Operations'!$E$2:$E$533, 'S12 Operations'!$D$2:$D$5334), 2, 0), "")</f>
        <v/>
      </c>
      <c r="Q23" s="211">
        <f t="array" ref="Q23">IFERROR(VLOOKUP($A23&amp;"-"&amp;Q$21, CHOOSE({1,2}, 'S12 Operations'!$C$2:$C$533&amp;"-"&amp;'S12 Operations'!$E$2:$E$533, 'S12 Operations'!$D$2:$D$5334), 2, 0), "")</f>
        <v>40</v>
      </c>
      <c r="R23" s="211" t="str">
        <f t="array" ref="R23">IFERROR(VLOOKUP($A23&amp;"-"&amp;R$21, CHOOSE({1,2}, 'S12 Operations'!$C$2:$C$533&amp;"-"&amp;'S12 Operations'!$E$2:$E$533, 'S12 Operations'!$D$2:$D$5334), 2, 0), "")</f>
        <v/>
      </c>
      <c r="S23" s="211" t="str">
        <f t="array" ref="S23">IFERROR(VLOOKUP($A23&amp;"-"&amp;S$21, CHOOSE({1,2}, 'S12 Operations'!$C$2:$C$533&amp;"-"&amp;'S12 Operations'!$E$2:$E$533, 'S12 Operations'!$D$2:$D$5334), 2, 0), "")</f>
        <v/>
      </c>
      <c r="T23" s="211" t="str">
        <f t="array" ref="T23">IFERROR(VLOOKUP($A23&amp;"-"&amp;T$21, CHOOSE({1,2}, 'S12 Operations'!$C$2:$C$533&amp;"-"&amp;'S12 Operations'!$E$2:$E$533, 'S12 Operations'!$D$2:$D$5334), 2, 0), "")</f>
        <v/>
      </c>
      <c r="U23" s="211" t="str">
        <f t="array" ref="U23">IFERROR(VLOOKUP($A23&amp;"-"&amp;U$21, CHOOSE({1,2}, 'S12 Operations'!$C$2:$C$533&amp;"-"&amp;'S12 Operations'!$E$2:$E$533, 'S12 Operations'!$D$2:$D$5334), 2, 0), "")</f>
        <v/>
      </c>
      <c r="V23" s="211" t="str">
        <f t="array" ref="V23">IFERROR(VLOOKUP($A23&amp;"-"&amp;V$21, CHOOSE({1,2}, 'S12 Operations'!$C$2:$C$533&amp;"-"&amp;'S12 Operations'!$E$2:$E$533, 'S12 Operations'!$D$2:$D$5334), 2, 0), "")</f>
        <v/>
      </c>
      <c r="W23" s="211" t="str">
        <f t="array" ref="W23">IFERROR(VLOOKUP($A23&amp;"-"&amp;W$21, CHOOSE({1,2}, 'S12 Operations'!$C$2:$C$533&amp;"-"&amp;'S12 Operations'!$E$2:$E$533, 'S12 Operations'!$D$2:$D$5334), 2, 0), "")</f>
        <v/>
      </c>
      <c r="X23" s="211" t="str">
        <f t="array" ref="X23">IFERROR(VLOOKUP($A23&amp;"-"&amp;X$21, CHOOSE({1,2}, 'S12 Operations'!$C$2:$C$533&amp;"-"&amp;'S12 Operations'!$E$2:$E$533, 'S12 Operations'!$D$2:$D$5334), 2, 0), "")</f>
        <v/>
      </c>
      <c r="Y23" s="211">
        <f t="array" ref="Y23">IFERROR(VLOOKUP($A23&amp;"-"&amp;Y$21, CHOOSE({1,2}, 'S12 Operations'!$C$2:$C$533&amp;"-"&amp;'S12 Operations'!$E$2:$E$533, 'S12 Operations'!$D$2:$D$5334), 2, 0), "")</f>
        <v>50</v>
      </c>
      <c r="Z23" s="211" t="str">
        <f t="array" ref="Z23">IFERROR(VLOOKUP($A23&amp;"-"&amp;Z$21, CHOOSE({1,2}, 'S12 Operations'!$C$2:$C$533&amp;"-"&amp;'S12 Operations'!$E$2:$E$533, 'S12 Operations'!$D$2:$D$5334), 2, 0), "")</f>
        <v/>
      </c>
      <c r="AA23" s="211">
        <f t="array" ref="AA23">IFERROR(VLOOKUP($A23&amp;"-"&amp;AA$21, CHOOSE({1,2}, 'S12 Operations'!$C$2:$C$533&amp;"-"&amp;'S12 Operations'!$E$2:$E$533, 'S12 Operations'!$D$2:$D$5334), 2, 0), "")</f>
        <v>60</v>
      </c>
    </row>
    <row r="24" spans="1:27" ht="17" x14ac:dyDescent="0.2">
      <c r="A24" s="210" t="str">
        <f>'S08 ABC Output'!A5</f>
        <v>I-037</v>
      </c>
      <c r="B24" s="211">
        <f t="array" ref="B24">IFERROR(VLOOKUP($A24&amp;"-"&amp;B$21, CHOOSE({1,2}, 'S12 Operations'!$C$2:$C$533&amp;"-"&amp;'S12 Operations'!$E$2:$E$533, 'S12 Operations'!$D$2:$D$5334), 2, 0), "")</f>
        <v>10</v>
      </c>
      <c r="C24" s="211" t="str">
        <f t="array" ref="C24">IFERROR(VLOOKUP($A24&amp;"-"&amp;C$21, CHOOSE({1,2}, 'S12 Operations'!$C$2:$C$533&amp;"-"&amp;'S12 Operations'!$E$2:$E$533, 'S12 Operations'!$D$2:$D$5334), 2, 0), "")</f>
        <v/>
      </c>
      <c r="D24" s="211">
        <f t="array" ref="D24">IFERROR(VLOOKUP($A24&amp;"-"&amp;D$21, CHOOSE({1,2}, 'S12 Operations'!$C$2:$C$533&amp;"-"&amp;'S12 Operations'!$E$2:$E$533, 'S12 Operations'!$D$2:$D$5334), 2, 0), "")</f>
        <v>20</v>
      </c>
      <c r="E24" s="211" t="str">
        <f t="array" ref="E24">IFERROR(VLOOKUP($A24&amp;"-"&amp;E$21, CHOOSE({1,2}, 'S12 Operations'!$C$2:$C$533&amp;"-"&amp;'S12 Operations'!$E$2:$E$533, 'S12 Operations'!$D$2:$D$5334), 2, 0), "")</f>
        <v/>
      </c>
      <c r="F24" s="211" t="str">
        <f t="array" ref="F24">IFERROR(VLOOKUP($A24&amp;"-"&amp;F$21, CHOOSE({1,2}, 'S12 Operations'!$C$2:$C$533&amp;"-"&amp;'S12 Operations'!$E$2:$E$533, 'S12 Operations'!$D$2:$D$5334), 2, 0), "")</f>
        <v/>
      </c>
      <c r="G24" s="211" t="str">
        <f t="array" ref="G24">IFERROR(VLOOKUP($A24&amp;"-"&amp;G$21, CHOOSE({1,2}, 'S12 Operations'!$C$2:$C$533&amp;"-"&amp;'S12 Operations'!$E$2:$E$533, 'S12 Operations'!$D$2:$D$5334), 2, 0), "")</f>
        <v/>
      </c>
      <c r="H24" s="211">
        <f t="array" ref="H24">IFERROR(VLOOKUP($A24&amp;"-"&amp;H$21, CHOOSE({1,2}, 'S12 Operations'!$C$2:$C$533&amp;"-"&amp;'S12 Operations'!$E$2:$E$533, 'S12 Operations'!$D$2:$D$5334), 2, 0), "")</f>
        <v>30</v>
      </c>
      <c r="I24" s="211" t="str">
        <f t="array" ref="I24">IFERROR(VLOOKUP($A24&amp;"-"&amp;I$21, CHOOSE({1,2}, 'S12 Operations'!$C$2:$C$533&amp;"-"&amp;'S12 Operations'!$E$2:$E$533, 'S12 Operations'!$D$2:$D$5334), 2, 0), "")</f>
        <v/>
      </c>
      <c r="J24" s="211" t="str">
        <f t="array" ref="J24">IFERROR(VLOOKUP($A24&amp;"-"&amp;J$21, CHOOSE({1,2}, 'S12 Operations'!$C$2:$C$533&amp;"-"&amp;'S12 Operations'!$E$2:$E$533, 'S12 Operations'!$D$2:$D$5334), 2, 0), "")</f>
        <v/>
      </c>
      <c r="K24" s="211" t="str">
        <f t="array" ref="K24">IFERROR(VLOOKUP($A24&amp;"-"&amp;K$21, CHOOSE({1,2}, 'S12 Operations'!$C$2:$C$533&amp;"-"&amp;'S12 Operations'!$E$2:$E$533, 'S12 Operations'!$D$2:$D$5334), 2, 0), "")</f>
        <v/>
      </c>
      <c r="L24" s="211" t="str">
        <f t="array" ref="L24">IFERROR(VLOOKUP($A24&amp;"-"&amp;L$21, CHOOSE({1,2}, 'S12 Operations'!$C$2:$C$533&amp;"-"&amp;'S12 Operations'!$E$2:$E$533, 'S12 Operations'!$D$2:$D$5334), 2, 0), "")</f>
        <v/>
      </c>
      <c r="M24" s="211" t="str">
        <f t="array" ref="M24">IFERROR(VLOOKUP($A24&amp;"-"&amp;M$21, CHOOSE({1,2}, 'S12 Operations'!$C$2:$C$533&amp;"-"&amp;'S12 Operations'!$E$2:$E$533, 'S12 Operations'!$D$2:$D$5334), 2, 0), "")</f>
        <v/>
      </c>
      <c r="N24" s="211">
        <f t="array" ref="N24">IFERROR(VLOOKUP($A24&amp;"-"&amp;N$21, CHOOSE({1,2}, 'S12 Operations'!$C$2:$C$533&amp;"-"&amp;'S12 Operations'!$E$2:$E$533, 'S12 Operations'!$D$2:$D$5334), 2, 0), "")</f>
        <v>40</v>
      </c>
      <c r="O24" s="211" t="str">
        <f t="array" ref="O24">IFERROR(VLOOKUP($A24&amp;"-"&amp;O$21, CHOOSE({1,2}, 'S12 Operations'!$C$2:$C$533&amp;"-"&amp;'S12 Operations'!$E$2:$E$533, 'S12 Operations'!$D$2:$D$5334), 2, 0), "")</f>
        <v/>
      </c>
      <c r="P24" s="211" t="str">
        <f t="array" ref="P24">IFERROR(VLOOKUP($A24&amp;"-"&amp;P$21, CHOOSE({1,2}, 'S12 Operations'!$C$2:$C$533&amp;"-"&amp;'S12 Operations'!$E$2:$E$533, 'S12 Operations'!$D$2:$D$5334), 2, 0), "")</f>
        <v/>
      </c>
      <c r="Q24" s="211" t="str">
        <f t="array" ref="Q24">IFERROR(VLOOKUP($A24&amp;"-"&amp;Q$21, CHOOSE({1,2}, 'S12 Operations'!$C$2:$C$533&amp;"-"&amp;'S12 Operations'!$E$2:$E$533, 'S12 Operations'!$D$2:$D$5334), 2, 0), "")</f>
        <v/>
      </c>
      <c r="R24" s="211" t="str">
        <f t="array" ref="R24">IFERROR(VLOOKUP($A24&amp;"-"&amp;R$21, CHOOSE({1,2}, 'S12 Operations'!$C$2:$C$533&amp;"-"&amp;'S12 Operations'!$E$2:$E$533, 'S12 Operations'!$D$2:$D$5334), 2, 0), "")</f>
        <v/>
      </c>
      <c r="S24" s="211">
        <f t="array" ref="S24">IFERROR(VLOOKUP($A24&amp;"-"&amp;S$21, CHOOSE({1,2}, 'S12 Operations'!$C$2:$C$533&amp;"-"&amp;'S12 Operations'!$E$2:$E$533, 'S12 Operations'!$D$2:$D$5334), 2, 0), "")</f>
        <v>50</v>
      </c>
      <c r="T24" s="211" t="str">
        <f t="array" ref="T24">IFERROR(VLOOKUP($A24&amp;"-"&amp;T$21, CHOOSE({1,2}, 'S12 Operations'!$C$2:$C$533&amp;"-"&amp;'S12 Operations'!$E$2:$E$533, 'S12 Operations'!$D$2:$D$5334), 2, 0), "")</f>
        <v/>
      </c>
      <c r="U24" s="211">
        <f t="array" ref="U24">IFERROR(VLOOKUP($A24&amp;"-"&amp;U$21, CHOOSE({1,2}, 'S12 Operations'!$C$2:$C$533&amp;"-"&amp;'S12 Operations'!$E$2:$E$533, 'S12 Operations'!$D$2:$D$5334), 2, 0), "")</f>
        <v>60</v>
      </c>
      <c r="V24" s="211" t="str">
        <f t="array" ref="V24">IFERROR(VLOOKUP($A24&amp;"-"&amp;V$21, CHOOSE({1,2}, 'S12 Operations'!$C$2:$C$533&amp;"-"&amp;'S12 Operations'!$E$2:$E$533, 'S12 Operations'!$D$2:$D$5334), 2, 0), "")</f>
        <v/>
      </c>
      <c r="W24" s="211">
        <f t="array" ref="W24">IFERROR(VLOOKUP($A24&amp;"-"&amp;W$21, CHOOSE({1,2}, 'S12 Operations'!$C$2:$C$533&amp;"-"&amp;'S12 Operations'!$E$2:$E$533, 'S12 Operations'!$D$2:$D$5334), 2, 0), "")</f>
        <v>70</v>
      </c>
      <c r="X24" s="211" t="str">
        <f t="array" ref="X24">IFERROR(VLOOKUP($A24&amp;"-"&amp;X$21, CHOOSE({1,2}, 'S12 Operations'!$C$2:$C$533&amp;"-"&amp;'S12 Operations'!$E$2:$E$533, 'S12 Operations'!$D$2:$D$5334), 2, 0), "")</f>
        <v/>
      </c>
      <c r="Y24" s="211" t="str">
        <f t="array" ref="Y24">IFERROR(VLOOKUP($A24&amp;"-"&amp;Y$21, CHOOSE({1,2}, 'S12 Operations'!$C$2:$C$533&amp;"-"&amp;'S12 Operations'!$E$2:$E$533, 'S12 Operations'!$D$2:$D$5334), 2, 0), "")</f>
        <v/>
      </c>
      <c r="Z24" s="211" t="str">
        <f t="array" ref="Z24">IFERROR(VLOOKUP($A24&amp;"-"&amp;Z$21, CHOOSE({1,2}, 'S12 Operations'!$C$2:$C$533&amp;"-"&amp;'S12 Operations'!$E$2:$E$533, 'S12 Operations'!$D$2:$D$5334), 2, 0), "")</f>
        <v/>
      </c>
      <c r="AA24" s="211">
        <f t="array" ref="AA24">IFERROR(VLOOKUP($A24&amp;"-"&amp;AA$21, CHOOSE({1,2}, 'S12 Operations'!$C$2:$C$533&amp;"-"&amp;'S12 Operations'!$E$2:$E$533, 'S12 Operations'!$D$2:$D$5334), 2, 0), "")</f>
        <v>80</v>
      </c>
    </row>
    <row r="25" spans="1:27" ht="17" x14ac:dyDescent="0.2">
      <c r="A25" s="210" t="str">
        <f>'S08 ABC Output'!A6</f>
        <v>I-064</v>
      </c>
      <c r="B25" s="211">
        <f t="array" ref="B25">IFERROR(VLOOKUP($A25&amp;"-"&amp;B$21, CHOOSE({1,2}, 'S12 Operations'!$C$2:$C$533&amp;"-"&amp;'S12 Operations'!$E$2:$E$533, 'S12 Operations'!$D$2:$D$5334), 2, 0), "")</f>
        <v>10</v>
      </c>
      <c r="C25" s="211" t="str">
        <f t="array" ref="C25">IFERROR(VLOOKUP($A25&amp;"-"&amp;C$21, CHOOSE({1,2}, 'S12 Operations'!$C$2:$C$533&amp;"-"&amp;'S12 Operations'!$E$2:$E$533, 'S12 Operations'!$D$2:$D$5334), 2, 0), "")</f>
        <v/>
      </c>
      <c r="D25" s="211" t="str">
        <f t="array" ref="D25">IFERROR(VLOOKUP($A25&amp;"-"&amp;D$21, CHOOSE({1,2}, 'S12 Operations'!$C$2:$C$533&amp;"-"&amp;'S12 Operations'!$E$2:$E$533, 'S12 Operations'!$D$2:$D$5334), 2, 0), "")</f>
        <v/>
      </c>
      <c r="E25" s="211">
        <f t="array" ref="E25">IFERROR(VLOOKUP($A25&amp;"-"&amp;E$21, CHOOSE({1,2}, 'S12 Operations'!$C$2:$C$533&amp;"-"&amp;'S12 Operations'!$E$2:$E$533, 'S12 Operations'!$D$2:$D$5334), 2, 0), "")</f>
        <v>20</v>
      </c>
      <c r="F25" s="211" t="str">
        <f t="array" ref="F25">IFERROR(VLOOKUP($A25&amp;"-"&amp;F$21, CHOOSE({1,2}, 'S12 Operations'!$C$2:$C$533&amp;"-"&amp;'S12 Operations'!$E$2:$E$533, 'S12 Operations'!$D$2:$D$5334), 2, 0), "")</f>
        <v/>
      </c>
      <c r="G25" s="211">
        <f t="array" ref="G25">IFERROR(VLOOKUP($A25&amp;"-"&amp;G$21, CHOOSE({1,2}, 'S12 Operations'!$C$2:$C$533&amp;"-"&amp;'S12 Operations'!$E$2:$E$533, 'S12 Operations'!$D$2:$D$5334), 2, 0), "")</f>
        <v>30</v>
      </c>
      <c r="H25" s="211" t="str">
        <f t="array" ref="H25">IFERROR(VLOOKUP($A25&amp;"-"&amp;H$21, CHOOSE({1,2}, 'S12 Operations'!$C$2:$C$533&amp;"-"&amp;'S12 Operations'!$E$2:$E$533, 'S12 Operations'!$D$2:$D$5334), 2, 0), "")</f>
        <v/>
      </c>
      <c r="I25" s="211">
        <f t="array" ref="I25">IFERROR(VLOOKUP($A25&amp;"-"&amp;I$21, CHOOSE({1,2}, 'S12 Operations'!$C$2:$C$533&amp;"-"&amp;'S12 Operations'!$E$2:$E$533, 'S12 Operations'!$D$2:$D$5334), 2, 0), "")</f>
        <v>40</v>
      </c>
      <c r="J25" s="211" t="str">
        <f t="array" ref="J25">IFERROR(VLOOKUP($A25&amp;"-"&amp;J$21, CHOOSE({1,2}, 'S12 Operations'!$C$2:$C$533&amp;"-"&amp;'S12 Operations'!$E$2:$E$533, 'S12 Operations'!$D$2:$D$5334), 2, 0), "")</f>
        <v/>
      </c>
      <c r="K25" s="211" t="str">
        <f t="array" ref="K25">IFERROR(VLOOKUP($A25&amp;"-"&amp;K$21, CHOOSE({1,2}, 'S12 Operations'!$C$2:$C$533&amp;"-"&amp;'S12 Operations'!$E$2:$E$533, 'S12 Operations'!$D$2:$D$5334), 2, 0), "")</f>
        <v/>
      </c>
      <c r="L25" s="211" t="str">
        <f t="array" ref="L25">IFERROR(VLOOKUP($A25&amp;"-"&amp;L$21, CHOOSE({1,2}, 'S12 Operations'!$C$2:$C$533&amp;"-"&amp;'S12 Operations'!$E$2:$E$533, 'S12 Operations'!$D$2:$D$5334), 2, 0), "")</f>
        <v/>
      </c>
      <c r="M25" s="211" t="str">
        <f t="array" ref="M25">IFERROR(VLOOKUP($A25&amp;"-"&amp;M$21, CHOOSE({1,2}, 'S12 Operations'!$C$2:$C$533&amp;"-"&amp;'S12 Operations'!$E$2:$E$533, 'S12 Operations'!$D$2:$D$5334), 2, 0), "")</f>
        <v/>
      </c>
      <c r="N25" s="211" t="str">
        <f t="array" ref="N25">IFERROR(VLOOKUP($A25&amp;"-"&amp;N$21, CHOOSE({1,2}, 'S12 Operations'!$C$2:$C$533&amp;"-"&amp;'S12 Operations'!$E$2:$E$533, 'S12 Operations'!$D$2:$D$5334), 2, 0), "")</f>
        <v/>
      </c>
      <c r="O25" s="211">
        <f t="array" ref="O25">IFERROR(VLOOKUP($A25&amp;"-"&amp;O$21, CHOOSE({1,2}, 'S12 Operations'!$C$2:$C$533&amp;"-"&amp;'S12 Operations'!$E$2:$E$533, 'S12 Operations'!$D$2:$D$5334), 2, 0), "")</f>
        <v>50</v>
      </c>
      <c r="P25" s="211" t="str">
        <f t="array" ref="P25">IFERROR(VLOOKUP($A25&amp;"-"&amp;P$21, CHOOSE({1,2}, 'S12 Operations'!$C$2:$C$533&amp;"-"&amp;'S12 Operations'!$E$2:$E$533, 'S12 Operations'!$D$2:$D$5334), 2, 0), "")</f>
        <v/>
      </c>
      <c r="Q25" s="211" t="str">
        <f t="array" ref="Q25">IFERROR(VLOOKUP($A25&amp;"-"&amp;Q$21, CHOOSE({1,2}, 'S12 Operations'!$C$2:$C$533&amp;"-"&amp;'S12 Operations'!$E$2:$E$533, 'S12 Operations'!$D$2:$D$5334), 2, 0), "")</f>
        <v/>
      </c>
      <c r="R25" s="211" t="str">
        <f t="array" ref="R25">IFERROR(VLOOKUP($A25&amp;"-"&amp;R$21, CHOOSE({1,2}, 'S12 Operations'!$C$2:$C$533&amp;"-"&amp;'S12 Operations'!$E$2:$E$533, 'S12 Operations'!$D$2:$D$5334), 2, 0), "")</f>
        <v/>
      </c>
      <c r="S25" s="211" t="str">
        <f t="array" ref="S25">IFERROR(VLOOKUP($A25&amp;"-"&amp;S$21, CHOOSE({1,2}, 'S12 Operations'!$C$2:$C$533&amp;"-"&amp;'S12 Operations'!$E$2:$E$533, 'S12 Operations'!$D$2:$D$5334), 2, 0), "")</f>
        <v/>
      </c>
      <c r="T25" s="211">
        <f t="array" ref="T25">IFERROR(VLOOKUP($A25&amp;"-"&amp;T$21, CHOOSE({1,2}, 'S12 Operations'!$C$2:$C$533&amp;"-"&amp;'S12 Operations'!$E$2:$E$533, 'S12 Operations'!$D$2:$D$5334), 2, 0), "")</f>
        <v>60</v>
      </c>
      <c r="U25" s="211" t="str">
        <f t="array" ref="U25">IFERROR(VLOOKUP($A25&amp;"-"&amp;U$21, CHOOSE({1,2}, 'S12 Operations'!$C$2:$C$533&amp;"-"&amp;'S12 Operations'!$E$2:$E$533, 'S12 Operations'!$D$2:$D$5334), 2, 0), "")</f>
        <v/>
      </c>
      <c r="V25" s="211" t="str">
        <f t="array" ref="V25">IFERROR(VLOOKUP($A25&amp;"-"&amp;V$21, CHOOSE({1,2}, 'S12 Operations'!$C$2:$C$533&amp;"-"&amp;'S12 Operations'!$E$2:$E$533, 'S12 Operations'!$D$2:$D$5334), 2, 0), "")</f>
        <v/>
      </c>
      <c r="W25" s="211">
        <f t="array" ref="W25">IFERROR(VLOOKUP($A25&amp;"-"&amp;W$21, CHOOSE({1,2}, 'S12 Operations'!$C$2:$C$533&amp;"-"&amp;'S12 Operations'!$E$2:$E$533, 'S12 Operations'!$D$2:$D$5334), 2, 0), "")</f>
        <v>70</v>
      </c>
      <c r="X25" s="211" t="str">
        <f t="array" ref="X25">IFERROR(VLOOKUP($A25&amp;"-"&amp;X$21, CHOOSE({1,2}, 'S12 Operations'!$C$2:$C$533&amp;"-"&amp;'S12 Operations'!$E$2:$E$533, 'S12 Operations'!$D$2:$D$5334), 2, 0), "")</f>
        <v/>
      </c>
      <c r="Y25" s="211" t="str">
        <f t="array" ref="Y25">IFERROR(VLOOKUP($A25&amp;"-"&amp;Y$21, CHOOSE({1,2}, 'S12 Operations'!$C$2:$C$533&amp;"-"&amp;'S12 Operations'!$E$2:$E$533, 'S12 Operations'!$D$2:$D$5334), 2, 0), "")</f>
        <v/>
      </c>
      <c r="Z25" s="211" t="str">
        <f t="array" ref="Z25">IFERROR(VLOOKUP($A25&amp;"-"&amp;Z$21, CHOOSE({1,2}, 'S12 Operations'!$C$2:$C$533&amp;"-"&amp;'S12 Operations'!$E$2:$E$533, 'S12 Operations'!$D$2:$D$5334), 2, 0), "")</f>
        <v/>
      </c>
      <c r="AA25" s="211">
        <f t="array" ref="AA25">IFERROR(VLOOKUP($A25&amp;"-"&amp;AA$21, CHOOSE({1,2}, 'S12 Operations'!$C$2:$C$533&amp;"-"&amp;'S12 Operations'!$E$2:$E$533, 'S12 Operations'!$D$2:$D$5334), 2, 0), "")</f>
        <v>80</v>
      </c>
    </row>
    <row r="26" spans="1:27" ht="17" x14ac:dyDescent="0.2">
      <c r="A26" s="210" t="str">
        <f>'S08 ABC Output'!A7</f>
        <v>I-052</v>
      </c>
      <c r="B26" s="211">
        <f t="array" ref="B26">IFERROR(VLOOKUP($A26&amp;"-"&amp;B$21, CHOOSE({1,2}, 'S12 Operations'!$C$2:$C$533&amp;"-"&amp;'S12 Operations'!$E$2:$E$533, 'S12 Operations'!$D$2:$D$5334), 2, 0), "")</f>
        <v>10</v>
      </c>
      <c r="C26" s="211" t="str">
        <f t="array" ref="C26">IFERROR(VLOOKUP($A26&amp;"-"&amp;C$21, CHOOSE({1,2}, 'S12 Operations'!$C$2:$C$533&amp;"-"&amp;'S12 Operations'!$E$2:$E$533, 'S12 Operations'!$D$2:$D$5334), 2, 0), "")</f>
        <v/>
      </c>
      <c r="D26" s="211" t="str">
        <f t="array" ref="D26">IFERROR(VLOOKUP($A26&amp;"-"&amp;D$21, CHOOSE({1,2}, 'S12 Operations'!$C$2:$C$533&amp;"-"&amp;'S12 Operations'!$E$2:$E$533, 'S12 Operations'!$D$2:$D$5334), 2, 0), "")</f>
        <v/>
      </c>
      <c r="E26" s="211">
        <f t="array" ref="E26">IFERROR(VLOOKUP($A26&amp;"-"&amp;E$21, CHOOSE({1,2}, 'S12 Operations'!$C$2:$C$533&amp;"-"&amp;'S12 Operations'!$E$2:$E$533, 'S12 Operations'!$D$2:$D$5334), 2, 0), "")</f>
        <v>20</v>
      </c>
      <c r="F26" s="211" t="str">
        <f t="array" ref="F26">IFERROR(VLOOKUP($A26&amp;"-"&amp;F$21, CHOOSE({1,2}, 'S12 Operations'!$C$2:$C$533&amp;"-"&amp;'S12 Operations'!$E$2:$E$533, 'S12 Operations'!$D$2:$D$5334), 2, 0), "")</f>
        <v/>
      </c>
      <c r="G26" s="211" t="str">
        <f t="array" ref="G26">IFERROR(VLOOKUP($A26&amp;"-"&amp;G$21, CHOOSE({1,2}, 'S12 Operations'!$C$2:$C$533&amp;"-"&amp;'S12 Operations'!$E$2:$E$533, 'S12 Operations'!$D$2:$D$5334), 2, 0), "")</f>
        <v/>
      </c>
      <c r="H26" s="211">
        <f t="array" ref="H26">IFERROR(VLOOKUP($A26&amp;"-"&amp;H$21, CHOOSE({1,2}, 'S12 Operations'!$C$2:$C$533&amp;"-"&amp;'S12 Operations'!$E$2:$E$533, 'S12 Operations'!$D$2:$D$5334), 2, 0), "")</f>
        <v>30</v>
      </c>
      <c r="I26" s="211" t="str">
        <f t="array" ref="I26">IFERROR(VLOOKUP($A26&amp;"-"&amp;I$21, CHOOSE({1,2}, 'S12 Operations'!$C$2:$C$533&amp;"-"&amp;'S12 Operations'!$E$2:$E$533, 'S12 Operations'!$D$2:$D$5334), 2, 0), "")</f>
        <v/>
      </c>
      <c r="J26" s="211" t="str">
        <f t="array" ref="J26">IFERROR(VLOOKUP($A26&amp;"-"&amp;J$21, CHOOSE({1,2}, 'S12 Operations'!$C$2:$C$533&amp;"-"&amp;'S12 Operations'!$E$2:$E$533, 'S12 Operations'!$D$2:$D$5334), 2, 0), "")</f>
        <v/>
      </c>
      <c r="K26" s="211">
        <f t="array" ref="K26">IFERROR(VLOOKUP($A26&amp;"-"&amp;K$21, CHOOSE({1,2}, 'S12 Operations'!$C$2:$C$533&amp;"-"&amp;'S12 Operations'!$E$2:$E$533, 'S12 Operations'!$D$2:$D$5334), 2, 0), "")</f>
        <v>40</v>
      </c>
      <c r="L26" s="211" t="str">
        <f t="array" ref="L26">IFERROR(VLOOKUP($A26&amp;"-"&amp;L$21, CHOOSE({1,2}, 'S12 Operations'!$C$2:$C$533&amp;"-"&amp;'S12 Operations'!$E$2:$E$533, 'S12 Operations'!$D$2:$D$5334), 2, 0), "")</f>
        <v/>
      </c>
      <c r="M26" s="211">
        <f t="array" ref="M26">IFERROR(VLOOKUP($A26&amp;"-"&amp;M$21, CHOOSE({1,2}, 'S12 Operations'!$C$2:$C$533&amp;"-"&amp;'S12 Operations'!$E$2:$E$533, 'S12 Operations'!$D$2:$D$5334), 2, 0), "")</f>
        <v>50</v>
      </c>
      <c r="N26" s="211" t="str">
        <f t="array" ref="N26">IFERROR(VLOOKUP($A26&amp;"-"&amp;N$21, CHOOSE({1,2}, 'S12 Operations'!$C$2:$C$533&amp;"-"&amp;'S12 Operations'!$E$2:$E$533, 'S12 Operations'!$D$2:$D$5334), 2, 0), "")</f>
        <v/>
      </c>
      <c r="O26" s="211" t="str">
        <f t="array" ref="O26">IFERROR(VLOOKUP($A26&amp;"-"&amp;O$21, CHOOSE({1,2}, 'S12 Operations'!$C$2:$C$533&amp;"-"&amp;'S12 Operations'!$E$2:$E$533, 'S12 Operations'!$D$2:$D$5334), 2, 0), "")</f>
        <v/>
      </c>
      <c r="P26" s="211" t="str">
        <f t="array" ref="P26">IFERROR(VLOOKUP($A26&amp;"-"&amp;P$21, CHOOSE({1,2}, 'S12 Operations'!$C$2:$C$533&amp;"-"&amp;'S12 Operations'!$E$2:$E$533, 'S12 Operations'!$D$2:$D$5334), 2, 0), "")</f>
        <v/>
      </c>
      <c r="Q26" s="211" t="str">
        <f t="array" ref="Q26">IFERROR(VLOOKUP($A26&amp;"-"&amp;Q$21, CHOOSE({1,2}, 'S12 Operations'!$C$2:$C$533&amp;"-"&amp;'S12 Operations'!$E$2:$E$533, 'S12 Operations'!$D$2:$D$5334), 2, 0), "")</f>
        <v/>
      </c>
      <c r="R26" s="211">
        <f t="array" ref="R26">IFERROR(VLOOKUP($A26&amp;"-"&amp;R$21, CHOOSE({1,2}, 'S12 Operations'!$C$2:$C$533&amp;"-"&amp;'S12 Operations'!$E$2:$E$533, 'S12 Operations'!$D$2:$D$5334), 2, 0), "")</f>
        <v>60</v>
      </c>
      <c r="S26" s="211" t="str">
        <f t="array" ref="S26">IFERROR(VLOOKUP($A26&amp;"-"&amp;S$21, CHOOSE({1,2}, 'S12 Operations'!$C$2:$C$533&amp;"-"&amp;'S12 Operations'!$E$2:$E$533, 'S12 Operations'!$D$2:$D$5334), 2, 0), "")</f>
        <v/>
      </c>
      <c r="T26" s="211" t="str">
        <f t="array" ref="T26">IFERROR(VLOOKUP($A26&amp;"-"&amp;T$21, CHOOSE({1,2}, 'S12 Operations'!$C$2:$C$533&amp;"-"&amp;'S12 Operations'!$E$2:$E$533, 'S12 Operations'!$D$2:$D$5334), 2, 0), "")</f>
        <v/>
      </c>
      <c r="U26" s="211" t="str">
        <f t="array" ref="U26">IFERROR(VLOOKUP($A26&amp;"-"&amp;U$21, CHOOSE({1,2}, 'S12 Operations'!$C$2:$C$533&amp;"-"&amp;'S12 Operations'!$E$2:$E$533, 'S12 Operations'!$D$2:$D$5334), 2, 0), "")</f>
        <v/>
      </c>
      <c r="V26" s="211" t="str">
        <f t="array" ref="V26">IFERROR(VLOOKUP($A26&amp;"-"&amp;V$21, CHOOSE({1,2}, 'S12 Operations'!$C$2:$C$533&amp;"-"&amp;'S12 Operations'!$E$2:$E$533, 'S12 Operations'!$D$2:$D$5334), 2, 0), "")</f>
        <v/>
      </c>
      <c r="W26" s="211">
        <f t="array" ref="W26">IFERROR(VLOOKUP($A26&amp;"-"&amp;W$21, CHOOSE({1,2}, 'S12 Operations'!$C$2:$C$533&amp;"-"&amp;'S12 Operations'!$E$2:$E$533, 'S12 Operations'!$D$2:$D$5334), 2, 0), "")</f>
        <v>70</v>
      </c>
      <c r="X26" s="211" t="str">
        <f t="array" ref="X26">IFERROR(VLOOKUP($A26&amp;"-"&amp;X$21, CHOOSE({1,2}, 'S12 Operations'!$C$2:$C$533&amp;"-"&amp;'S12 Operations'!$E$2:$E$533, 'S12 Operations'!$D$2:$D$5334), 2, 0), "")</f>
        <v/>
      </c>
      <c r="Y26" s="211" t="str">
        <f t="array" ref="Y26">IFERROR(VLOOKUP($A26&amp;"-"&amp;Y$21, CHOOSE({1,2}, 'S12 Operations'!$C$2:$C$533&amp;"-"&amp;'S12 Operations'!$E$2:$E$533, 'S12 Operations'!$D$2:$D$5334), 2, 0), "")</f>
        <v/>
      </c>
      <c r="Z26" s="211" t="str">
        <f t="array" ref="Z26">IFERROR(VLOOKUP($A26&amp;"-"&amp;Z$21, CHOOSE({1,2}, 'S12 Operations'!$C$2:$C$533&amp;"-"&amp;'S12 Operations'!$E$2:$E$533, 'S12 Operations'!$D$2:$D$5334), 2, 0), "")</f>
        <v/>
      </c>
      <c r="AA26" s="211">
        <f t="array" ref="AA26">IFERROR(VLOOKUP($A26&amp;"-"&amp;AA$21, CHOOSE({1,2}, 'S12 Operations'!$C$2:$C$533&amp;"-"&amp;'S12 Operations'!$E$2:$E$533, 'S12 Operations'!$D$2:$D$5334), 2, 0), "")</f>
        <v>80</v>
      </c>
    </row>
    <row r="27" spans="1:27" ht="17" x14ac:dyDescent="0.2">
      <c r="A27" s="210" t="str">
        <f>'S08 ABC Output'!A8</f>
        <v>I-068</v>
      </c>
      <c r="B27" s="211">
        <f t="array" ref="B27">IFERROR(VLOOKUP($A27&amp;"-"&amp;B$21, CHOOSE({1,2}, 'S12 Operations'!$C$2:$C$533&amp;"-"&amp;'S12 Operations'!$E$2:$E$533, 'S12 Operations'!$D$2:$D$5334), 2, 0), "")</f>
        <v>10</v>
      </c>
      <c r="C27" s="211">
        <f t="array" ref="C27">IFERROR(VLOOKUP($A27&amp;"-"&amp;C$21, CHOOSE({1,2}, 'S12 Operations'!$C$2:$C$533&amp;"-"&amp;'S12 Operations'!$E$2:$E$533, 'S12 Operations'!$D$2:$D$5334), 2, 0), "")</f>
        <v>20</v>
      </c>
      <c r="D27" s="211" t="str">
        <f t="array" ref="D27">IFERROR(VLOOKUP($A27&amp;"-"&amp;D$21, CHOOSE({1,2}, 'S12 Operations'!$C$2:$C$533&amp;"-"&amp;'S12 Operations'!$E$2:$E$533, 'S12 Operations'!$D$2:$D$5334), 2, 0), "")</f>
        <v/>
      </c>
      <c r="E27" s="211" t="str">
        <f t="array" ref="E27">IFERROR(VLOOKUP($A27&amp;"-"&amp;E$21, CHOOSE({1,2}, 'S12 Operations'!$C$2:$C$533&amp;"-"&amp;'S12 Operations'!$E$2:$E$533, 'S12 Operations'!$D$2:$D$5334), 2, 0), "")</f>
        <v/>
      </c>
      <c r="F27" s="211" t="str">
        <f t="array" ref="F27">IFERROR(VLOOKUP($A27&amp;"-"&amp;F$21, CHOOSE({1,2}, 'S12 Operations'!$C$2:$C$533&amp;"-"&amp;'S12 Operations'!$E$2:$E$533, 'S12 Operations'!$D$2:$D$5334), 2, 0), "")</f>
        <v/>
      </c>
      <c r="G27" s="211" t="str">
        <f t="array" ref="G27">IFERROR(VLOOKUP($A27&amp;"-"&amp;G$21, CHOOSE({1,2}, 'S12 Operations'!$C$2:$C$533&amp;"-"&amp;'S12 Operations'!$E$2:$E$533, 'S12 Operations'!$D$2:$D$5334), 2, 0), "")</f>
        <v/>
      </c>
      <c r="H27" s="211" t="str">
        <f t="array" ref="H27">IFERROR(VLOOKUP($A27&amp;"-"&amp;H$21, CHOOSE({1,2}, 'S12 Operations'!$C$2:$C$533&amp;"-"&amp;'S12 Operations'!$E$2:$E$533, 'S12 Operations'!$D$2:$D$5334), 2, 0), "")</f>
        <v/>
      </c>
      <c r="I27" s="211" t="str">
        <f t="array" ref="I27">IFERROR(VLOOKUP($A27&amp;"-"&amp;I$21, CHOOSE({1,2}, 'S12 Operations'!$C$2:$C$533&amp;"-"&amp;'S12 Operations'!$E$2:$E$533, 'S12 Operations'!$D$2:$D$5334), 2, 0), "")</f>
        <v/>
      </c>
      <c r="J27" s="211">
        <f t="array" ref="J27">IFERROR(VLOOKUP($A27&amp;"-"&amp;J$21, CHOOSE({1,2}, 'S12 Operations'!$C$2:$C$533&amp;"-"&amp;'S12 Operations'!$E$2:$E$533, 'S12 Operations'!$D$2:$D$5334), 2, 0), "")</f>
        <v>30</v>
      </c>
      <c r="K27" s="211" t="str">
        <f t="array" ref="K27">IFERROR(VLOOKUP($A27&amp;"-"&amp;K$21, CHOOSE({1,2}, 'S12 Operations'!$C$2:$C$533&amp;"-"&amp;'S12 Operations'!$E$2:$E$533, 'S12 Operations'!$D$2:$D$5334), 2, 0), "")</f>
        <v/>
      </c>
      <c r="L27" s="211" t="str">
        <f t="array" ref="L27">IFERROR(VLOOKUP($A27&amp;"-"&amp;L$21, CHOOSE({1,2}, 'S12 Operations'!$C$2:$C$533&amp;"-"&amp;'S12 Operations'!$E$2:$E$533, 'S12 Operations'!$D$2:$D$5334), 2, 0), "")</f>
        <v/>
      </c>
      <c r="M27" s="211" t="str">
        <f t="array" ref="M27">IFERROR(VLOOKUP($A27&amp;"-"&amp;M$21, CHOOSE({1,2}, 'S12 Operations'!$C$2:$C$533&amp;"-"&amp;'S12 Operations'!$E$2:$E$533, 'S12 Operations'!$D$2:$D$5334), 2, 0), "")</f>
        <v/>
      </c>
      <c r="N27" s="211" t="str">
        <f t="array" ref="N27">IFERROR(VLOOKUP($A27&amp;"-"&amp;N$21, CHOOSE({1,2}, 'S12 Operations'!$C$2:$C$533&amp;"-"&amp;'S12 Operations'!$E$2:$E$533, 'S12 Operations'!$D$2:$D$5334), 2, 0), "")</f>
        <v/>
      </c>
      <c r="O27" s="211" t="str">
        <f t="array" ref="O27">IFERROR(VLOOKUP($A27&amp;"-"&amp;O$21, CHOOSE({1,2}, 'S12 Operations'!$C$2:$C$533&amp;"-"&amp;'S12 Operations'!$E$2:$E$533, 'S12 Operations'!$D$2:$D$5334), 2, 0), "")</f>
        <v/>
      </c>
      <c r="P27" s="211" t="str">
        <f t="array" ref="P27">IFERROR(VLOOKUP($A27&amp;"-"&amp;P$21, CHOOSE({1,2}, 'S12 Operations'!$C$2:$C$533&amp;"-"&amp;'S12 Operations'!$E$2:$E$533, 'S12 Operations'!$D$2:$D$5334), 2, 0), "")</f>
        <v/>
      </c>
      <c r="Q27" s="211">
        <f t="array" ref="Q27">IFERROR(VLOOKUP($A27&amp;"-"&amp;Q$21, CHOOSE({1,2}, 'S12 Operations'!$C$2:$C$533&amp;"-"&amp;'S12 Operations'!$E$2:$E$533, 'S12 Operations'!$D$2:$D$5334), 2, 0), "")</f>
        <v>40</v>
      </c>
      <c r="R27" s="211" t="str">
        <f t="array" ref="R27">IFERROR(VLOOKUP($A27&amp;"-"&amp;R$21, CHOOSE({1,2}, 'S12 Operations'!$C$2:$C$533&amp;"-"&amp;'S12 Operations'!$E$2:$E$533, 'S12 Operations'!$D$2:$D$5334), 2, 0), "")</f>
        <v/>
      </c>
      <c r="S27" s="211" t="str">
        <f t="array" ref="S27">IFERROR(VLOOKUP($A27&amp;"-"&amp;S$21, CHOOSE({1,2}, 'S12 Operations'!$C$2:$C$533&amp;"-"&amp;'S12 Operations'!$E$2:$E$533, 'S12 Operations'!$D$2:$D$5334), 2, 0), "")</f>
        <v/>
      </c>
      <c r="T27" s="211" t="str">
        <f t="array" ref="T27">IFERROR(VLOOKUP($A27&amp;"-"&amp;T$21, CHOOSE({1,2}, 'S12 Operations'!$C$2:$C$533&amp;"-"&amp;'S12 Operations'!$E$2:$E$533, 'S12 Operations'!$D$2:$D$5334), 2, 0), "")</f>
        <v/>
      </c>
      <c r="U27" s="211" t="str">
        <f t="array" ref="U27">IFERROR(VLOOKUP($A27&amp;"-"&amp;U$21, CHOOSE({1,2}, 'S12 Operations'!$C$2:$C$533&amp;"-"&amp;'S12 Operations'!$E$2:$E$533, 'S12 Operations'!$D$2:$D$5334), 2, 0), "")</f>
        <v/>
      </c>
      <c r="V27" s="211" t="str">
        <f t="array" ref="V27">IFERROR(VLOOKUP($A27&amp;"-"&amp;V$21, CHOOSE({1,2}, 'S12 Operations'!$C$2:$C$533&amp;"-"&amp;'S12 Operations'!$E$2:$E$533, 'S12 Operations'!$D$2:$D$5334), 2, 0), "")</f>
        <v/>
      </c>
      <c r="W27" s="211" t="str">
        <f t="array" ref="W27">IFERROR(VLOOKUP($A27&amp;"-"&amp;W$21, CHOOSE({1,2}, 'S12 Operations'!$C$2:$C$533&amp;"-"&amp;'S12 Operations'!$E$2:$E$533, 'S12 Operations'!$D$2:$D$5334), 2, 0), "")</f>
        <v/>
      </c>
      <c r="X27" s="211" t="str">
        <f t="array" ref="X27">IFERROR(VLOOKUP($A27&amp;"-"&amp;X$21, CHOOSE({1,2}, 'S12 Operations'!$C$2:$C$533&amp;"-"&amp;'S12 Operations'!$E$2:$E$533, 'S12 Operations'!$D$2:$D$5334), 2, 0), "")</f>
        <v/>
      </c>
      <c r="Y27" s="211">
        <f t="array" ref="Y27">IFERROR(VLOOKUP($A27&amp;"-"&amp;Y$21, CHOOSE({1,2}, 'S12 Operations'!$C$2:$C$533&amp;"-"&amp;'S12 Operations'!$E$2:$E$533, 'S12 Operations'!$D$2:$D$5334), 2, 0), "")</f>
        <v>50</v>
      </c>
      <c r="Z27" s="211" t="str">
        <f t="array" ref="Z27">IFERROR(VLOOKUP($A27&amp;"-"&amp;Z$21, CHOOSE({1,2}, 'S12 Operations'!$C$2:$C$533&amp;"-"&amp;'S12 Operations'!$E$2:$E$533, 'S12 Operations'!$D$2:$D$5334), 2, 0), "")</f>
        <v/>
      </c>
      <c r="AA27" s="211">
        <f t="array" ref="AA27">IFERROR(VLOOKUP($A27&amp;"-"&amp;AA$21, CHOOSE({1,2}, 'S12 Operations'!$C$2:$C$533&amp;"-"&amp;'S12 Operations'!$E$2:$E$533, 'S12 Operations'!$D$2:$D$5334), 2, 0), "")</f>
        <v>60</v>
      </c>
    </row>
    <row r="28" spans="1:27" ht="17" x14ac:dyDescent="0.2">
      <c r="A28" s="210" t="str">
        <f>'S08 ABC Output'!A9</f>
        <v>I-053</v>
      </c>
      <c r="B28" s="211">
        <f t="array" ref="B28">IFERROR(VLOOKUP($A28&amp;"-"&amp;B$21, CHOOSE({1,2}, 'S12 Operations'!$C$2:$C$533&amp;"-"&amp;'S12 Operations'!$E$2:$E$533, 'S12 Operations'!$D$2:$D$5334), 2, 0), "")</f>
        <v>10</v>
      </c>
      <c r="C28" s="211" t="str">
        <f t="array" ref="C28">IFERROR(VLOOKUP($A28&amp;"-"&amp;C$21, CHOOSE({1,2}, 'S12 Operations'!$C$2:$C$533&amp;"-"&amp;'S12 Operations'!$E$2:$E$533, 'S12 Operations'!$D$2:$D$5334), 2, 0), "")</f>
        <v/>
      </c>
      <c r="D28" s="211" t="str">
        <f t="array" ref="D28">IFERROR(VLOOKUP($A28&amp;"-"&amp;D$21, CHOOSE({1,2}, 'S12 Operations'!$C$2:$C$533&amp;"-"&amp;'S12 Operations'!$E$2:$E$533, 'S12 Operations'!$D$2:$D$5334), 2, 0), "")</f>
        <v/>
      </c>
      <c r="E28" s="211">
        <f t="array" ref="E28">IFERROR(VLOOKUP($A28&amp;"-"&amp;E$21, CHOOSE({1,2}, 'S12 Operations'!$C$2:$C$533&amp;"-"&amp;'S12 Operations'!$E$2:$E$533, 'S12 Operations'!$D$2:$D$5334), 2, 0), "")</f>
        <v>20</v>
      </c>
      <c r="F28" s="211" t="str">
        <f t="array" ref="F28">IFERROR(VLOOKUP($A28&amp;"-"&amp;F$21, CHOOSE({1,2}, 'S12 Operations'!$C$2:$C$533&amp;"-"&amp;'S12 Operations'!$E$2:$E$533, 'S12 Operations'!$D$2:$D$5334), 2, 0), "")</f>
        <v/>
      </c>
      <c r="G28" s="211">
        <f t="array" ref="G28">IFERROR(VLOOKUP($A28&amp;"-"&amp;G$21, CHOOSE({1,2}, 'S12 Operations'!$C$2:$C$533&amp;"-"&amp;'S12 Operations'!$E$2:$E$533, 'S12 Operations'!$D$2:$D$5334), 2, 0), "")</f>
        <v>30</v>
      </c>
      <c r="H28" s="211" t="str">
        <f t="array" ref="H28">IFERROR(VLOOKUP($A28&amp;"-"&amp;H$21, CHOOSE({1,2}, 'S12 Operations'!$C$2:$C$533&amp;"-"&amp;'S12 Operations'!$E$2:$E$533, 'S12 Operations'!$D$2:$D$5334), 2, 0), "")</f>
        <v/>
      </c>
      <c r="I28" s="211">
        <f t="array" ref="I28">IFERROR(VLOOKUP($A28&amp;"-"&amp;I$21, CHOOSE({1,2}, 'S12 Operations'!$C$2:$C$533&amp;"-"&amp;'S12 Operations'!$E$2:$E$533, 'S12 Operations'!$D$2:$D$5334), 2, 0), "")</f>
        <v>40</v>
      </c>
      <c r="J28" s="211" t="str">
        <f t="array" ref="J28">IFERROR(VLOOKUP($A28&amp;"-"&amp;J$21, CHOOSE({1,2}, 'S12 Operations'!$C$2:$C$533&amp;"-"&amp;'S12 Operations'!$E$2:$E$533, 'S12 Operations'!$D$2:$D$5334), 2, 0), "")</f>
        <v/>
      </c>
      <c r="K28" s="211" t="str">
        <f t="array" ref="K28">IFERROR(VLOOKUP($A28&amp;"-"&amp;K$21, CHOOSE({1,2}, 'S12 Operations'!$C$2:$C$533&amp;"-"&amp;'S12 Operations'!$E$2:$E$533, 'S12 Operations'!$D$2:$D$5334), 2, 0), "")</f>
        <v/>
      </c>
      <c r="L28" s="211" t="str">
        <f t="array" ref="L28">IFERROR(VLOOKUP($A28&amp;"-"&amp;L$21, CHOOSE({1,2}, 'S12 Operations'!$C$2:$C$533&amp;"-"&amp;'S12 Operations'!$E$2:$E$533, 'S12 Operations'!$D$2:$D$5334), 2, 0), "")</f>
        <v/>
      </c>
      <c r="M28" s="211" t="str">
        <f t="array" ref="M28">IFERROR(VLOOKUP($A28&amp;"-"&amp;M$21, CHOOSE({1,2}, 'S12 Operations'!$C$2:$C$533&amp;"-"&amp;'S12 Operations'!$E$2:$E$533, 'S12 Operations'!$D$2:$D$5334), 2, 0), "")</f>
        <v/>
      </c>
      <c r="N28" s="211" t="str">
        <f t="array" ref="N28">IFERROR(VLOOKUP($A28&amp;"-"&amp;N$21, CHOOSE({1,2}, 'S12 Operations'!$C$2:$C$533&amp;"-"&amp;'S12 Operations'!$E$2:$E$533, 'S12 Operations'!$D$2:$D$5334), 2, 0), "")</f>
        <v/>
      </c>
      <c r="O28" s="211">
        <f t="array" ref="O28">IFERROR(VLOOKUP($A28&amp;"-"&amp;O$21, CHOOSE({1,2}, 'S12 Operations'!$C$2:$C$533&amp;"-"&amp;'S12 Operations'!$E$2:$E$533, 'S12 Operations'!$D$2:$D$5334), 2, 0), "")</f>
        <v>50</v>
      </c>
      <c r="P28" s="211" t="str">
        <f t="array" ref="P28">IFERROR(VLOOKUP($A28&amp;"-"&amp;P$21, CHOOSE({1,2}, 'S12 Operations'!$C$2:$C$533&amp;"-"&amp;'S12 Operations'!$E$2:$E$533, 'S12 Operations'!$D$2:$D$5334), 2, 0), "")</f>
        <v/>
      </c>
      <c r="Q28" s="211" t="str">
        <f t="array" ref="Q28">IFERROR(VLOOKUP($A28&amp;"-"&amp;Q$21, CHOOSE({1,2}, 'S12 Operations'!$C$2:$C$533&amp;"-"&amp;'S12 Operations'!$E$2:$E$533, 'S12 Operations'!$D$2:$D$5334), 2, 0), "")</f>
        <v/>
      </c>
      <c r="R28" s="211" t="str">
        <f t="array" ref="R28">IFERROR(VLOOKUP($A28&amp;"-"&amp;R$21, CHOOSE({1,2}, 'S12 Operations'!$C$2:$C$533&amp;"-"&amp;'S12 Operations'!$E$2:$E$533, 'S12 Operations'!$D$2:$D$5334), 2, 0), "")</f>
        <v/>
      </c>
      <c r="S28" s="211" t="str">
        <f t="array" ref="S28">IFERROR(VLOOKUP($A28&amp;"-"&amp;S$21, CHOOSE({1,2}, 'S12 Operations'!$C$2:$C$533&amp;"-"&amp;'S12 Operations'!$E$2:$E$533, 'S12 Operations'!$D$2:$D$5334), 2, 0), "")</f>
        <v/>
      </c>
      <c r="T28" s="211">
        <f t="array" ref="T28">IFERROR(VLOOKUP($A28&amp;"-"&amp;T$21, CHOOSE({1,2}, 'S12 Operations'!$C$2:$C$533&amp;"-"&amp;'S12 Operations'!$E$2:$E$533, 'S12 Operations'!$D$2:$D$5334), 2, 0), "")</f>
        <v>60</v>
      </c>
      <c r="U28" s="211" t="str">
        <f t="array" ref="U28">IFERROR(VLOOKUP($A28&amp;"-"&amp;U$21, CHOOSE({1,2}, 'S12 Operations'!$C$2:$C$533&amp;"-"&amp;'S12 Operations'!$E$2:$E$533, 'S12 Operations'!$D$2:$D$5334), 2, 0), "")</f>
        <v/>
      </c>
      <c r="V28" s="211" t="str">
        <f t="array" ref="V28">IFERROR(VLOOKUP($A28&amp;"-"&amp;V$21, CHOOSE({1,2}, 'S12 Operations'!$C$2:$C$533&amp;"-"&amp;'S12 Operations'!$E$2:$E$533, 'S12 Operations'!$D$2:$D$5334), 2, 0), "")</f>
        <v/>
      </c>
      <c r="W28" s="211">
        <f t="array" ref="W28">IFERROR(VLOOKUP($A28&amp;"-"&amp;W$21, CHOOSE({1,2}, 'S12 Operations'!$C$2:$C$533&amp;"-"&amp;'S12 Operations'!$E$2:$E$533, 'S12 Operations'!$D$2:$D$5334), 2, 0), "")</f>
        <v>70</v>
      </c>
      <c r="X28" s="211" t="str">
        <f t="array" ref="X28">IFERROR(VLOOKUP($A28&amp;"-"&amp;X$21, CHOOSE({1,2}, 'S12 Operations'!$C$2:$C$533&amp;"-"&amp;'S12 Operations'!$E$2:$E$533, 'S12 Operations'!$D$2:$D$5334), 2, 0), "")</f>
        <v/>
      </c>
      <c r="Y28" s="211" t="str">
        <f t="array" ref="Y28">IFERROR(VLOOKUP($A28&amp;"-"&amp;Y$21, CHOOSE({1,2}, 'S12 Operations'!$C$2:$C$533&amp;"-"&amp;'S12 Operations'!$E$2:$E$533, 'S12 Operations'!$D$2:$D$5334), 2, 0), "")</f>
        <v/>
      </c>
      <c r="Z28" s="211" t="str">
        <f t="array" ref="Z28">IFERROR(VLOOKUP($A28&amp;"-"&amp;Z$21, CHOOSE({1,2}, 'S12 Operations'!$C$2:$C$533&amp;"-"&amp;'S12 Operations'!$E$2:$E$533, 'S12 Operations'!$D$2:$D$5334), 2, 0), "")</f>
        <v/>
      </c>
      <c r="AA28" s="211">
        <f t="array" ref="AA28">IFERROR(VLOOKUP($A28&amp;"-"&amp;AA$21, CHOOSE({1,2}, 'S12 Operations'!$C$2:$C$533&amp;"-"&amp;'S12 Operations'!$E$2:$E$533, 'S12 Operations'!$D$2:$D$5334), 2, 0), "")</f>
        <v>80</v>
      </c>
    </row>
    <row r="29" spans="1:27" ht="17" x14ac:dyDescent="0.2">
      <c r="A29" s="210" t="str">
        <f>'S08 ABC Output'!A10</f>
        <v>I-012</v>
      </c>
      <c r="B29" s="211">
        <f t="array" ref="B29">IFERROR(VLOOKUP($A29&amp;"-"&amp;B$21, CHOOSE({1,2}, 'S12 Operations'!$C$2:$C$533&amp;"-"&amp;'S12 Operations'!$E$2:$E$533, 'S12 Operations'!$D$2:$D$5334), 2, 0), "")</f>
        <v>10</v>
      </c>
      <c r="C29" s="211" t="str">
        <f t="array" ref="C29">IFERROR(VLOOKUP($A29&amp;"-"&amp;C$21, CHOOSE({1,2}, 'S12 Operations'!$C$2:$C$533&amp;"-"&amp;'S12 Operations'!$E$2:$E$533, 'S12 Operations'!$D$2:$D$5334), 2, 0), "")</f>
        <v/>
      </c>
      <c r="D29" s="211" t="str">
        <f t="array" ref="D29">IFERROR(VLOOKUP($A29&amp;"-"&amp;D$21, CHOOSE({1,2}, 'S12 Operations'!$C$2:$C$533&amp;"-"&amp;'S12 Operations'!$E$2:$E$533, 'S12 Operations'!$D$2:$D$5334), 2, 0), "")</f>
        <v/>
      </c>
      <c r="E29" s="211">
        <f t="array" ref="E29">IFERROR(VLOOKUP($A29&amp;"-"&amp;E$21, CHOOSE({1,2}, 'S12 Operations'!$C$2:$C$533&amp;"-"&amp;'S12 Operations'!$E$2:$E$533, 'S12 Operations'!$D$2:$D$5334), 2, 0), "")</f>
        <v>20</v>
      </c>
      <c r="F29" s="211" t="str">
        <f t="array" ref="F29">IFERROR(VLOOKUP($A29&amp;"-"&amp;F$21, CHOOSE({1,2}, 'S12 Operations'!$C$2:$C$533&amp;"-"&amp;'S12 Operations'!$E$2:$E$533, 'S12 Operations'!$D$2:$D$5334), 2, 0), "")</f>
        <v/>
      </c>
      <c r="G29" s="211" t="str">
        <f t="array" ref="G29">IFERROR(VLOOKUP($A29&amp;"-"&amp;G$21, CHOOSE({1,2}, 'S12 Operations'!$C$2:$C$533&amp;"-"&amp;'S12 Operations'!$E$2:$E$533, 'S12 Operations'!$D$2:$D$5334), 2, 0), "")</f>
        <v/>
      </c>
      <c r="H29" s="211">
        <f t="array" ref="H29">IFERROR(VLOOKUP($A29&amp;"-"&amp;H$21, CHOOSE({1,2}, 'S12 Operations'!$C$2:$C$533&amp;"-"&amp;'S12 Operations'!$E$2:$E$533, 'S12 Operations'!$D$2:$D$5334), 2, 0), "")</f>
        <v>30</v>
      </c>
      <c r="I29" s="211" t="str">
        <f t="array" ref="I29">IFERROR(VLOOKUP($A29&amp;"-"&amp;I$21, CHOOSE({1,2}, 'S12 Operations'!$C$2:$C$533&amp;"-"&amp;'S12 Operations'!$E$2:$E$533, 'S12 Operations'!$D$2:$D$5334), 2, 0), "")</f>
        <v/>
      </c>
      <c r="J29" s="211" t="str">
        <f t="array" ref="J29">IFERROR(VLOOKUP($A29&amp;"-"&amp;J$21, CHOOSE({1,2}, 'S12 Operations'!$C$2:$C$533&amp;"-"&amp;'S12 Operations'!$E$2:$E$533, 'S12 Operations'!$D$2:$D$5334), 2, 0), "")</f>
        <v/>
      </c>
      <c r="K29" s="211">
        <f t="array" ref="K29">IFERROR(VLOOKUP($A29&amp;"-"&amp;K$21, CHOOSE({1,2}, 'S12 Operations'!$C$2:$C$533&amp;"-"&amp;'S12 Operations'!$E$2:$E$533, 'S12 Operations'!$D$2:$D$5334), 2, 0), "")</f>
        <v>40</v>
      </c>
      <c r="L29" s="211" t="str">
        <f t="array" ref="L29">IFERROR(VLOOKUP($A29&amp;"-"&amp;L$21, CHOOSE({1,2}, 'S12 Operations'!$C$2:$C$533&amp;"-"&amp;'S12 Operations'!$E$2:$E$533, 'S12 Operations'!$D$2:$D$5334), 2, 0), "")</f>
        <v/>
      </c>
      <c r="M29" s="211">
        <f t="array" ref="M29">IFERROR(VLOOKUP($A29&amp;"-"&amp;M$21, CHOOSE({1,2}, 'S12 Operations'!$C$2:$C$533&amp;"-"&amp;'S12 Operations'!$E$2:$E$533, 'S12 Operations'!$D$2:$D$5334), 2, 0), "")</f>
        <v>50</v>
      </c>
      <c r="N29" s="211" t="str">
        <f t="array" ref="N29">IFERROR(VLOOKUP($A29&amp;"-"&amp;N$21, CHOOSE({1,2}, 'S12 Operations'!$C$2:$C$533&amp;"-"&amp;'S12 Operations'!$E$2:$E$533, 'S12 Operations'!$D$2:$D$5334), 2, 0), "")</f>
        <v/>
      </c>
      <c r="O29" s="211" t="str">
        <f t="array" ref="O29">IFERROR(VLOOKUP($A29&amp;"-"&amp;O$21, CHOOSE({1,2}, 'S12 Operations'!$C$2:$C$533&amp;"-"&amp;'S12 Operations'!$E$2:$E$533, 'S12 Operations'!$D$2:$D$5334), 2, 0), "")</f>
        <v/>
      </c>
      <c r="P29" s="211" t="str">
        <f t="array" ref="P29">IFERROR(VLOOKUP($A29&amp;"-"&amp;P$21, CHOOSE({1,2}, 'S12 Operations'!$C$2:$C$533&amp;"-"&amp;'S12 Operations'!$E$2:$E$533, 'S12 Operations'!$D$2:$D$5334), 2, 0), "")</f>
        <v/>
      </c>
      <c r="Q29" s="211" t="str">
        <f t="array" ref="Q29">IFERROR(VLOOKUP($A29&amp;"-"&amp;Q$21, CHOOSE({1,2}, 'S12 Operations'!$C$2:$C$533&amp;"-"&amp;'S12 Operations'!$E$2:$E$533, 'S12 Operations'!$D$2:$D$5334), 2, 0), "")</f>
        <v/>
      </c>
      <c r="R29" s="211">
        <f t="array" ref="R29">IFERROR(VLOOKUP($A29&amp;"-"&amp;R$21, CHOOSE({1,2}, 'S12 Operations'!$C$2:$C$533&amp;"-"&amp;'S12 Operations'!$E$2:$E$533, 'S12 Operations'!$D$2:$D$5334), 2, 0), "")</f>
        <v>60</v>
      </c>
      <c r="S29" s="211" t="str">
        <f t="array" ref="S29">IFERROR(VLOOKUP($A29&amp;"-"&amp;S$21, CHOOSE({1,2}, 'S12 Operations'!$C$2:$C$533&amp;"-"&amp;'S12 Operations'!$E$2:$E$533, 'S12 Operations'!$D$2:$D$5334), 2, 0), "")</f>
        <v/>
      </c>
      <c r="T29" s="211" t="str">
        <f t="array" ref="T29">IFERROR(VLOOKUP($A29&amp;"-"&amp;T$21, CHOOSE({1,2}, 'S12 Operations'!$C$2:$C$533&amp;"-"&amp;'S12 Operations'!$E$2:$E$533, 'S12 Operations'!$D$2:$D$5334), 2, 0), "")</f>
        <v/>
      </c>
      <c r="U29" s="211" t="str">
        <f t="array" ref="U29">IFERROR(VLOOKUP($A29&amp;"-"&amp;U$21, CHOOSE({1,2}, 'S12 Operations'!$C$2:$C$533&amp;"-"&amp;'S12 Operations'!$E$2:$E$533, 'S12 Operations'!$D$2:$D$5334), 2, 0), "")</f>
        <v/>
      </c>
      <c r="V29" s="211" t="str">
        <f t="array" ref="V29">IFERROR(VLOOKUP($A29&amp;"-"&amp;V$21, CHOOSE({1,2}, 'S12 Operations'!$C$2:$C$533&amp;"-"&amp;'S12 Operations'!$E$2:$E$533, 'S12 Operations'!$D$2:$D$5334), 2, 0), "")</f>
        <v/>
      </c>
      <c r="W29" s="211">
        <f t="array" ref="W29">IFERROR(VLOOKUP($A29&amp;"-"&amp;W$21, CHOOSE({1,2}, 'S12 Operations'!$C$2:$C$533&amp;"-"&amp;'S12 Operations'!$E$2:$E$533, 'S12 Operations'!$D$2:$D$5334), 2, 0), "")</f>
        <v>70</v>
      </c>
      <c r="X29" s="211" t="str">
        <f t="array" ref="X29">IFERROR(VLOOKUP($A29&amp;"-"&amp;X$21, CHOOSE({1,2}, 'S12 Operations'!$C$2:$C$533&amp;"-"&amp;'S12 Operations'!$E$2:$E$533, 'S12 Operations'!$D$2:$D$5334), 2, 0), "")</f>
        <v/>
      </c>
      <c r="Y29" s="211" t="str">
        <f t="array" ref="Y29">IFERROR(VLOOKUP($A29&amp;"-"&amp;Y$21, CHOOSE({1,2}, 'S12 Operations'!$C$2:$C$533&amp;"-"&amp;'S12 Operations'!$E$2:$E$533, 'S12 Operations'!$D$2:$D$5334), 2, 0), "")</f>
        <v/>
      </c>
      <c r="Z29" s="211" t="str">
        <f t="array" ref="Z29">IFERROR(VLOOKUP($A29&amp;"-"&amp;Z$21, CHOOSE({1,2}, 'S12 Operations'!$C$2:$C$533&amp;"-"&amp;'S12 Operations'!$E$2:$E$533, 'S12 Operations'!$D$2:$D$5334), 2, 0), "")</f>
        <v/>
      </c>
      <c r="AA29" s="211">
        <f t="array" ref="AA29">IFERROR(VLOOKUP($A29&amp;"-"&amp;AA$21, CHOOSE({1,2}, 'S12 Operations'!$C$2:$C$533&amp;"-"&amp;'S12 Operations'!$E$2:$E$533, 'S12 Operations'!$D$2:$D$5334), 2, 0), "")</f>
        <v>80</v>
      </c>
    </row>
    <row r="30" spans="1:27" ht="17" x14ac:dyDescent="0.2">
      <c r="A30" s="210" t="str">
        <f>'S08 ABC Output'!A11</f>
        <v>I-066</v>
      </c>
      <c r="B30" s="211">
        <f t="array" ref="B30">IFERROR(VLOOKUP($A30&amp;"-"&amp;B$21, CHOOSE({1,2}, 'S12 Operations'!$C$2:$C$533&amp;"-"&amp;'S12 Operations'!$E$2:$E$533, 'S12 Operations'!$D$2:$D$5334), 2, 0), "")</f>
        <v>10</v>
      </c>
      <c r="C30" s="211">
        <f t="array" ref="C30">IFERROR(VLOOKUP($A30&amp;"-"&amp;C$21, CHOOSE({1,2}, 'S12 Operations'!$C$2:$C$533&amp;"-"&amp;'S12 Operations'!$E$2:$E$533, 'S12 Operations'!$D$2:$D$5334), 2, 0), "")</f>
        <v>20</v>
      </c>
      <c r="D30" s="211" t="str">
        <f t="array" ref="D30">IFERROR(VLOOKUP($A30&amp;"-"&amp;D$21, CHOOSE({1,2}, 'S12 Operations'!$C$2:$C$533&amp;"-"&amp;'S12 Operations'!$E$2:$E$533, 'S12 Operations'!$D$2:$D$5334), 2, 0), "")</f>
        <v/>
      </c>
      <c r="E30" s="211" t="str">
        <f t="array" ref="E30">IFERROR(VLOOKUP($A30&amp;"-"&amp;E$21, CHOOSE({1,2}, 'S12 Operations'!$C$2:$C$533&amp;"-"&amp;'S12 Operations'!$E$2:$E$533, 'S12 Operations'!$D$2:$D$5334), 2, 0), "")</f>
        <v/>
      </c>
      <c r="F30" s="211" t="str">
        <f t="array" ref="F30">IFERROR(VLOOKUP($A30&amp;"-"&amp;F$21, CHOOSE({1,2}, 'S12 Operations'!$C$2:$C$533&amp;"-"&amp;'S12 Operations'!$E$2:$E$533, 'S12 Operations'!$D$2:$D$5334), 2, 0), "")</f>
        <v/>
      </c>
      <c r="G30" s="211" t="str">
        <f t="array" ref="G30">IFERROR(VLOOKUP($A30&amp;"-"&amp;G$21, CHOOSE({1,2}, 'S12 Operations'!$C$2:$C$533&amp;"-"&amp;'S12 Operations'!$E$2:$E$533, 'S12 Operations'!$D$2:$D$5334), 2, 0), "")</f>
        <v/>
      </c>
      <c r="H30" s="211" t="str">
        <f t="array" ref="H30">IFERROR(VLOOKUP($A30&amp;"-"&amp;H$21, CHOOSE({1,2}, 'S12 Operations'!$C$2:$C$533&amp;"-"&amp;'S12 Operations'!$E$2:$E$533, 'S12 Operations'!$D$2:$D$5334), 2, 0), "")</f>
        <v/>
      </c>
      <c r="I30" s="211" t="str">
        <f t="array" ref="I30">IFERROR(VLOOKUP($A30&amp;"-"&amp;I$21, CHOOSE({1,2}, 'S12 Operations'!$C$2:$C$533&amp;"-"&amp;'S12 Operations'!$E$2:$E$533, 'S12 Operations'!$D$2:$D$5334), 2, 0), "")</f>
        <v/>
      </c>
      <c r="J30" s="211">
        <f t="array" ref="J30">IFERROR(VLOOKUP($A30&amp;"-"&amp;J$21, CHOOSE({1,2}, 'S12 Operations'!$C$2:$C$533&amp;"-"&amp;'S12 Operations'!$E$2:$E$533, 'S12 Operations'!$D$2:$D$5334), 2, 0), "")</f>
        <v>30</v>
      </c>
      <c r="K30" s="211" t="str">
        <f t="array" ref="K30">IFERROR(VLOOKUP($A30&amp;"-"&amp;K$21, CHOOSE({1,2}, 'S12 Operations'!$C$2:$C$533&amp;"-"&amp;'S12 Operations'!$E$2:$E$533, 'S12 Operations'!$D$2:$D$5334), 2, 0), "")</f>
        <v/>
      </c>
      <c r="L30" s="211" t="str">
        <f t="array" ref="L30">IFERROR(VLOOKUP($A30&amp;"-"&amp;L$21, CHOOSE({1,2}, 'S12 Operations'!$C$2:$C$533&amp;"-"&amp;'S12 Operations'!$E$2:$E$533, 'S12 Operations'!$D$2:$D$5334), 2, 0), "")</f>
        <v/>
      </c>
      <c r="M30" s="211" t="str">
        <f t="array" ref="M30">IFERROR(VLOOKUP($A30&amp;"-"&amp;M$21, CHOOSE({1,2}, 'S12 Operations'!$C$2:$C$533&amp;"-"&amp;'S12 Operations'!$E$2:$E$533, 'S12 Operations'!$D$2:$D$5334), 2, 0), "")</f>
        <v/>
      </c>
      <c r="N30" s="211" t="str">
        <f t="array" ref="N30">IFERROR(VLOOKUP($A30&amp;"-"&amp;N$21, CHOOSE({1,2}, 'S12 Operations'!$C$2:$C$533&amp;"-"&amp;'S12 Operations'!$E$2:$E$533, 'S12 Operations'!$D$2:$D$5334), 2, 0), "")</f>
        <v/>
      </c>
      <c r="O30" s="211" t="str">
        <f t="array" ref="O30">IFERROR(VLOOKUP($A30&amp;"-"&amp;O$21, CHOOSE({1,2}, 'S12 Operations'!$C$2:$C$533&amp;"-"&amp;'S12 Operations'!$E$2:$E$533, 'S12 Operations'!$D$2:$D$5334), 2, 0), "")</f>
        <v/>
      </c>
      <c r="P30" s="211" t="str">
        <f t="array" ref="P30">IFERROR(VLOOKUP($A30&amp;"-"&amp;P$21, CHOOSE({1,2}, 'S12 Operations'!$C$2:$C$533&amp;"-"&amp;'S12 Operations'!$E$2:$E$533, 'S12 Operations'!$D$2:$D$5334), 2, 0), "")</f>
        <v/>
      </c>
      <c r="Q30" s="211">
        <f t="array" ref="Q30">IFERROR(VLOOKUP($A30&amp;"-"&amp;Q$21, CHOOSE({1,2}, 'S12 Operations'!$C$2:$C$533&amp;"-"&amp;'S12 Operations'!$E$2:$E$533, 'S12 Operations'!$D$2:$D$5334), 2, 0), "")</f>
        <v>40</v>
      </c>
      <c r="R30" s="211" t="str">
        <f t="array" ref="R30">IFERROR(VLOOKUP($A30&amp;"-"&amp;R$21, CHOOSE({1,2}, 'S12 Operations'!$C$2:$C$533&amp;"-"&amp;'S12 Operations'!$E$2:$E$533, 'S12 Operations'!$D$2:$D$5334), 2, 0), "")</f>
        <v/>
      </c>
      <c r="S30" s="211" t="str">
        <f t="array" ref="S30">IFERROR(VLOOKUP($A30&amp;"-"&amp;S$21, CHOOSE({1,2}, 'S12 Operations'!$C$2:$C$533&amp;"-"&amp;'S12 Operations'!$E$2:$E$533, 'S12 Operations'!$D$2:$D$5334), 2, 0), "")</f>
        <v/>
      </c>
      <c r="T30" s="211" t="str">
        <f t="array" ref="T30">IFERROR(VLOOKUP($A30&amp;"-"&amp;T$21, CHOOSE({1,2}, 'S12 Operations'!$C$2:$C$533&amp;"-"&amp;'S12 Operations'!$E$2:$E$533, 'S12 Operations'!$D$2:$D$5334), 2, 0), "")</f>
        <v/>
      </c>
      <c r="U30" s="211" t="str">
        <f t="array" ref="U30">IFERROR(VLOOKUP($A30&amp;"-"&amp;U$21, CHOOSE({1,2}, 'S12 Operations'!$C$2:$C$533&amp;"-"&amp;'S12 Operations'!$E$2:$E$533, 'S12 Operations'!$D$2:$D$5334), 2, 0), "")</f>
        <v/>
      </c>
      <c r="V30" s="211" t="str">
        <f t="array" ref="V30">IFERROR(VLOOKUP($A30&amp;"-"&amp;V$21, CHOOSE({1,2}, 'S12 Operations'!$C$2:$C$533&amp;"-"&amp;'S12 Operations'!$E$2:$E$533, 'S12 Operations'!$D$2:$D$5334), 2, 0), "")</f>
        <v/>
      </c>
      <c r="W30" s="211" t="str">
        <f t="array" ref="W30">IFERROR(VLOOKUP($A30&amp;"-"&amp;W$21, CHOOSE({1,2}, 'S12 Operations'!$C$2:$C$533&amp;"-"&amp;'S12 Operations'!$E$2:$E$533, 'S12 Operations'!$D$2:$D$5334), 2, 0), "")</f>
        <v/>
      </c>
      <c r="X30" s="211" t="str">
        <f t="array" ref="X30">IFERROR(VLOOKUP($A30&amp;"-"&amp;X$21, CHOOSE({1,2}, 'S12 Operations'!$C$2:$C$533&amp;"-"&amp;'S12 Operations'!$E$2:$E$533, 'S12 Operations'!$D$2:$D$5334), 2, 0), "")</f>
        <v/>
      </c>
      <c r="Y30" s="211">
        <f t="array" ref="Y30">IFERROR(VLOOKUP($A30&amp;"-"&amp;Y$21, CHOOSE({1,2}, 'S12 Operations'!$C$2:$C$533&amp;"-"&amp;'S12 Operations'!$E$2:$E$533, 'S12 Operations'!$D$2:$D$5334), 2, 0), "")</f>
        <v>50</v>
      </c>
      <c r="Z30" s="211" t="str">
        <f t="array" ref="Z30">IFERROR(VLOOKUP($A30&amp;"-"&amp;Z$21, CHOOSE({1,2}, 'S12 Operations'!$C$2:$C$533&amp;"-"&amp;'S12 Operations'!$E$2:$E$533, 'S12 Operations'!$D$2:$D$5334), 2, 0), "")</f>
        <v/>
      </c>
      <c r="AA30" s="211">
        <f t="array" ref="AA30">IFERROR(VLOOKUP($A30&amp;"-"&amp;AA$21, CHOOSE({1,2}, 'S12 Operations'!$C$2:$C$533&amp;"-"&amp;'S12 Operations'!$E$2:$E$533, 'S12 Operations'!$D$2:$D$5334), 2, 0), "")</f>
        <v>60</v>
      </c>
    </row>
    <row r="31" spans="1:27" ht="17" x14ac:dyDescent="0.2">
      <c r="A31" s="210" t="str">
        <f>'S08 ABC Output'!A12</f>
        <v>I-069</v>
      </c>
      <c r="B31" s="211">
        <f t="array" ref="B31">IFERROR(VLOOKUP($A31&amp;"-"&amp;B$21, CHOOSE({1,2}, 'S12 Operations'!$C$2:$C$533&amp;"-"&amp;'S12 Operations'!$E$2:$E$533, 'S12 Operations'!$D$2:$D$5334), 2, 0), "")</f>
        <v>10</v>
      </c>
      <c r="C31" s="211">
        <f t="array" ref="C31">IFERROR(VLOOKUP($A31&amp;"-"&amp;C$21, CHOOSE({1,2}, 'S12 Operations'!$C$2:$C$533&amp;"-"&amp;'S12 Operations'!$E$2:$E$533, 'S12 Operations'!$D$2:$D$5334), 2, 0), "")</f>
        <v>20</v>
      </c>
      <c r="D31" s="211" t="str">
        <f t="array" ref="D31">IFERROR(VLOOKUP($A31&amp;"-"&amp;D$21, CHOOSE({1,2}, 'S12 Operations'!$C$2:$C$533&amp;"-"&amp;'S12 Operations'!$E$2:$E$533, 'S12 Operations'!$D$2:$D$5334), 2, 0), "")</f>
        <v/>
      </c>
      <c r="E31" s="211" t="str">
        <f t="array" ref="E31">IFERROR(VLOOKUP($A31&amp;"-"&amp;E$21, CHOOSE({1,2}, 'S12 Operations'!$C$2:$C$533&amp;"-"&amp;'S12 Operations'!$E$2:$E$533, 'S12 Operations'!$D$2:$D$5334), 2, 0), "")</f>
        <v/>
      </c>
      <c r="F31" s="211" t="str">
        <f t="array" ref="F31">IFERROR(VLOOKUP($A31&amp;"-"&amp;F$21, CHOOSE({1,2}, 'S12 Operations'!$C$2:$C$533&amp;"-"&amp;'S12 Operations'!$E$2:$E$533, 'S12 Operations'!$D$2:$D$5334), 2, 0), "")</f>
        <v/>
      </c>
      <c r="G31" s="211" t="str">
        <f t="array" ref="G31">IFERROR(VLOOKUP($A31&amp;"-"&amp;G$21, CHOOSE({1,2}, 'S12 Operations'!$C$2:$C$533&amp;"-"&amp;'S12 Operations'!$E$2:$E$533, 'S12 Operations'!$D$2:$D$5334), 2, 0), "")</f>
        <v/>
      </c>
      <c r="H31" s="211" t="str">
        <f t="array" ref="H31">IFERROR(VLOOKUP($A31&amp;"-"&amp;H$21, CHOOSE({1,2}, 'S12 Operations'!$C$2:$C$533&amp;"-"&amp;'S12 Operations'!$E$2:$E$533, 'S12 Operations'!$D$2:$D$5334), 2, 0), "")</f>
        <v/>
      </c>
      <c r="I31" s="211" t="str">
        <f t="array" ref="I31">IFERROR(VLOOKUP($A31&amp;"-"&amp;I$21, CHOOSE({1,2}, 'S12 Operations'!$C$2:$C$533&amp;"-"&amp;'S12 Operations'!$E$2:$E$533, 'S12 Operations'!$D$2:$D$5334), 2, 0), "")</f>
        <v/>
      </c>
      <c r="J31" s="211">
        <f t="array" ref="J31">IFERROR(VLOOKUP($A31&amp;"-"&amp;J$21, CHOOSE({1,2}, 'S12 Operations'!$C$2:$C$533&amp;"-"&amp;'S12 Operations'!$E$2:$E$533, 'S12 Operations'!$D$2:$D$5334), 2, 0), "")</f>
        <v>30</v>
      </c>
      <c r="K31" s="211" t="str">
        <f t="array" ref="K31">IFERROR(VLOOKUP($A31&amp;"-"&amp;K$21, CHOOSE({1,2}, 'S12 Operations'!$C$2:$C$533&amp;"-"&amp;'S12 Operations'!$E$2:$E$533, 'S12 Operations'!$D$2:$D$5334), 2, 0), "")</f>
        <v/>
      </c>
      <c r="L31" s="211" t="str">
        <f t="array" ref="L31">IFERROR(VLOOKUP($A31&amp;"-"&amp;L$21, CHOOSE({1,2}, 'S12 Operations'!$C$2:$C$533&amp;"-"&amp;'S12 Operations'!$E$2:$E$533, 'S12 Operations'!$D$2:$D$5334), 2, 0), "")</f>
        <v/>
      </c>
      <c r="M31" s="211" t="str">
        <f t="array" ref="M31">IFERROR(VLOOKUP($A31&amp;"-"&amp;M$21, CHOOSE({1,2}, 'S12 Operations'!$C$2:$C$533&amp;"-"&amp;'S12 Operations'!$E$2:$E$533, 'S12 Operations'!$D$2:$D$5334), 2, 0), "")</f>
        <v/>
      </c>
      <c r="N31" s="211" t="str">
        <f t="array" ref="N31">IFERROR(VLOOKUP($A31&amp;"-"&amp;N$21, CHOOSE({1,2}, 'S12 Operations'!$C$2:$C$533&amp;"-"&amp;'S12 Operations'!$E$2:$E$533, 'S12 Operations'!$D$2:$D$5334), 2, 0), "")</f>
        <v/>
      </c>
      <c r="O31" s="211" t="str">
        <f t="array" ref="O31">IFERROR(VLOOKUP($A31&amp;"-"&amp;O$21, CHOOSE({1,2}, 'S12 Operations'!$C$2:$C$533&amp;"-"&amp;'S12 Operations'!$E$2:$E$533, 'S12 Operations'!$D$2:$D$5334), 2, 0), "")</f>
        <v/>
      </c>
      <c r="P31" s="211" t="str">
        <f t="array" ref="P31">IFERROR(VLOOKUP($A31&amp;"-"&amp;P$21, CHOOSE({1,2}, 'S12 Operations'!$C$2:$C$533&amp;"-"&amp;'S12 Operations'!$E$2:$E$533, 'S12 Operations'!$D$2:$D$5334), 2, 0), "")</f>
        <v/>
      </c>
      <c r="Q31" s="211">
        <f t="array" ref="Q31">IFERROR(VLOOKUP($A31&amp;"-"&amp;Q$21, CHOOSE({1,2}, 'S12 Operations'!$C$2:$C$533&amp;"-"&amp;'S12 Operations'!$E$2:$E$533, 'S12 Operations'!$D$2:$D$5334), 2, 0), "")</f>
        <v>40</v>
      </c>
      <c r="R31" s="211" t="str">
        <f t="array" ref="R31">IFERROR(VLOOKUP($A31&amp;"-"&amp;R$21, CHOOSE({1,2}, 'S12 Operations'!$C$2:$C$533&amp;"-"&amp;'S12 Operations'!$E$2:$E$533, 'S12 Operations'!$D$2:$D$5334), 2, 0), "")</f>
        <v/>
      </c>
      <c r="S31" s="211" t="str">
        <f t="array" ref="S31">IFERROR(VLOOKUP($A31&amp;"-"&amp;S$21, CHOOSE({1,2}, 'S12 Operations'!$C$2:$C$533&amp;"-"&amp;'S12 Operations'!$E$2:$E$533, 'S12 Operations'!$D$2:$D$5334), 2, 0), "")</f>
        <v/>
      </c>
      <c r="T31" s="211" t="str">
        <f t="array" ref="T31">IFERROR(VLOOKUP($A31&amp;"-"&amp;T$21, CHOOSE({1,2}, 'S12 Operations'!$C$2:$C$533&amp;"-"&amp;'S12 Operations'!$E$2:$E$533, 'S12 Operations'!$D$2:$D$5334), 2, 0), "")</f>
        <v/>
      </c>
      <c r="U31" s="211" t="str">
        <f t="array" ref="U31">IFERROR(VLOOKUP($A31&amp;"-"&amp;U$21, CHOOSE({1,2}, 'S12 Operations'!$C$2:$C$533&amp;"-"&amp;'S12 Operations'!$E$2:$E$533, 'S12 Operations'!$D$2:$D$5334), 2, 0), "")</f>
        <v/>
      </c>
      <c r="V31" s="211" t="str">
        <f t="array" ref="V31">IFERROR(VLOOKUP($A31&amp;"-"&amp;V$21, CHOOSE({1,2}, 'S12 Operations'!$C$2:$C$533&amp;"-"&amp;'S12 Operations'!$E$2:$E$533, 'S12 Operations'!$D$2:$D$5334), 2, 0), "")</f>
        <v/>
      </c>
      <c r="W31" s="211" t="str">
        <f t="array" ref="W31">IFERROR(VLOOKUP($A31&amp;"-"&amp;W$21, CHOOSE({1,2}, 'S12 Operations'!$C$2:$C$533&amp;"-"&amp;'S12 Operations'!$E$2:$E$533, 'S12 Operations'!$D$2:$D$5334), 2, 0), "")</f>
        <v/>
      </c>
      <c r="X31" s="211" t="str">
        <f t="array" ref="X31">IFERROR(VLOOKUP($A31&amp;"-"&amp;X$21, CHOOSE({1,2}, 'S12 Operations'!$C$2:$C$533&amp;"-"&amp;'S12 Operations'!$E$2:$E$533, 'S12 Operations'!$D$2:$D$5334), 2, 0), "")</f>
        <v/>
      </c>
      <c r="Y31" s="211">
        <f t="array" ref="Y31">IFERROR(VLOOKUP($A31&amp;"-"&amp;Y$21, CHOOSE({1,2}, 'S12 Operations'!$C$2:$C$533&amp;"-"&amp;'S12 Operations'!$E$2:$E$533, 'S12 Operations'!$D$2:$D$5334), 2, 0), "")</f>
        <v>50</v>
      </c>
      <c r="Z31" s="211" t="str">
        <f t="array" ref="Z31">IFERROR(VLOOKUP($A31&amp;"-"&amp;Z$21, CHOOSE({1,2}, 'S12 Operations'!$C$2:$C$533&amp;"-"&amp;'S12 Operations'!$E$2:$E$533, 'S12 Operations'!$D$2:$D$5334), 2, 0), "")</f>
        <v/>
      </c>
      <c r="AA31" s="211">
        <f t="array" ref="AA31">IFERROR(VLOOKUP($A31&amp;"-"&amp;AA$21, CHOOSE({1,2}, 'S12 Operations'!$C$2:$C$533&amp;"-"&amp;'S12 Operations'!$E$2:$E$533, 'S12 Operations'!$D$2:$D$5334), 2, 0), "")</f>
        <v>60</v>
      </c>
    </row>
    <row r="32" spans="1:27" ht="17" x14ac:dyDescent="0.2">
      <c r="A32" s="210" t="str">
        <f>'S08 ABC Output'!A13</f>
        <v>I-070</v>
      </c>
      <c r="B32" s="211">
        <f t="array" ref="B32">IFERROR(VLOOKUP($A32&amp;"-"&amp;B$21, CHOOSE({1,2}, 'S12 Operations'!$C$2:$C$533&amp;"-"&amp;'S12 Operations'!$E$2:$E$533, 'S12 Operations'!$D$2:$D$5334), 2, 0), "")</f>
        <v>10</v>
      </c>
      <c r="C32" s="211">
        <f t="array" ref="C32">IFERROR(VLOOKUP($A32&amp;"-"&amp;C$21, CHOOSE({1,2}, 'S12 Operations'!$C$2:$C$533&amp;"-"&amp;'S12 Operations'!$E$2:$E$533, 'S12 Operations'!$D$2:$D$5334), 2, 0), "")</f>
        <v>20</v>
      </c>
      <c r="D32" s="211" t="str">
        <f t="array" ref="D32">IFERROR(VLOOKUP($A32&amp;"-"&amp;D$21, CHOOSE({1,2}, 'S12 Operations'!$C$2:$C$533&amp;"-"&amp;'S12 Operations'!$E$2:$E$533, 'S12 Operations'!$D$2:$D$5334), 2, 0), "")</f>
        <v/>
      </c>
      <c r="E32" s="211" t="str">
        <f t="array" ref="E32">IFERROR(VLOOKUP($A32&amp;"-"&amp;E$21, CHOOSE({1,2}, 'S12 Operations'!$C$2:$C$533&amp;"-"&amp;'S12 Operations'!$E$2:$E$533, 'S12 Operations'!$D$2:$D$5334), 2, 0), "")</f>
        <v/>
      </c>
      <c r="F32" s="211" t="str">
        <f t="array" ref="F32">IFERROR(VLOOKUP($A32&amp;"-"&amp;F$21, CHOOSE({1,2}, 'S12 Operations'!$C$2:$C$533&amp;"-"&amp;'S12 Operations'!$E$2:$E$533, 'S12 Operations'!$D$2:$D$5334), 2, 0), "")</f>
        <v/>
      </c>
      <c r="G32" s="211" t="str">
        <f t="array" ref="G32">IFERROR(VLOOKUP($A32&amp;"-"&amp;G$21, CHOOSE({1,2}, 'S12 Operations'!$C$2:$C$533&amp;"-"&amp;'S12 Operations'!$E$2:$E$533, 'S12 Operations'!$D$2:$D$5334), 2, 0), "")</f>
        <v/>
      </c>
      <c r="H32" s="211" t="str">
        <f t="array" ref="H32">IFERROR(VLOOKUP($A32&amp;"-"&amp;H$21, CHOOSE({1,2}, 'S12 Operations'!$C$2:$C$533&amp;"-"&amp;'S12 Operations'!$E$2:$E$533, 'S12 Operations'!$D$2:$D$5334), 2, 0), "")</f>
        <v/>
      </c>
      <c r="I32" s="211" t="str">
        <f t="array" ref="I32">IFERROR(VLOOKUP($A32&amp;"-"&amp;I$21, CHOOSE({1,2}, 'S12 Operations'!$C$2:$C$533&amp;"-"&amp;'S12 Operations'!$E$2:$E$533, 'S12 Operations'!$D$2:$D$5334), 2, 0), "")</f>
        <v/>
      </c>
      <c r="J32" s="211">
        <f t="array" ref="J32">IFERROR(VLOOKUP($A32&amp;"-"&amp;J$21, CHOOSE({1,2}, 'S12 Operations'!$C$2:$C$533&amp;"-"&amp;'S12 Operations'!$E$2:$E$533, 'S12 Operations'!$D$2:$D$5334), 2, 0), "")</f>
        <v>30</v>
      </c>
      <c r="K32" s="211" t="str">
        <f t="array" ref="K32">IFERROR(VLOOKUP($A32&amp;"-"&amp;K$21, CHOOSE({1,2}, 'S12 Operations'!$C$2:$C$533&amp;"-"&amp;'S12 Operations'!$E$2:$E$533, 'S12 Operations'!$D$2:$D$5334), 2, 0), "")</f>
        <v/>
      </c>
      <c r="L32" s="211" t="str">
        <f t="array" ref="L32">IFERROR(VLOOKUP($A32&amp;"-"&amp;L$21, CHOOSE({1,2}, 'S12 Operations'!$C$2:$C$533&amp;"-"&amp;'S12 Operations'!$E$2:$E$533, 'S12 Operations'!$D$2:$D$5334), 2, 0), "")</f>
        <v/>
      </c>
      <c r="M32" s="211" t="str">
        <f t="array" ref="M32">IFERROR(VLOOKUP($A32&amp;"-"&amp;M$21, CHOOSE({1,2}, 'S12 Operations'!$C$2:$C$533&amp;"-"&amp;'S12 Operations'!$E$2:$E$533, 'S12 Operations'!$D$2:$D$5334), 2, 0), "")</f>
        <v/>
      </c>
      <c r="N32" s="211" t="str">
        <f t="array" ref="N32">IFERROR(VLOOKUP($A32&amp;"-"&amp;N$21, CHOOSE({1,2}, 'S12 Operations'!$C$2:$C$533&amp;"-"&amp;'S12 Operations'!$E$2:$E$533, 'S12 Operations'!$D$2:$D$5334), 2, 0), "")</f>
        <v/>
      </c>
      <c r="O32" s="211" t="str">
        <f t="array" ref="O32">IFERROR(VLOOKUP($A32&amp;"-"&amp;O$21, CHOOSE({1,2}, 'S12 Operations'!$C$2:$C$533&amp;"-"&amp;'S12 Operations'!$E$2:$E$533, 'S12 Operations'!$D$2:$D$5334), 2, 0), "")</f>
        <v/>
      </c>
      <c r="P32" s="211" t="str">
        <f t="array" ref="P32">IFERROR(VLOOKUP($A32&amp;"-"&amp;P$21, CHOOSE({1,2}, 'S12 Operations'!$C$2:$C$533&amp;"-"&amp;'S12 Operations'!$E$2:$E$533, 'S12 Operations'!$D$2:$D$5334), 2, 0), "")</f>
        <v/>
      </c>
      <c r="Q32" s="211">
        <f t="array" ref="Q32">IFERROR(VLOOKUP($A32&amp;"-"&amp;Q$21, CHOOSE({1,2}, 'S12 Operations'!$C$2:$C$533&amp;"-"&amp;'S12 Operations'!$E$2:$E$533, 'S12 Operations'!$D$2:$D$5334), 2, 0), "")</f>
        <v>40</v>
      </c>
      <c r="R32" s="211" t="str">
        <f t="array" ref="R32">IFERROR(VLOOKUP($A32&amp;"-"&amp;R$21, CHOOSE({1,2}, 'S12 Operations'!$C$2:$C$533&amp;"-"&amp;'S12 Operations'!$E$2:$E$533, 'S12 Operations'!$D$2:$D$5334), 2, 0), "")</f>
        <v/>
      </c>
      <c r="S32" s="211" t="str">
        <f t="array" ref="S32">IFERROR(VLOOKUP($A32&amp;"-"&amp;S$21, CHOOSE({1,2}, 'S12 Operations'!$C$2:$C$533&amp;"-"&amp;'S12 Operations'!$E$2:$E$533, 'S12 Operations'!$D$2:$D$5334), 2, 0), "")</f>
        <v/>
      </c>
      <c r="T32" s="211" t="str">
        <f t="array" ref="T32">IFERROR(VLOOKUP($A32&amp;"-"&amp;T$21, CHOOSE({1,2}, 'S12 Operations'!$C$2:$C$533&amp;"-"&amp;'S12 Operations'!$E$2:$E$533, 'S12 Operations'!$D$2:$D$5334), 2, 0), "")</f>
        <v/>
      </c>
      <c r="U32" s="211" t="str">
        <f t="array" ref="U32">IFERROR(VLOOKUP($A32&amp;"-"&amp;U$21, CHOOSE({1,2}, 'S12 Operations'!$C$2:$C$533&amp;"-"&amp;'S12 Operations'!$E$2:$E$533, 'S12 Operations'!$D$2:$D$5334), 2, 0), "")</f>
        <v/>
      </c>
      <c r="V32" s="211" t="str">
        <f t="array" ref="V32">IFERROR(VLOOKUP($A32&amp;"-"&amp;V$21, CHOOSE({1,2}, 'S12 Operations'!$C$2:$C$533&amp;"-"&amp;'S12 Operations'!$E$2:$E$533, 'S12 Operations'!$D$2:$D$5334), 2, 0), "")</f>
        <v/>
      </c>
      <c r="W32" s="211" t="str">
        <f t="array" ref="W32">IFERROR(VLOOKUP($A32&amp;"-"&amp;W$21, CHOOSE({1,2}, 'S12 Operations'!$C$2:$C$533&amp;"-"&amp;'S12 Operations'!$E$2:$E$533, 'S12 Operations'!$D$2:$D$5334), 2, 0), "")</f>
        <v/>
      </c>
      <c r="X32" s="211" t="str">
        <f t="array" ref="X32">IFERROR(VLOOKUP($A32&amp;"-"&amp;X$21, CHOOSE({1,2}, 'S12 Operations'!$C$2:$C$533&amp;"-"&amp;'S12 Operations'!$E$2:$E$533, 'S12 Operations'!$D$2:$D$5334), 2, 0), "")</f>
        <v/>
      </c>
      <c r="Y32" s="211">
        <f t="array" ref="Y32">IFERROR(VLOOKUP($A32&amp;"-"&amp;Y$21, CHOOSE({1,2}, 'S12 Operations'!$C$2:$C$533&amp;"-"&amp;'S12 Operations'!$E$2:$E$533, 'S12 Operations'!$D$2:$D$5334), 2, 0), "")</f>
        <v>50</v>
      </c>
      <c r="Z32" s="211" t="str">
        <f t="array" ref="Z32">IFERROR(VLOOKUP($A32&amp;"-"&amp;Z$21, CHOOSE({1,2}, 'S12 Operations'!$C$2:$C$533&amp;"-"&amp;'S12 Operations'!$E$2:$E$533, 'S12 Operations'!$D$2:$D$5334), 2, 0), "")</f>
        <v/>
      </c>
      <c r="AA32" s="211">
        <f t="array" ref="AA32">IFERROR(VLOOKUP($A32&amp;"-"&amp;AA$21, CHOOSE({1,2}, 'S12 Operations'!$C$2:$C$533&amp;"-"&amp;'S12 Operations'!$E$2:$E$533, 'S12 Operations'!$D$2:$D$5334), 2, 0), "")</f>
        <v>60</v>
      </c>
    </row>
    <row r="33" spans="1:27" ht="17" x14ac:dyDescent="0.2">
      <c r="A33" s="210" t="str">
        <f>'S08 ABC Output'!A14</f>
        <v>I-006</v>
      </c>
      <c r="B33" s="211">
        <f t="array" ref="B33">IFERROR(VLOOKUP($A33&amp;"-"&amp;B$21, CHOOSE({1,2}, 'S12 Operations'!$C$2:$C$533&amp;"-"&amp;'S12 Operations'!$E$2:$E$533, 'S12 Operations'!$D$2:$D$5334), 2, 0), "")</f>
        <v>10</v>
      </c>
      <c r="C33" s="211" t="str">
        <f t="array" ref="C33">IFERROR(VLOOKUP($A33&amp;"-"&amp;C$21, CHOOSE({1,2}, 'S12 Operations'!$C$2:$C$533&amp;"-"&amp;'S12 Operations'!$E$2:$E$533, 'S12 Operations'!$D$2:$D$5334), 2, 0), "")</f>
        <v/>
      </c>
      <c r="D33" s="211" t="str">
        <f t="array" ref="D33">IFERROR(VLOOKUP($A33&amp;"-"&amp;D$21, CHOOSE({1,2}, 'S12 Operations'!$C$2:$C$533&amp;"-"&amp;'S12 Operations'!$E$2:$E$533, 'S12 Operations'!$D$2:$D$5334), 2, 0), "")</f>
        <v/>
      </c>
      <c r="E33" s="211">
        <f t="array" ref="E33">IFERROR(VLOOKUP($A33&amp;"-"&amp;E$21, CHOOSE({1,2}, 'S12 Operations'!$C$2:$C$533&amp;"-"&amp;'S12 Operations'!$E$2:$E$533, 'S12 Operations'!$D$2:$D$5334), 2, 0), "")</f>
        <v>20</v>
      </c>
      <c r="F33" s="211">
        <f t="array" ref="F33">IFERROR(VLOOKUP($A33&amp;"-"&amp;F$21, CHOOSE({1,2}, 'S12 Operations'!$C$2:$C$533&amp;"-"&amp;'S12 Operations'!$E$2:$E$533, 'S12 Operations'!$D$2:$D$5334), 2, 0), "")</f>
        <v>30</v>
      </c>
      <c r="G33" s="211" t="str">
        <f t="array" ref="G33">IFERROR(VLOOKUP($A33&amp;"-"&amp;G$21, CHOOSE({1,2}, 'S12 Operations'!$C$2:$C$533&amp;"-"&amp;'S12 Operations'!$E$2:$E$533, 'S12 Operations'!$D$2:$D$5334), 2, 0), "")</f>
        <v/>
      </c>
      <c r="H33" s="211" t="str">
        <f t="array" ref="H33">IFERROR(VLOOKUP($A33&amp;"-"&amp;H$21, CHOOSE({1,2}, 'S12 Operations'!$C$2:$C$533&amp;"-"&amp;'S12 Operations'!$E$2:$E$533, 'S12 Operations'!$D$2:$D$5334), 2, 0), "")</f>
        <v/>
      </c>
      <c r="I33" s="211" t="str">
        <f t="array" ref="I33">IFERROR(VLOOKUP($A33&amp;"-"&amp;I$21, CHOOSE({1,2}, 'S12 Operations'!$C$2:$C$533&amp;"-"&amp;'S12 Operations'!$E$2:$E$533, 'S12 Operations'!$D$2:$D$5334), 2, 0), "")</f>
        <v/>
      </c>
      <c r="J33" s="211" t="str">
        <f t="array" ref="J33">IFERROR(VLOOKUP($A33&amp;"-"&amp;J$21, CHOOSE({1,2}, 'S12 Operations'!$C$2:$C$533&amp;"-"&amp;'S12 Operations'!$E$2:$E$533, 'S12 Operations'!$D$2:$D$5334), 2, 0), "")</f>
        <v/>
      </c>
      <c r="K33" s="211" t="str">
        <f t="array" ref="K33">IFERROR(VLOOKUP($A33&amp;"-"&amp;K$21, CHOOSE({1,2}, 'S12 Operations'!$C$2:$C$533&amp;"-"&amp;'S12 Operations'!$E$2:$E$533, 'S12 Operations'!$D$2:$D$5334), 2, 0), "")</f>
        <v/>
      </c>
      <c r="L33" s="211">
        <f t="array" ref="L33">IFERROR(VLOOKUP($A33&amp;"-"&amp;L$21, CHOOSE({1,2}, 'S12 Operations'!$C$2:$C$533&amp;"-"&amp;'S12 Operations'!$E$2:$E$533, 'S12 Operations'!$D$2:$D$5334), 2, 0), "")</f>
        <v>40</v>
      </c>
      <c r="M33" s="211" t="str">
        <f t="array" ref="M33">IFERROR(VLOOKUP($A33&amp;"-"&amp;M$21, CHOOSE({1,2}, 'S12 Operations'!$C$2:$C$533&amp;"-"&amp;'S12 Operations'!$E$2:$E$533, 'S12 Operations'!$D$2:$D$5334), 2, 0), "")</f>
        <v/>
      </c>
      <c r="N33" s="211" t="str">
        <f t="array" ref="N33">IFERROR(VLOOKUP($A33&amp;"-"&amp;N$21, CHOOSE({1,2}, 'S12 Operations'!$C$2:$C$533&amp;"-"&amp;'S12 Operations'!$E$2:$E$533, 'S12 Operations'!$D$2:$D$5334), 2, 0), "")</f>
        <v/>
      </c>
      <c r="O33" s="211" t="str">
        <f t="array" ref="O33">IFERROR(VLOOKUP($A33&amp;"-"&amp;O$21, CHOOSE({1,2}, 'S12 Operations'!$C$2:$C$533&amp;"-"&amp;'S12 Operations'!$E$2:$E$533, 'S12 Operations'!$D$2:$D$5334), 2, 0), "")</f>
        <v/>
      </c>
      <c r="P33" s="211">
        <f t="array" ref="P33">IFERROR(VLOOKUP($A33&amp;"-"&amp;P$21, CHOOSE({1,2}, 'S12 Operations'!$C$2:$C$533&amp;"-"&amp;'S12 Operations'!$E$2:$E$533, 'S12 Operations'!$D$2:$D$5334), 2, 0), "")</f>
        <v>50</v>
      </c>
      <c r="Q33" s="211" t="str">
        <f t="array" ref="Q33">IFERROR(VLOOKUP($A33&amp;"-"&amp;Q$21, CHOOSE({1,2}, 'S12 Operations'!$C$2:$C$533&amp;"-"&amp;'S12 Operations'!$E$2:$E$533, 'S12 Operations'!$D$2:$D$5334), 2, 0), "")</f>
        <v/>
      </c>
      <c r="R33" s="211" t="str">
        <f t="array" ref="R33">IFERROR(VLOOKUP($A33&amp;"-"&amp;R$21, CHOOSE({1,2}, 'S12 Operations'!$C$2:$C$533&amp;"-"&amp;'S12 Operations'!$E$2:$E$533, 'S12 Operations'!$D$2:$D$5334), 2, 0), "")</f>
        <v/>
      </c>
      <c r="S33" s="211" t="str">
        <f t="array" ref="S33">IFERROR(VLOOKUP($A33&amp;"-"&amp;S$21, CHOOSE({1,2}, 'S12 Operations'!$C$2:$C$533&amp;"-"&amp;'S12 Operations'!$E$2:$E$533, 'S12 Operations'!$D$2:$D$5334), 2, 0), "")</f>
        <v/>
      </c>
      <c r="T33" s="211" t="str">
        <f t="array" ref="T33">IFERROR(VLOOKUP($A33&amp;"-"&amp;T$21, CHOOSE({1,2}, 'S12 Operations'!$C$2:$C$533&amp;"-"&amp;'S12 Operations'!$E$2:$E$533, 'S12 Operations'!$D$2:$D$5334), 2, 0), "")</f>
        <v/>
      </c>
      <c r="U33" s="211" t="str">
        <f t="array" ref="U33">IFERROR(VLOOKUP($A33&amp;"-"&amp;U$21, CHOOSE({1,2}, 'S12 Operations'!$C$2:$C$533&amp;"-"&amp;'S12 Operations'!$E$2:$E$533, 'S12 Operations'!$D$2:$D$5334), 2, 0), "")</f>
        <v/>
      </c>
      <c r="V33" s="211">
        <f t="array" ref="V33">IFERROR(VLOOKUP($A33&amp;"-"&amp;V$21, CHOOSE({1,2}, 'S12 Operations'!$C$2:$C$533&amp;"-"&amp;'S12 Operations'!$E$2:$E$533, 'S12 Operations'!$D$2:$D$5334), 2, 0), "")</f>
        <v>60</v>
      </c>
      <c r="W33" s="211" t="str">
        <f t="array" ref="W33">IFERROR(VLOOKUP($A33&amp;"-"&amp;W$21, CHOOSE({1,2}, 'S12 Operations'!$C$2:$C$533&amp;"-"&amp;'S12 Operations'!$E$2:$E$533, 'S12 Operations'!$D$2:$D$5334), 2, 0), "")</f>
        <v/>
      </c>
      <c r="X33" s="211">
        <f t="array" ref="X33">IFERROR(VLOOKUP($A33&amp;"-"&amp;X$21, CHOOSE({1,2}, 'S12 Operations'!$C$2:$C$533&amp;"-"&amp;'S12 Operations'!$E$2:$E$533, 'S12 Operations'!$D$2:$D$5334), 2, 0), "")</f>
        <v>70</v>
      </c>
      <c r="Y33" s="211" t="str">
        <f t="array" ref="Y33">IFERROR(VLOOKUP($A33&amp;"-"&amp;Y$21, CHOOSE({1,2}, 'S12 Operations'!$C$2:$C$533&amp;"-"&amp;'S12 Operations'!$E$2:$E$533, 'S12 Operations'!$D$2:$D$5334), 2, 0), "")</f>
        <v/>
      </c>
      <c r="Z33" s="211" t="str">
        <f t="array" ref="Z33">IFERROR(VLOOKUP($A33&amp;"-"&amp;Z$21, CHOOSE({1,2}, 'S12 Operations'!$C$2:$C$533&amp;"-"&amp;'S12 Operations'!$E$2:$E$533, 'S12 Operations'!$D$2:$D$5334), 2, 0), "")</f>
        <v/>
      </c>
      <c r="AA33" s="211">
        <f t="array" ref="AA33">IFERROR(VLOOKUP($A33&amp;"-"&amp;AA$21, CHOOSE({1,2}, 'S12 Operations'!$C$2:$C$533&amp;"-"&amp;'S12 Operations'!$E$2:$E$533, 'S12 Operations'!$D$2:$D$5334), 2, 0), "")</f>
        <v>80</v>
      </c>
    </row>
    <row r="34" spans="1:27" ht="17" x14ac:dyDescent="0.2">
      <c r="A34" s="210" t="str">
        <f>'S08 ABC Output'!A15</f>
        <v>I-073</v>
      </c>
      <c r="B34" s="211">
        <f t="array" ref="B34">IFERROR(VLOOKUP($A34&amp;"-"&amp;B$21, CHOOSE({1,2}, 'S12 Operations'!$C$2:$C$533&amp;"-"&amp;'S12 Operations'!$E$2:$E$533, 'S12 Operations'!$D$2:$D$5334), 2, 0), "")</f>
        <v>10</v>
      </c>
      <c r="C34" s="211" t="str">
        <f t="array" ref="C34">IFERROR(VLOOKUP($A34&amp;"-"&amp;C$21, CHOOSE({1,2}, 'S12 Operations'!$C$2:$C$533&amp;"-"&amp;'S12 Operations'!$E$2:$E$533, 'S12 Operations'!$D$2:$D$5334), 2, 0), "")</f>
        <v/>
      </c>
      <c r="D34" s="211">
        <f t="array" ref="D34">IFERROR(VLOOKUP($A34&amp;"-"&amp;D$21, CHOOSE({1,2}, 'S12 Operations'!$C$2:$C$533&amp;"-"&amp;'S12 Operations'!$E$2:$E$533, 'S12 Operations'!$D$2:$D$5334), 2, 0), "")</f>
        <v>20</v>
      </c>
      <c r="E34" s="211" t="str">
        <f t="array" ref="E34">IFERROR(VLOOKUP($A34&amp;"-"&amp;E$21, CHOOSE({1,2}, 'S12 Operations'!$C$2:$C$533&amp;"-"&amp;'S12 Operations'!$E$2:$E$533, 'S12 Operations'!$D$2:$D$5334), 2, 0), "")</f>
        <v/>
      </c>
      <c r="F34" s="211" t="str">
        <f t="array" ref="F34">IFERROR(VLOOKUP($A34&amp;"-"&amp;F$21, CHOOSE({1,2}, 'S12 Operations'!$C$2:$C$533&amp;"-"&amp;'S12 Operations'!$E$2:$E$533, 'S12 Operations'!$D$2:$D$5334), 2, 0), "")</f>
        <v/>
      </c>
      <c r="G34" s="211" t="str">
        <f t="array" ref="G34">IFERROR(VLOOKUP($A34&amp;"-"&amp;G$21, CHOOSE({1,2}, 'S12 Operations'!$C$2:$C$533&amp;"-"&amp;'S12 Operations'!$E$2:$E$533, 'S12 Operations'!$D$2:$D$5334), 2, 0), "")</f>
        <v/>
      </c>
      <c r="H34" s="211">
        <f t="array" ref="H34">IFERROR(VLOOKUP($A34&amp;"-"&amp;H$21, CHOOSE({1,2}, 'S12 Operations'!$C$2:$C$533&amp;"-"&amp;'S12 Operations'!$E$2:$E$533, 'S12 Operations'!$D$2:$D$5334), 2, 0), "")</f>
        <v>30</v>
      </c>
      <c r="I34" s="211" t="str">
        <f t="array" ref="I34">IFERROR(VLOOKUP($A34&amp;"-"&amp;I$21, CHOOSE({1,2}, 'S12 Operations'!$C$2:$C$533&amp;"-"&amp;'S12 Operations'!$E$2:$E$533, 'S12 Operations'!$D$2:$D$5334), 2, 0), "")</f>
        <v/>
      </c>
      <c r="J34" s="211" t="str">
        <f t="array" ref="J34">IFERROR(VLOOKUP($A34&amp;"-"&amp;J$21, CHOOSE({1,2}, 'S12 Operations'!$C$2:$C$533&amp;"-"&amp;'S12 Operations'!$E$2:$E$533, 'S12 Operations'!$D$2:$D$5334), 2, 0), "")</f>
        <v/>
      </c>
      <c r="K34" s="211" t="str">
        <f t="array" ref="K34">IFERROR(VLOOKUP($A34&amp;"-"&amp;K$21, CHOOSE({1,2}, 'S12 Operations'!$C$2:$C$533&amp;"-"&amp;'S12 Operations'!$E$2:$E$533, 'S12 Operations'!$D$2:$D$5334), 2, 0), "")</f>
        <v/>
      </c>
      <c r="L34" s="211" t="str">
        <f t="array" ref="L34">IFERROR(VLOOKUP($A34&amp;"-"&amp;L$21, CHOOSE({1,2}, 'S12 Operations'!$C$2:$C$533&amp;"-"&amp;'S12 Operations'!$E$2:$E$533, 'S12 Operations'!$D$2:$D$5334), 2, 0), "")</f>
        <v/>
      </c>
      <c r="M34" s="211" t="str">
        <f t="array" ref="M34">IFERROR(VLOOKUP($A34&amp;"-"&amp;M$21, CHOOSE({1,2}, 'S12 Operations'!$C$2:$C$533&amp;"-"&amp;'S12 Operations'!$E$2:$E$533, 'S12 Operations'!$D$2:$D$5334), 2, 0), "")</f>
        <v/>
      </c>
      <c r="N34" s="211">
        <f t="array" ref="N34">IFERROR(VLOOKUP($A34&amp;"-"&amp;N$21, CHOOSE({1,2}, 'S12 Operations'!$C$2:$C$533&amp;"-"&amp;'S12 Operations'!$E$2:$E$533, 'S12 Operations'!$D$2:$D$5334), 2, 0), "")</f>
        <v>40</v>
      </c>
      <c r="O34" s="211" t="str">
        <f t="array" ref="O34">IFERROR(VLOOKUP($A34&amp;"-"&amp;O$21, CHOOSE({1,2}, 'S12 Operations'!$C$2:$C$533&amp;"-"&amp;'S12 Operations'!$E$2:$E$533, 'S12 Operations'!$D$2:$D$5334), 2, 0), "")</f>
        <v/>
      </c>
      <c r="P34" s="211" t="str">
        <f t="array" ref="P34">IFERROR(VLOOKUP($A34&amp;"-"&amp;P$21, CHOOSE({1,2}, 'S12 Operations'!$C$2:$C$533&amp;"-"&amp;'S12 Operations'!$E$2:$E$533, 'S12 Operations'!$D$2:$D$5334), 2, 0), "")</f>
        <v/>
      </c>
      <c r="Q34" s="211" t="str">
        <f t="array" ref="Q34">IFERROR(VLOOKUP($A34&amp;"-"&amp;Q$21, CHOOSE({1,2}, 'S12 Operations'!$C$2:$C$533&amp;"-"&amp;'S12 Operations'!$E$2:$E$533, 'S12 Operations'!$D$2:$D$5334), 2, 0), "")</f>
        <v/>
      </c>
      <c r="R34" s="211" t="str">
        <f t="array" ref="R34">IFERROR(VLOOKUP($A34&amp;"-"&amp;R$21, CHOOSE({1,2}, 'S12 Operations'!$C$2:$C$533&amp;"-"&amp;'S12 Operations'!$E$2:$E$533, 'S12 Operations'!$D$2:$D$5334), 2, 0), "")</f>
        <v/>
      </c>
      <c r="S34" s="211">
        <f t="array" ref="S34">IFERROR(VLOOKUP($A34&amp;"-"&amp;S$21, CHOOSE({1,2}, 'S12 Operations'!$C$2:$C$533&amp;"-"&amp;'S12 Operations'!$E$2:$E$533, 'S12 Operations'!$D$2:$D$5334), 2, 0), "")</f>
        <v>50</v>
      </c>
      <c r="T34" s="211" t="str">
        <f t="array" ref="T34">IFERROR(VLOOKUP($A34&amp;"-"&amp;T$21, CHOOSE({1,2}, 'S12 Operations'!$C$2:$C$533&amp;"-"&amp;'S12 Operations'!$E$2:$E$533, 'S12 Operations'!$D$2:$D$5334), 2, 0), "")</f>
        <v/>
      </c>
      <c r="U34" s="211">
        <f t="array" ref="U34">IFERROR(VLOOKUP($A34&amp;"-"&amp;U$21, CHOOSE({1,2}, 'S12 Operations'!$C$2:$C$533&amp;"-"&amp;'S12 Operations'!$E$2:$E$533, 'S12 Operations'!$D$2:$D$5334), 2, 0), "")</f>
        <v>60</v>
      </c>
      <c r="V34" s="211" t="str">
        <f t="array" ref="V34">IFERROR(VLOOKUP($A34&amp;"-"&amp;V$21, CHOOSE({1,2}, 'S12 Operations'!$C$2:$C$533&amp;"-"&amp;'S12 Operations'!$E$2:$E$533, 'S12 Operations'!$D$2:$D$5334), 2, 0), "")</f>
        <v/>
      </c>
      <c r="W34" s="211">
        <f t="array" ref="W34">IFERROR(VLOOKUP($A34&amp;"-"&amp;W$21, CHOOSE({1,2}, 'S12 Operations'!$C$2:$C$533&amp;"-"&amp;'S12 Operations'!$E$2:$E$533, 'S12 Operations'!$D$2:$D$5334), 2, 0), "")</f>
        <v>70</v>
      </c>
      <c r="X34" s="211" t="str">
        <f t="array" ref="X34">IFERROR(VLOOKUP($A34&amp;"-"&amp;X$21, CHOOSE({1,2}, 'S12 Operations'!$C$2:$C$533&amp;"-"&amp;'S12 Operations'!$E$2:$E$533, 'S12 Operations'!$D$2:$D$5334), 2, 0), "")</f>
        <v/>
      </c>
      <c r="Y34" s="211" t="str">
        <f t="array" ref="Y34">IFERROR(VLOOKUP($A34&amp;"-"&amp;Y$21, CHOOSE({1,2}, 'S12 Operations'!$C$2:$C$533&amp;"-"&amp;'S12 Operations'!$E$2:$E$533, 'S12 Operations'!$D$2:$D$5334), 2, 0), "")</f>
        <v/>
      </c>
      <c r="Z34" s="211" t="str">
        <f t="array" ref="Z34">IFERROR(VLOOKUP($A34&amp;"-"&amp;Z$21, CHOOSE({1,2}, 'S12 Operations'!$C$2:$C$533&amp;"-"&amp;'S12 Operations'!$E$2:$E$533, 'S12 Operations'!$D$2:$D$5334), 2, 0), "")</f>
        <v/>
      </c>
      <c r="AA34" s="211">
        <f t="array" ref="AA34">IFERROR(VLOOKUP($A34&amp;"-"&amp;AA$21, CHOOSE({1,2}, 'S12 Operations'!$C$2:$C$533&amp;"-"&amp;'S12 Operations'!$E$2:$E$533, 'S12 Operations'!$D$2:$D$5334), 2, 0), "")</f>
        <v>80</v>
      </c>
    </row>
    <row r="35" spans="1:27" ht="17" x14ac:dyDescent="0.2">
      <c r="A35" s="210" t="str">
        <f>'S08 ABC Output'!A16</f>
        <v>I-071</v>
      </c>
      <c r="B35" s="211">
        <f t="array" ref="B35">IFERROR(VLOOKUP($A35&amp;"-"&amp;B$21, CHOOSE({1,2}, 'S12 Operations'!$C$2:$C$533&amp;"-"&amp;'S12 Operations'!$E$2:$E$533, 'S12 Operations'!$D$2:$D$5334), 2, 0), "")</f>
        <v>10</v>
      </c>
      <c r="C35" s="211">
        <f t="array" ref="C35">IFERROR(VLOOKUP($A35&amp;"-"&amp;C$21, CHOOSE({1,2}, 'S12 Operations'!$C$2:$C$533&amp;"-"&amp;'S12 Operations'!$E$2:$E$533, 'S12 Operations'!$D$2:$D$5334), 2, 0), "")</f>
        <v>20</v>
      </c>
      <c r="D35" s="211" t="str">
        <f t="array" ref="D35">IFERROR(VLOOKUP($A35&amp;"-"&amp;D$21, CHOOSE({1,2}, 'S12 Operations'!$C$2:$C$533&amp;"-"&amp;'S12 Operations'!$E$2:$E$533, 'S12 Operations'!$D$2:$D$5334), 2, 0), "")</f>
        <v/>
      </c>
      <c r="E35" s="211" t="str">
        <f t="array" ref="E35">IFERROR(VLOOKUP($A35&amp;"-"&amp;E$21, CHOOSE({1,2}, 'S12 Operations'!$C$2:$C$533&amp;"-"&amp;'S12 Operations'!$E$2:$E$533, 'S12 Operations'!$D$2:$D$5334), 2, 0), "")</f>
        <v/>
      </c>
      <c r="F35" s="211" t="str">
        <f t="array" ref="F35">IFERROR(VLOOKUP($A35&amp;"-"&amp;F$21, CHOOSE({1,2}, 'S12 Operations'!$C$2:$C$533&amp;"-"&amp;'S12 Operations'!$E$2:$E$533, 'S12 Operations'!$D$2:$D$5334), 2, 0), "")</f>
        <v/>
      </c>
      <c r="G35" s="211" t="str">
        <f t="array" ref="G35">IFERROR(VLOOKUP($A35&amp;"-"&amp;G$21, CHOOSE({1,2}, 'S12 Operations'!$C$2:$C$533&amp;"-"&amp;'S12 Operations'!$E$2:$E$533, 'S12 Operations'!$D$2:$D$5334), 2, 0), "")</f>
        <v/>
      </c>
      <c r="H35" s="211" t="str">
        <f t="array" ref="H35">IFERROR(VLOOKUP($A35&amp;"-"&amp;H$21, CHOOSE({1,2}, 'S12 Operations'!$C$2:$C$533&amp;"-"&amp;'S12 Operations'!$E$2:$E$533, 'S12 Operations'!$D$2:$D$5334), 2, 0), "")</f>
        <v/>
      </c>
      <c r="I35" s="211" t="str">
        <f t="array" ref="I35">IFERROR(VLOOKUP($A35&amp;"-"&amp;I$21, CHOOSE({1,2}, 'S12 Operations'!$C$2:$C$533&amp;"-"&amp;'S12 Operations'!$E$2:$E$533, 'S12 Operations'!$D$2:$D$5334), 2, 0), "")</f>
        <v/>
      </c>
      <c r="J35" s="211">
        <f t="array" ref="J35">IFERROR(VLOOKUP($A35&amp;"-"&amp;J$21, CHOOSE({1,2}, 'S12 Operations'!$C$2:$C$533&amp;"-"&amp;'S12 Operations'!$E$2:$E$533, 'S12 Operations'!$D$2:$D$5334), 2, 0), "")</f>
        <v>30</v>
      </c>
      <c r="K35" s="211" t="str">
        <f t="array" ref="K35">IFERROR(VLOOKUP($A35&amp;"-"&amp;K$21, CHOOSE({1,2}, 'S12 Operations'!$C$2:$C$533&amp;"-"&amp;'S12 Operations'!$E$2:$E$533, 'S12 Operations'!$D$2:$D$5334), 2, 0), "")</f>
        <v/>
      </c>
      <c r="L35" s="211" t="str">
        <f t="array" ref="L35">IFERROR(VLOOKUP($A35&amp;"-"&amp;L$21, CHOOSE({1,2}, 'S12 Operations'!$C$2:$C$533&amp;"-"&amp;'S12 Operations'!$E$2:$E$533, 'S12 Operations'!$D$2:$D$5334), 2, 0), "")</f>
        <v/>
      </c>
      <c r="M35" s="211" t="str">
        <f t="array" ref="M35">IFERROR(VLOOKUP($A35&amp;"-"&amp;M$21, CHOOSE({1,2}, 'S12 Operations'!$C$2:$C$533&amp;"-"&amp;'S12 Operations'!$E$2:$E$533, 'S12 Operations'!$D$2:$D$5334), 2, 0), "")</f>
        <v/>
      </c>
      <c r="N35" s="211" t="str">
        <f t="array" ref="N35">IFERROR(VLOOKUP($A35&amp;"-"&amp;N$21, CHOOSE({1,2}, 'S12 Operations'!$C$2:$C$533&amp;"-"&amp;'S12 Operations'!$E$2:$E$533, 'S12 Operations'!$D$2:$D$5334), 2, 0), "")</f>
        <v/>
      </c>
      <c r="O35" s="211" t="str">
        <f t="array" ref="O35">IFERROR(VLOOKUP($A35&amp;"-"&amp;O$21, CHOOSE({1,2}, 'S12 Operations'!$C$2:$C$533&amp;"-"&amp;'S12 Operations'!$E$2:$E$533, 'S12 Operations'!$D$2:$D$5334), 2, 0), "")</f>
        <v/>
      </c>
      <c r="P35" s="211" t="str">
        <f t="array" ref="P35">IFERROR(VLOOKUP($A35&amp;"-"&amp;P$21, CHOOSE({1,2}, 'S12 Operations'!$C$2:$C$533&amp;"-"&amp;'S12 Operations'!$E$2:$E$533, 'S12 Operations'!$D$2:$D$5334), 2, 0), "")</f>
        <v/>
      </c>
      <c r="Q35" s="211">
        <f t="array" ref="Q35">IFERROR(VLOOKUP($A35&amp;"-"&amp;Q$21, CHOOSE({1,2}, 'S12 Operations'!$C$2:$C$533&amp;"-"&amp;'S12 Operations'!$E$2:$E$533, 'S12 Operations'!$D$2:$D$5334), 2, 0), "")</f>
        <v>40</v>
      </c>
      <c r="R35" s="211" t="str">
        <f t="array" ref="R35">IFERROR(VLOOKUP($A35&amp;"-"&amp;R$21, CHOOSE({1,2}, 'S12 Operations'!$C$2:$C$533&amp;"-"&amp;'S12 Operations'!$E$2:$E$533, 'S12 Operations'!$D$2:$D$5334), 2, 0), "")</f>
        <v/>
      </c>
      <c r="S35" s="211" t="str">
        <f t="array" ref="S35">IFERROR(VLOOKUP($A35&amp;"-"&amp;S$21, CHOOSE({1,2}, 'S12 Operations'!$C$2:$C$533&amp;"-"&amp;'S12 Operations'!$E$2:$E$533, 'S12 Operations'!$D$2:$D$5334), 2, 0), "")</f>
        <v/>
      </c>
      <c r="T35" s="211" t="str">
        <f t="array" ref="T35">IFERROR(VLOOKUP($A35&amp;"-"&amp;T$21, CHOOSE({1,2}, 'S12 Operations'!$C$2:$C$533&amp;"-"&amp;'S12 Operations'!$E$2:$E$533, 'S12 Operations'!$D$2:$D$5334), 2, 0), "")</f>
        <v/>
      </c>
      <c r="U35" s="211" t="str">
        <f t="array" ref="U35">IFERROR(VLOOKUP($A35&amp;"-"&amp;U$21, CHOOSE({1,2}, 'S12 Operations'!$C$2:$C$533&amp;"-"&amp;'S12 Operations'!$E$2:$E$533, 'S12 Operations'!$D$2:$D$5334), 2, 0), "")</f>
        <v/>
      </c>
      <c r="V35" s="211" t="str">
        <f t="array" ref="V35">IFERROR(VLOOKUP($A35&amp;"-"&amp;V$21, CHOOSE({1,2}, 'S12 Operations'!$C$2:$C$533&amp;"-"&amp;'S12 Operations'!$E$2:$E$533, 'S12 Operations'!$D$2:$D$5334), 2, 0), "")</f>
        <v/>
      </c>
      <c r="W35" s="211" t="str">
        <f t="array" ref="W35">IFERROR(VLOOKUP($A35&amp;"-"&amp;W$21, CHOOSE({1,2}, 'S12 Operations'!$C$2:$C$533&amp;"-"&amp;'S12 Operations'!$E$2:$E$533, 'S12 Operations'!$D$2:$D$5334), 2, 0), "")</f>
        <v/>
      </c>
      <c r="X35" s="211" t="str">
        <f t="array" ref="X35">IFERROR(VLOOKUP($A35&amp;"-"&amp;X$21, CHOOSE({1,2}, 'S12 Operations'!$C$2:$C$533&amp;"-"&amp;'S12 Operations'!$E$2:$E$533, 'S12 Operations'!$D$2:$D$5334), 2, 0), "")</f>
        <v/>
      </c>
      <c r="Y35" s="211">
        <f t="array" ref="Y35">IFERROR(VLOOKUP($A35&amp;"-"&amp;Y$21, CHOOSE({1,2}, 'S12 Operations'!$C$2:$C$533&amp;"-"&amp;'S12 Operations'!$E$2:$E$533, 'S12 Operations'!$D$2:$D$5334), 2, 0), "")</f>
        <v>50</v>
      </c>
      <c r="Z35" s="211" t="str">
        <f t="array" ref="Z35">IFERROR(VLOOKUP($A35&amp;"-"&amp;Z$21, CHOOSE({1,2}, 'S12 Operations'!$C$2:$C$533&amp;"-"&amp;'S12 Operations'!$E$2:$E$533, 'S12 Operations'!$D$2:$D$5334), 2, 0), "")</f>
        <v/>
      </c>
      <c r="AA35" s="211">
        <f t="array" ref="AA35">IFERROR(VLOOKUP($A35&amp;"-"&amp;AA$21, CHOOSE({1,2}, 'S12 Operations'!$C$2:$C$533&amp;"-"&amp;'S12 Operations'!$E$2:$E$533, 'S12 Operations'!$D$2:$D$5334), 2, 0), "")</f>
        <v>60</v>
      </c>
    </row>
    <row r="36" spans="1:27" ht="17" x14ac:dyDescent="0.2">
      <c r="A36" s="210" t="str">
        <f>'S08 ABC Output'!A17</f>
        <v>I-007</v>
      </c>
      <c r="B36" s="211">
        <f t="array" ref="B36">IFERROR(VLOOKUP($A36&amp;"-"&amp;B$21, CHOOSE({1,2}, 'S12 Operations'!$C$2:$C$533&amp;"-"&amp;'S12 Operations'!$E$2:$E$533, 'S12 Operations'!$D$2:$D$5334), 2, 0), "")</f>
        <v>10</v>
      </c>
      <c r="C36" s="211" t="str">
        <f t="array" ref="C36">IFERROR(VLOOKUP($A36&amp;"-"&amp;C$21, CHOOSE({1,2}, 'S12 Operations'!$C$2:$C$533&amp;"-"&amp;'S12 Operations'!$E$2:$E$533, 'S12 Operations'!$D$2:$D$5334), 2, 0), "")</f>
        <v/>
      </c>
      <c r="D36" s="211" t="str">
        <f t="array" ref="D36">IFERROR(VLOOKUP($A36&amp;"-"&amp;D$21, CHOOSE({1,2}, 'S12 Operations'!$C$2:$C$533&amp;"-"&amp;'S12 Operations'!$E$2:$E$533, 'S12 Operations'!$D$2:$D$5334), 2, 0), "")</f>
        <v/>
      </c>
      <c r="E36" s="211">
        <f t="array" ref="E36">IFERROR(VLOOKUP($A36&amp;"-"&amp;E$21, CHOOSE({1,2}, 'S12 Operations'!$C$2:$C$533&amp;"-"&amp;'S12 Operations'!$E$2:$E$533, 'S12 Operations'!$D$2:$D$5334), 2, 0), "")</f>
        <v>20</v>
      </c>
      <c r="F36" s="211">
        <f t="array" ref="F36">IFERROR(VLOOKUP($A36&amp;"-"&amp;F$21, CHOOSE({1,2}, 'S12 Operations'!$C$2:$C$533&amp;"-"&amp;'S12 Operations'!$E$2:$E$533, 'S12 Operations'!$D$2:$D$5334), 2, 0), "")</f>
        <v>30</v>
      </c>
      <c r="G36" s="211" t="str">
        <f t="array" ref="G36">IFERROR(VLOOKUP($A36&amp;"-"&amp;G$21, CHOOSE({1,2}, 'S12 Operations'!$C$2:$C$533&amp;"-"&amp;'S12 Operations'!$E$2:$E$533, 'S12 Operations'!$D$2:$D$5334), 2, 0), "")</f>
        <v/>
      </c>
      <c r="H36" s="211" t="str">
        <f t="array" ref="H36">IFERROR(VLOOKUP($A36&amp;"-"&amp;H$21, CHOOSE({1,2}, 'S12 Operations'!$C$2:$C$533&amp;"-"&amp;'S12 Operations'!$E$2:$E$533, 'S12 Operations'!$D$2:$D$5334), 2, 0), "")</f>
        <v/>
      </c>
      <c r="I36" s="211" t="str">
        <f t="array" ref="I36">IFERROR(VLOOKUP($A36&amp;"-"&amp;I$21, CHOOSE({1,2}, 'S12 Operations'!$C$2:$C$533&amp;"-"&amp;'S12 Operations'!$E$2:$E$533, 'S12 Operations'!$D$2:$D$5334), 2, 0), "")</f>
        <v/>
      </c>
      <c r="J36" s="211" t="str">
        <f t="array" ref="J36">IFERROR(VLOOKUP($A36&amp;"-"&amp;J$21, CHOOSE({1,2}, 'S12 Operations'!$C$2:$C$533&amp;"-"&amp;'S12 Operations'!$E$2:$E$533, 'S12 Operations'!$D$2:$D$5334), 2, 0), "")</f>
        <v/>
      </c>
      <c r="K36" s="211" t="str">
        <f t="array" ref="K36">IFERROR(VLOOKUP($A36&amp;"-"&amp;K$21, CHOOSE({1,2}, 'S12 Operations'!$C$2:$C$533&amp;"-"&amp;'S12 Operations'!$E$2:$E$533, 'S12 Operations'!$D$2:$D$5334), 2, 0), "")</f>
        <v/>
      </c>
      <c r="L36" s="211">
        <f t="array" ref="L36">IFERROR(VLOOKUP($A36&amp;"-"&amp;L$21, CHOOSE({1,2}, 'S12 Operations'!$C$2:$C$533&amp;"-"&amp;'S12 Operations'!$E$2:$E$533, 'S12 Operations'!$D$2:$D$5334), 2, 0), "")</f>
        <v>40</v>
      </c>
      <c r="M36" s="211" t="str">
        <f t="array" ref="M36">IFERROR(VLOOKUP($A36&amp;"-"&amp;M$21, CHOOSE({1,2}, 'S12 Operations'!$C$2:$C$533&amp;"-"&amp;'S12 Operations'!$E$2:$E$533, 'S12 Operations'!$D$2:$D$5334), 2, 0), "")</f>
        <v/>
      </c>
      <c r="N36" s="211" t="str">
        <f t="array" ref="N36">IFERROR(VLOOKUP($A36&amp;"-"&amp;N$21, CHOOSE({1,2}, 'S12 Operations'!$C$2:$C$533&amp;"-"&amp;'S12 Operations'!$E$2:$E$533, 'S12 Operations'!$D$2:$D$5334), 2, 0), "")</f>
        <v/>
      </c>
      <c r="O36" s="211" t="str">
        <f t="array" ref="O36">IFERROR(VLOOKUP($A36&amp;"-"&amp;O$21, CHOOSE({1,2}, 'S12 Operations'!$C$2:$C$533&amp;"-"&amp;'S12 Operations'!$E$2:$E$533, 'S12 Operations'!$D$2:$D$5334), 2, 0), "")</f>
        <v/>
      </c>
      <c r="P36" s="211">
        <f t="array" ref="P36">IFERROR(VLOOKUP($A36&amp;"-"&amp;P$21, CHOOSE({1,2}, 'S12 Operations'!$C$2:$C$533&amp;"-"&amp;'S12 Operations'!$E$2:$E$533, 'S12 Operations'!$D$2:$D$5334), 2, 0), "")</f>
        <v>50</v>
      </c>
      <c r="Q36" s="211" t="str">
        <f t="array" ref="Q36">IFERROR(VLOOKUP($A36&amp;"-"&amp;Q$21, CHOOSE({1,2}, 'S12 Operations'!$C$2:$C$533&amp;"-"&amp;'S12 Operations'!$E$2:$E$533, 'S12 Operations'!$D$2:$D$5334), 2, 0), "")</f>
        <v/>
      </c>
      <c r="R36" s="211" t="str">
        <f t="array" ref="R36">IFERROR(VLOOKUP($A36&amp;"-"&amp;R$21, CHOOSE({1,2}, 'S12 Operations'!$C$2:$C$533&amp;"-"&amp;'S12 Operations'!$E$2:$E$533, 'S12 Operations'!$D$2:$D$5334), 2, 0), "")</f>
        <v/>
      </c>
      <c r="S36" s="211" t="str">
        <f t="array" ref="S36">IFERROR(VLOOKUP($A36&amp;"-"&amp;S$21, CHOOSE({1,2}, 'S12 Operations'!$C$2:$C$533&amp;"-"&amp;'S12 Operations'!$E$2:$E$533, 'S12 Operations'!$D$2:$D$5334), 2, 0), "")</f>
        <v/>
      </c>
      <c r="T36" s="211" t="str">
        <f t="array" ref="T36">IFERROR(VLOOKUP($A36&amp;"-"&amp;T$21, CHOOSE({1,2}, 'S12 Operations'!$C$2:$C$533&amp;"-"&amp;'S12 Operations'!$E$2:$E$533, 'S12 Operations'!$D$2:$D$5334), 2, 0), "")</f>
        <v/>
      </c>
      <c r="U36" s="211" t="str">
        <f t="array" ref="U36">IFERROR(VLOOKUP($A36&amp;"-"&amp;U$21, CHOOSE({1,2}, 'S12 Operations'!$C$2:$C$533&amp;"-"&amp;'S12 Operations'!$E$2:$E$533, 'S12 Operations'!$D$2:$D$5334), 2, 0), "")</f>
        <v/>
      </c>
      <c r="V36" s="211">
        <f t="array" ref="V36">IFERROR(VLOOKUP($A36&amp;"-"&amp;V$21, CHOOSE({1,2}, 'S12 Operations'!$C$2:$C$533&amp;"-"&amp;'S12 Operations'!$E$2:$E$533, 'S12 Operations'!$D$2:$D$5334), 2, 0), "")</f>
        <v>60</v>
      </c>
      <c r="W36" s="211" t="str">
        <f t="array" ref="W36">IFERROR(VLOOKUP($A36&amp;"-"&amp;W$21, CHOOSE({1,2}, 'S12 Operations'!$C$2:$C$533&amp;"-"&amp;'S12 Operations'!$E$2:$E$533, 'S12 Operations'!$D$2:$D$5334), 2, 0), "")</f>
        <v/>
      </c>
      <c r="X36" s="211">
        <f t="array" ref="X36">IFERROR(VLOOKUP($A36&amp;"-"&amp;X$21, CHOOSE({1,2}, 'S12 Operations'!$C$2:$C$533&amp;"-"&amp;'S12 Operations'!$E$2:$E$533, 'S12 Operations'!$D$2:$D$5334), 2, 0), "")</f>
        <v>70</v>
      </c>
      <c r="Y36" s="211" t="str">
        <f t="array" ref="Y36">IFERROR(VLOOKUP($A36&amp;"-"&amp;Y$21, CHOOSE({1,2}, 'S12 Operations'!$C$2:$C$533&amp;"-"&amp;'S12 Operations'!$E$2:$E$533, 'S12 Operations'!$D$2:$D$5334), 2, 0), "")</f>
        <v/>
      </c>
      <c r="Z36" s="211" t="str">
        <f t="array" ref="Z36">IFERROR(VLOOKUP($A36&amp;"-"&amp;Z$21, CHOOSE({1,2}, 'S12 Operations'!$C$2:$C$533&amp;"-"&amp;'S12 Operations'!$E$2:$E$533, 'S12 Operations'!$D$2:$D$5334), 2, 0), "")</f>
        <v/>
      </c>
      <c r="AA36" s="211">
        <f t="array" ref="AA36">IFERROR(VLOOKUP($A36&amp;"-"&amp;AA$21, CHOOSE({1,2}, 'S12 Operations'!$C$2:$C$533&amp;"-"&amp;'S12 Operations'!$E$2:$E$533, 'S12 Operations'!$D$2:$D$5334), 2, 0), "")</f>
        <v>80</v>
      </c>
    </row>
    <row r="37" spans="1:27" ht="17" x14ac:dyDescent="0.2">
      <c r="A37" s="210" t="str">
        <f>'S08 ABC Output'!A18</f>
        <v>I-074</v>
      </c>
      <c r="B37" s="211">
        <f t="array" ref="B37">IFERROR(VLOOKUP($A37&amp;"-"&amp;B$21, CHOOSE({1,2}, 'S12 Operations'!$C$2:$C$533&amp;"-"&amp;'S12 Operations'!$E$2:$E$533, 'S12 Operations'!$D$2:$D$5334), 2, 0), "")</f>
        <v>10</v>
      </c>
      <c r="C37" s="211" t="str">
        <f t="array" ref="C37">IFERROR(VLOOKUP($A37&amp;"-"&amp;C$21, CHOOSE({1,2}, 'S12 Operations'!$C$2:$C$533&amp;"-"&amp;'S12 Operations'!$E$2:$E$533, 'S12 Operations'!$D$2:$D$5334), 2, 0), "")</f>
        <v/>
      </c>
      <c r="D37" s="211">
        <f t="array" ref="D37">IFERROR(VLOOKUP($A37&amp;"-"&amp;D$21, CHOOSE({1,2}, 'S12 Operations'!$C$2:$C$533&amp;"-"&amp;'S12 Operations'!$E$2:$E$533, 'S12 Operations'!$D$2:$D$5334), 2, 0), "")</f>
        <v>20</v>
      </c>
      <c r="E37" s="211" t="str">
        <f t="array" ref="E37">IFERROR(VLOOKUP($A37&amp;"-"&amp;E$21, CHOOSE({1,2}, 'S12 Operations'!$C$2:$C$533&amp;"-"&amp;'S12 Operations'!$E$2:$E$533, 'S12 Operations'!$D$2:$D$5334), 2, 0), "")</f>
        <v/>
      </c>
      <c r="F37" s="211" t="str">
        <f t="array" ref="F37">IFERROR(VLOOKUP($A37&amp;"-"&amp;F$21, CHOOSE({1,2}, 'S12 Operations'!$C$2:$C$533&amp;"-"&amp;'S12 Operations'!$E$2:$E$533, 'S12 Operations'!$D$2:$D$5334), 2, 0), "")</f>
        <v/>
      </c>
      <c r="G37" s="211" t="str">
        <f t="array" ref="G37">IFERROR(VLOOKUP($A37&amp;"-"&amp;G$21, CHOOSE({1,2}, 'S12 Operations'!$C$2:$C$533&amp;"-"&amp;'S12 Operations'!$E$2:$E$533, 'S12 Operations'!$D$2:$D$5334), 2, 0), "")</f>
        <v/>
      </c>
      <c r="H37" s="211">
        <f t="array" ref="H37">IFERROR(VLOOKUP($A37&amp;"-"&amp;H$21, CHOOSE({1,2}, 'S12 Operations'!$C$2:$C$533&amp;"-"&amp;'S12 Operations'!$E$2:$E$533, 'S12 Operations'!$D$2:$D$5334), 2, 0), "")</f>
        <v>30</v>
      </c>
      <c r="I37" s="211" t="str">
        <f t="array" ref="I37">IFERROR(VLOOKUP($A37&amp;"-"&amp;I$21, CHOOSE({1,2}, 'S12 Operations'!$C$2:$C$533&amp;"-"&amp;'S12 Operations'!$E$2:$E$533, 'S12 Operations'!$D$2:$D$5334), 2, 0), "")</f>
        <v/>
      </c>
      <c r="J37" s="211" t="str">
        <f t="array" ref="J37">IFERROR(VLOOKUP($A37&amp;"-"&amp;J$21, CHOOSE({1,2}, 'S12 Operations'!$C$2:$C$533&amp;"-"&amp;'S12 Operations'!$E$2:$E$533, 'S12 Operations'!$D$2:$D$5334), 2, 0), "")</f>
        <v/>
      </c>
      <c r="K37" s="211" t="str">
        <f t="array" ref="K37">IFERROR(VLOOKUP($A37&amp;"-"&amp;K$21, CHOOSE({1,2}, 'S12 Operations'!$C$2:$C$533&amp;"-"&amp;'S12 Operations'!$E$2:$E$533, 'S12 Operations'!$D$2:$D$5334), 2, 0), "")</f>
        <v/>
      </c>
      <c r="L37" s="211" t="str">
        <f t="array" ref="L37">IFERROR(VLOOKUP($A37&amp;"-"&amp;L$21, CHOOSE({1,2}, 'S12 Operations'!$C$2:$C$533&amp;"-"&amp;'S12 Operations'!$E$2:$E$533, 'S12 Operations'!$D$2:$D$5334), 2, 0), "")</f>
        <v/>
      </c>
      <c r="M37" s="211" t="str">
        <f t="array" ref="M37">IFERROR(VLOOKUP($A37&amp;"-"&amp;M$21, CHOOSE({1,2}, 'S12 Operations'!$C$2:$C$533&amp;"-"&amp;'S12 Operations'!$E$2:$E$533, 'S12 Operations'!$D$2:$D$5334), 2, 0), "")</f>
        <v/>
      </c>
      <c r="N37" s="211">
        <f t="array" ref="N37">IFERROR(VLOOKUP($A37&amp;"-"&amp;N$21, CHOOSE({1,2}, 'S12 Operations'!$C$2:$C$533&amp;"-"&amp;'S12 Operations'!$E$2:$E$533, 'S12 Operations'!$D$2:$D$5334), 2, 0), "")</f>
        <v>40</v>
      </c>
      <c r="O37" s="211" t="str">
        <f t="array" ref="O37">IFERROR(VLOOKUP($A37&amp;"-"&amp;O$21, CHOOSE({1,2}, 'S12 Operations'!$C$2:$C$533&amp;"-"&amp;'S12 Operations'!$E$2:$E$533, 'S12 Operations'!$D$2:$D$5334), 2, 0), "")</f>
        <v/>
      </c>
      <c r="P37" s="211" t="str">
        <f t="array" ref="P37">IFERROR(VLOOKUP($A37&amp;"-"&amp;P$21, CHOOSE({1,2}, 'S12 Operations'!$C$2:$C$533&amp;"-"&amp;'S12 Operations'!$E$2:$E$533, 'S12 Operations'!$D$2:$D$5334), 2, 0), "")</f>
        <v/>
      </c>
      <c r="Q37" s="211" t="str">
        <f t="array" ref="Q37">IFERROR(VLOOKUP($A37&amp;"-"&amp;Q$21, CHOOSE({1,2}, 'S12 Operations'!$C$2:$C$533&amp;"-"&amp;'S12 Operations'!$E$2:$E$533, 'S12 Operations'!$D$2:$D$5334), 2, 0), "")</f>
        <v/>
      </c>
      <c r="R37" s="211" t="str">
        <f t="array" ref="R37">IFERROR(VLOOKUP($A37&amp;"-"&amp;R$21, CHOOSE({1,2}, 'S12 Operations'!$C$2:$C$533&amp;"-"&amp;'S12 Operations'!$E$2:$E$533, 'S12 Operations'!$D$2:$D$5334), 2, 0), "")</f>
        <v/>
      </c>
      <c r="S37" s="211">
        <f t="array" ref="S37">IFERROR(VLOOKUP($A37&amp;"-"&amp;S$21, CHOOSE({1,2}, 'S12 Operations'!$C$2:$C$533&amp;"-"&amp;'S12 Operations'!$E$2:$E$533, 'S12 Operations'!$D$2:$D$5334), 2, 0), "")</f>
        <v>50</v>
      </c>
      <c r="T37" s="211" t="str">
        <f t="array" ref="T37">IFERROR(VLOOKUP($A37&amp;"-"&amp;T$21, CHOOSE({1,2}, 'S12 Operations'!$C$2:$C$533&amp;"-"&amp;'S12 Operations'!$E$2:$E$533, 'S12 Operations'!$D$2:$D$5334), 2, 0), "")</f>
        <v/>
      </c>
      <c r="U37" s="211">
        <f t="array" ref="U37">IFERROR(VLOOKUP($A37&amp;"-"&amp;U$21, CHOOSE({1,2}, 'S12 Operations'!$C$2:$C$533&amp;"-"&amp;'S12 Operations'!$E$2:$E$533, 'S12 Operations'!$D$2:$D$5334), 2, 0), "")</f>
        <v>60</v>
      </c>
      <c r="V37" s="211" t="str">
        <f t="array" ref="V37">IFERROR(VLOOKUP($A37&amp;"-"&amp;V$21, CHOOSE({1,2}, 'S12 Operations'!$C$2:$C$533&amp;"-"&amp;'S12 Operations'!$E$2:$E$533, 'S12 Operations'!$D$2:$D$5334), 2, 0), "")</f>
        <v/>
      </c>
      <c r="W37" s="211">
        <f t="array" ref="W37">IFERROR(VLOOKUP($A37&amp;"-"&amp;W$21, CHOOSE({1,2}, 'S12 Operations'!$C$2:$C$533&amp;"-"&amp;'S12 Operations'!$E$2:$E$533, 'S12 Operations'!$D$2:$D$5334), 2, 0), "")</f>
        <v>70</v>
      </c>
      <c r="X37" s="211" t="str">
        <f t="array" ref="X37">IFERROR(VLOOKUP($A37&amp;"-"&amp;X$21, CHOOSE({1,2}, 'S12 Operations'!$C$2:$C$533&amp;"-"&amp;'S12 Operations'!$E$2:$E$533, 'S12 Operations'!$D$2:$D$5334), 2, 0), "")</f>
        <v/>
      </c>
      <c r="Y37" s="211" t="str">
        <f t="array" ref="Y37">IFERROR(VLOOKUP($A37&amp;"-"&amp;Y$21, CHOOSE({1,2}, 'S12 Operations'!$C$2:$C$533&amp;"-"&amp;'S12 Operations'!$E$2:$E$533, 'S12 Operations'!$D$2:$D$5334), 2, 0), "")</f>
        <v/>
      </c>
      <c r="Z37" s="211" t="str">
        <f t="array" ref="Z37">IFERROR(VLOOKUP($A37&amp;"-"&amp;Z$21, CHOOSE({1,2}, 'S12 Operations'!$C$2:$C$533&amp;"-"&amp;'S12 Operations'!$E$2:$E$533, 'S12 Operations'!$D$2:$D$5334), 2, 0), "")</f>
        <v/>
      </c>
      <c r="AA37" s="211">
        <f t="array" ref="AA37">IFERROR(VLOOKUP($A37&amp;"-"&amp;AA$21, CHOOSE({1,2}, 'S12 Operations'!$C$2:$C$533&amp;"-"&amp;'S12 Operations'!$E$2:$E$533, 'S12 Operations'!$D$2:$D$5334), 2, 0), "")</f>
        <v>80</v>
      </c>
    </row>
  </sheetData>
  <mergeCells count="12">
    <mergeCell ref="W20:Y20"/>
    <mergeCell ref="C20:E20"/>
    <mergeCell ref="F20:H20"/>
    <mergeCell ref="I20:P20"/>
    <mergeCell ref="Q20:T20"/>
    <mergeCell ref="U20:V20"/>
    <mergeCell ref="W1:Y1"/>
    <mergeCell ref="C1:E1"/>
    <mergeCell ref="F1:H1"/>
    <mergeCell ref="I1:P1"/>
    <mergeCell ref="Q1:T1"/>
    <mergeCell ref="U1:V1"/>
  </mergeCells>
  <pageMargins left="0.7" right="0.7" top="0.75" bottom="0.75" header="0.3" footer="0.3"/>
  <pageSetup orientation="portrait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649" r:id="rId4" name="Button 1">
              <controlPr defaultSize="0" print="0" autoFill="0" autoPict="0" macro="[0]!Sheet14.Sorting_Matrix">
                <anchor moveWithCells="1" sizeWithCells="1">
                  <from>
                    <xdr:col>27</xdr:col>
                    <xdr:colOff>254000</xdr:colOff>
                    <xdr:row>1</xdr:row>
                    <xdr:rowOff>12700</xdr:rowOff>
                  </from>
                  <to>
                    <xdr:col>28</xdr:col>
                    <xdr:colOff>431800</xdr:colOff>
                    <xdr:row>2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3E1E67-70C1-6C42-87C5-E10AD16D2C4C}">
  <sheetPr codeName="Sheet15"/>
  <dimension ref="A1:I18"/>
  <sheetViews>
    <sheetView zoomScale="150" workbookViewId="0">
      <selection activeCell="B3" sqref="B3"/>
    </sheetView>
  </sheetViews>
  <sheetFormatPr baseColWidth="10" defaultColWidth="11" defaultRowHeight="16" x14ac:dyDescent="0.2"/>
  <cols>
    <col min="1" max="1" width="10.83203125" style="66"/>
  </cols>
  <sheetData>
    <row r="1" spans="1:9" s="67" customFormat="1" ht="17" thickBot="1" x14ac:dyDescent="0.25">
      <c r="B1" s="329" t="s">
        <v>565</v>
      </c>
      <c r="C1" s="330"/>
      <c r="D1" s="330"/>
      <c r="E1" s="330"/>
      <c r="F1" s="330"/>
      <c r="G1" s="330"/>
      <c r="H1" s="330"/>
      <c r="I1" s="331"/>
    </row>
    <row r="2" spans="1:9" s="67" customFormat="1" ht="18" thickBot="1" x14ac:dyDescent="0.25">
      <c r="A2" s="53" t="s">
        <v>170</v>
      </c>
      <c r="B2" s="54">
        <v>10</v>
      </c>
      <c r="C2" s="55">
        <v>20</v>
      </c>
      <c r="D2" s="55">
        <v>30</v>
      </c>
      <c r="E2" s="55">
        <v>40</v>
      </c>
      <c r="F2" s="55">
        <v>50</v>
      </c>
      <c r="G2" s="55">
        <v>60</v>
      </c>
      <c r="H2" s="55">
        <v>70</v>
      </c>
      <c r="I2" s="56">
        <v>80</v>
      </c>
    </row>
    <row r="3" spans="1:9" s="44" customFormat="1" ht="17" x14ac:dyDescent="0.2">
      <c r="A3" s="57" t="str">
        <f>'S14 Clustering'!A3</f>
        <v>I-004</v>
      </c>
      <c r="B3" s="58" t="str">
        <f>IFERROR(VLOOKUP($A3&amp;"-"&amp;B$2, 'S12 Operations'!$B$2:$E$533, 4, 0), "")</f>
        <v>WS-43</v>
      </c>
      <c r="C3" s="58" t="str">
        <f>IFERROR(VLOOKUP($A3&amp;"-"&amp;C$2, 'S12 Operations'!$B$2:$E$533, 4, 0), "")</f>
        <v>WS-36</v>
      </c>
      <c r="D3" s="58" t="str">
        <f>IFERROR(VLOOKUP($A3&amp;"-"&amp;D$2, 'S12 Operations'!$B$2:$E$533, 4, 0), "")</f>
        <v>WS-05</v>
      </c>
      <c r="E3" s="58" t="str">
        <f>IFERROR(VLOOKUP($A3&amp;"-"&amp;E$2, 'S12 Operations'!$B$2:$E$533, 4, 0), "")</f>
        <v>WS-25</v>
      </c>
      <c r="F3" s="58" t="str">
        <f>IFERROR(VLOOKUP($A3&amp;"-"&amp;F$2, 'S12 Operations'!$B$2:$E$533, 4, 0), "")</f>
        <v>WS-34</v>
      </c>
      <c r="G3" s="58" t="str">
        <f>IFERROR(VLOOKUP($A3&amp;"-"&amp;G$2, 'S12 Operations'!$B$2:$E$533, 4, 0), "")</f>
        <v>WS-44</v>
      </c>
      <c r="H3" s="58" t="str">
        <f>IFERROR(VLOOKUP($A3&amp;"-"&amp;H$2, 'S12 Operations'!$B$2:$E$533, 4, 0), "")</f>
        <v/>
      </c>
      <c r="I3" s="58" t="str">
        <f>IFERROR(VLOOKUP($A3&amp;"-"&amp;I$2, 'S12 Operations'!$B$2:$E$533, 4, 0), "")</f>
        <v/>
      </c>
    </row>
    <row r="4" spans="1:9" s="44" customFormat="1" ht="17" x14ac:dyDescent="0.2">
      <c r="A4" s="57" t="str">
        <f>'S14 Clustering'!A4</f>
        <v>I-066</v>
      </c>
      <c r="B4" s="58" t="str">
        <f>IFERROR(VLOOKUP($A4&amp;"-"&amp;B$2, 'S12 Operations'!$B$2:$E$533, 4, 0), "")</f>
        <v>WS-43</v>
      </c>
      <c r="C4" s="58" t="str">
        <f>IFERROR(VLOOKUP($A4&amp;"-"&amp;C$2, 'S12 Operations'!$B$2:$E$533, 4, 0), "")</f>
        <v>WS-36</v>
      </c>
      <c r="D4" s="58" t="str">
        <f>IFERROR(VLOOKUP($A4&amp;"-"&amp;D$2, 'S12 Operations'!$B$2:$E$533, 4, 0), "")</f>
        <v>WS-05</v>
      </c>
      <c r="E4" s="58" t="str">
        <f>IFERROR(VLOOKUP($A4&amp;"-"&amp;E$2, 'S12 Operations'!$B$2:$E$533, 4, 0), "")</f>
        <v>WS-25</v>
      </c>
      <c r="F4" s="58" t="str">
        <f>IFERROR(VLOOKUP($A4&amp;"-"&amp;F$2, 'S12 Operations'!$B$2:$E$533, 4, 0), "")</f>
        <v>WS-34</v>
      </c>
      <c r="G4" s="58" t="str">
        <f>IFERROR(VLOOKUP($A4&amp;"-"&amp;G$2, 'S12 Operations'!$B$2:$E$533, 4, 0), "")</f>
        <v>WS-44</v>
      </c>
      <c r="H4" s="58" t="str">
        <f>IFERROR(VLOOKUP($A4&amp;"-"&amp;H$2, 'S12 Operations'!$B$2:$E$533, 4, 0), "")</f>
        <v/>
      </c>
      <c r="I4" s="58" t="str">
        <f>IFERROR(VLOOKUP($A4&amp;"-"&amp;I$2, 'S12 Operations'!$B$2:$E$533, 4, 0), "")</f>
        <v/>
      </c>
    </row>
    <row r="5" spans="1:9" s="44" customFormat="1" ht="17" x14ac:dyDescent="0.2">
      <c r="A5" s="57" t="str">
        <f>'S14 Clustering'!A5</f>
        <v>I-068</v>
      </c>
      <c r="B5" s="58" t="str">
        <f>IFERROR(VLOOKUP($A5&amp;"-"&amp;B$2, 'S12 Operations'!$B$2:$E$533, 4, 0), "")</f>
        <v>WS-43</v>
      </c>
      <c r="C5" s="58" t="str">
        <f>IFERROR(VLOOKUP($A5&amp;"-"&amp;C$2, 'S12 Operations'!$B$2:$E$533, 4, 0), "")</f>
        <v>WS-36</v>
      </c>
      <c r="D5" s="58" t="str">
        <f>IFERROR(VLOOKUP($A5&amp;"-"&amp;D$2, 'S12 Operations'!$B$2:$E$533, 4, 0), "")</f>
        <v>WS-05</v>
      </c>
      <c r="E5" s="58" t="str">
        <f>IFERROR(VLOOKUP($A5&amp;"-"&amp;E$2, 'S12 Operations'!$B$2:$E$533, 4, 0), "")</f>
        <v>WS-25</v>
      </c>
      <c r="F5" s="58" t="str">
        <f>IFERROR(VLOOKUP($A5&amp;"-"&amp;F$2, 'S12 Operations'!$B$2:$E$533, 4, 0), "")</f>
        <v>WS-34</v>
      </c>
      <c r="G5" s="58" t="str">
        <f>IFERROR(VLOOKUP($A5&amp;"-"&amp;G$2, 'S12 Operations'!$B$2:$E$533, 4, 0), "")</f>
        <v>WS-44</v>
      </c>
      <c r="H5" s="58" t="str">
        <f>IFERROR(VLOOKUP($A5&amp;"-"&amp;H$2, 'S12 Operations'!$B$2:$E$533, 4, 0), "")</f>
        <v/>
      </c>
      <c r="I5" s="58" t="str">
        <f>IFERROR(VLOOKUP($A5&amp;"-"&amp;I$2, 'S12 Operations'!$B$2:$E$533, 4, 0), "")</f>
        <v/>
      </c>
    </row>
    <row r="6" spans="1:9" s="44" customFormat="1" ht="17" x14ac:dyDescent="0.2">
      <c r="A6" s="57" t="str">
        <f>'S14 Clustering'!A6</f>
        <v>I-069</v>
      </c>
      <c r="B6" s="58" t="str">
        <f>IFERROR(VLOOKUP($A6&amp;"-"&amp;B$2, 'S12 Operations'!$B$2:$E$533, 4, 0), "")</f>
        <v>WS-43</v>
      </c>
      <c r="C6" s="58" t="str">
        <f>IFERROR(VLOOKUP($A6&amp;"-"&amp;C$2, 'S12 Operations'!$B$2:$E$533, 4, 0), "")</f>
        <v>WS-36</v>
      </c>
      <c r="D6" s="58" t="str">
        <f>IFERROR(VLOOKUP($A6&amp;"-"&amp;D$2, 'S12 Operations'!$B$2:$E$533, 4, 0), "")</f>
        <v>WS-05</v>
      </c>
      <c r="E6" s="58" t="str">
        <f>IFERROR(VLOOKUP($A6&amp;"-"&amp;E$2, 'S12 Operations'!$B$2:$E$533, 4, 0), "")</f>
        <v>WS-25</v>
      </c>
      <c r="F6" s="58" t="str">
        <f>IFERROR(VLOOKUP($A6&amp;"-"&amp;F$2, 'S12 Operations'!$B$2:$E$533, 4, 0), "")</f>
        <v>WS-34</v>
      </c>
      <c r="G6" s="58" t="str">
        <f>IFERROR(VLOOKUP($A6&amp;"-"&amp;G$2, 'S12 Operations'!$B$2:$E$533, 4, 0), "")</f>
        <v>WS-44</v>
      </c>
      <c r="H6" s="58" t="str">
        <f>IFERROR(VLOOKUP($A6&amp;"-"&amp;H$2, 'S12 Operations'!$B$2:$E$533, 4, 0), "")</f>
        <v/>
      </c>
      <c r="I6" s="58" t="str">
        <f>IFERROR(VLOOKUP($A6&amp;"-"&amp;I$2, 'S12 Operations'!$B$2:$E$533, 4, 0), "")</f>
        <v/>
      </c>
    </row>
    <row r="7" spans="1:9" s="44" customFormat="1" ht="17" x14ac:dyDescent="0.2">
      <c r="A7" s="57" t="str">
        <f>'S14 Clustering'!A7</f>
        <v>I-070</v>
      </c>
      <c r="B7" s="58" t="str">
        <f>IFERROR(VLOOKUP($A7&amp;"-"&amp;B$2, 'S12 Operations'!$B$2:$E$533, 4, 0), "")</f>
        <v>WS-43</v>
      </c>
      <c r="C7" s="58" t="str">
        <f>IFERROR(VLOOKUP($A7&amp;"-"&amp;C$2, 'S12 Operations'!$B$2:$E$533, 4, 0), "")</f>
        <v>WS-36</v>
      </c>
      <c r="D7" s="58" t="str">
        <f>IFERROR(VLOOKUP($A7&amp;"-"&amp;D$2, 'S12 Operations'!$B$2:$E$533, 4, 0), "")</f>
        <v>WS-05</v>
      </c>
      <c r="E7" s="58" t="str">
        <f>IFERROR(VLOOKUP($A7&amp;"-"&amp;E$2, 'S12 Operations'!$B$2:$E$533, 4, 0), "")</f>
        <v>WS-25</v>
      </c>
      <c r="F7" s="58" t="str">
        <f>IFERROR(VLOOKUP($A7&amp;"-"&amp;F$2, 'S12 Operations'!$B$2:$E$533, 4, 0), "")</f>
        <v>WS-34</v>
      </c>
      <c r="G7" s="58" t="str">
        <f>IFERROR(VLOOKUP($A7&amp;"-"&amp;G$2, 'S12 Operations'!$B$2:$E$533, 4, 0), "")</f>
        <v>WS-44</v>
      </c>
      <c r="H7" s="58" t="str">
        <f>IFERROR(VLOOKUP($A7&amp;"-"&amp;H$2, 'S12 Operations'!$B$2:$E$533, 4, 0), "")</f>
        <v/>
      </c>
      <c r="I7" s="58" t="str">
        <f>IFERROR(VLOOKUP($A7&amp;"-"&amp;I$2, 'S12 Operations'!$B$2:$E$533, 4, 0), "")</f>
        <v/>
      </c>
    </row>
    <row r="8" spans="1:9" s="44" customFormat="1" ht="17" x14ac:dyDescent="0.2">
      <c r="A8" s="57" t="str">
        <f>'S14 Clustering'!A8</f>
        <v>I-071</v>
      </c>
      <c r="B8" s="58" t="str">
        <f>IFERROR(VLOOKUP($A8&amp;"-"&amp;B$2, 'S12 Operations'!$B$2:$E$533, 4, 0), "")</f>
        <v>WS-43</v>
      </c>
      <c r="C8" s="58" t="str">
        <f>IFERROR(VLOOKUP($A8&amp;"-"&amp;C$2, 'S12 Operations'!$B$2:$E$533, 4, 0), "")</f>
        <v>WS-36</v>
      </c>
      <c r="D8" s="58" t="str">
        <f>IFERROR(VLOOKUP($A8&amp;"-"&amp;D$2, 'S12 Operations'!$B$2:$E$533, 4, 0), "")</f>
        <v>WS-05</v>
      </c>
      <c r="E8" s="58" t="str">
        <f>IFERROR(VLOOKUP($A8&amp;"-"&amp;E$2, 'S12 Operations'!$B$2:$E$533, 4, 0), "")</f>
        <v>WS-25</v>
      </c>
      <c r="F8" s="58" t="str">
        <f>IFERROR(VLOOKUP($A8&amp;"-"&amp;F$2, 'S12 Operations'!$B$2:$E$533, 4, 0), "")</f>
        <v>WS-34</v>
      </c>
      <c r="G8" s="58" t="str">
        <f>IFERROR(VLOOKUP($A8&amp;"-"&amp;G$2, 'S12 Operations'!$B$2:$E$533, 4, 0), "")</f>
        <v>WS-44</v>
      </c>
      <c r="H8" s="58" t="str">
        <f>IFERROR(VLOOKUP($A8&amp;"-"&amp;H$2, 'S12 Operations'!$B$2:$E$533, 4, 0), "")</f>
        <v/>
      </c>
      <c r="I8" s="58" t="str">
        <f>IFERROR(VLOOKUP($A8&amp;"-"&amp;I$2, 'S12 Operations'!$B$2:$E$533, 4, 0), "")</f>
        <v/>
      </c>
    </row>
    <row r="9" spans="1:9" s="44" customFormat="1" ht="17" x14ac:dyDescent="0.2">
      <c r="A9" s="57" t="str">
        <f>'S14 Clustering'!A9</f>
        <v>I-037</v>
      </c>
      <c r="B9" s="58" t="str">
        <f>IFERROR(VLOOKUP($A9&amp;"-"&amp;B$2, 'S12 Operations'!$B$2:$E$533, 4, 0), "")</f>
        <v>WS-43</v>
      </c>
      <c r="C9" s="58" t="str">
        <f>IFERROR(VLOOKUP($A9&amp;"-"&amp;C$2, 'S12 Operations'!$B$2:$E$533, 4, 0), "")</f>
        <v>WS-38</v>
      </c>
      <c r="D9" s="58" t="str">
        <f>IFERROR(VLOOKUP($A9&amp;"-"&amp;D$2, 'S12 Operations'!$B$2:$E$533, 4, 0), "")</f>
        <v>WS-07</v>
      </c>
      <c r="E9" s="58" t="str">
        <f>IFERROR(VLOOKUP($A9&amp;"-"&amp;E$2, 'S12 Operations'!$B$2:$E$533, 4, 0), "")</f>
        <v>WS-21</v>
      </c>
      <c r="F9" s="58" t="str">
        <f>IFERROR(VLOOKUP($A9&amp;"-"&amp;F$2, 'S12 Operations'!$B$2:$E$533, 4, 0), "")</f>
        <v>WS-28</v>
      </c>
      <c r="G9" s="58" t="str">
        <f>IFERROR(VLOOKUP($A9&amp;"-"&amp;G$2, 'S12 Operations'!$B$2:$E$533, 4, 0), "")</f>
        <v>WS-27</v>
      </c>
      <c r="H9" s="58" t="str">
        <f>IFERROR(VLOOKUP($A9&amp;"-"&amp;H$2, 'S12 Operations'!$B$2:$E$533, 4, 0), "")</f>
        <v>WS-32</v>
      </c>
      <c r="I9" s="58" t="str">
        <f>IFERROR(VLOOKUP($A9&amp;"-"&amp;I$2, 'S12 Operations'!$B$2:$E$533, 4, 0), "")</f>
        <v>WS-44</v>
      </c>
    </row>
    <row r="10" spans="1:9" s="44" customFormat="1" ht="17" x14ac:dyDescent="0.2">
      <c r="A10" s="57" t="str">
        <f>'S14 Clustering'!A10</f>
        <v>I-073</v>
      </c>
      <c r="B10" s="58" t="str">
        <f>IFERROR(VLOOKUP($A10&amp;"-"&amp;B$2, 'S12 Operations'!$B$2:$E$533, 4, 0), "")</f>
        <v>WS-43</v>
      </c>
      <c r="C10" s="58" t="str">
        <f>IFERROR(VLOOKUP($A10&amp;"-"&amp;C$2, 'S12 Operations'!$B$2:$E$533, 4, 0), "")</f>
        <v>WS-38</v>
      </c>
      <c r="D10" s="58" t="str">
        <f>IFERROR(VLOOKUP($A10&amp;"-"&amp;D$2, 'S12 Operations'!$B$2:$E$533, 4, 0), "")</f>
        <v>WS-07</v>
      </c>
      <c r="E10" s="58" t="str">
        <f>IFERROR(VLOOKUP($A10&amp;"-"&amp;E$2, 'S12 Operations'!$B$2:$E$533, 4, 0), "")</f>
        <v>WS-21</v>
      </c>
      <c r="F10" s="58" t="str">
        <f>IFERROR(VLOOKUP($A10&amp;"-"&amp;F$2, 'S12 Operations'!$B$2:$E$533, 4, 0), "")</f>
        <v>WS-28</v>
      </c>
      <c r="G10" s="58" t="str">
        <f>IFERROR(VLOOKUP($A10&amp;"-"&amp;G$2, 'S12 Operations'!$B$2:$E$533, 4, 0), "")</f>
        <v>WS-27</v>
      </c>
      <c r="H10" s="58" t="str">
        <f>IFERROR(VLOOKUP($A10&amp;"-"&amp;H$2, 'S12 Operations'!$B$2:$E$533, 4, 0), "")</f>
        <v>WS-32</v>
      </c>
      <c r="I10" s="58" t="str">
        <f>IFERROR(VLOOKUP($A10&amp;"-"&amp;I$2, 'S12 Operations'!$B$2:$E$533, 4, 0), "")</f>
        <v>WS-44</v>
      </c>
    </row>
    <row r="11" spans="1:9" s="44" customFormat="1" ht="17" x14ac:dyDescent="0.2">
      <c r="A11" s="57" t="str">
        <f>'S14 Clustering'!A11</f>
        <v>I-074</v>
      </c>
      <c r="B11" s="58" t="str">
        <f>IFERROR(VLOOKUP($A11&amp;"-"&amp;B$2, 'S12 Operations'!$B$2:$E$533, 4, 0), "")</f>
        <v>WS-43</v>
      </c>
      <c r="C11" s="58" t="str">
        <f>IFERROR(VLOOKUP($A11&amp;"-"&amp;C$2, 'S12 Operations'!$B$2:$E$533, 4, 0), "")</f>
        <v>WS-38</v>
      </c>
      <c r="D11" s="58" t="str">
        <f>IFERROR(VLOOKUP($A11&amp;"-"&amp;D$2, 'S12 Operations'!$B$2:$E$533, 4, 0), "")</f>
        <v>WS-07</v>
      </c>
      <c r="E11" s="58" t="str">
        <f>IFERROR(VLOOKUP($A11&amp;"-"&amp;E$2, 'S12 Operations'!$B$2:$E$533, 4, 0), "")</f>
        <v>WS-21</v>
      </c>
      <c r="F11" s="58" t="str">
        <f>IFERROR(VLOOKUP($A11&amp;"-"&amp;F$2, 'S12 Operations'!$B$2:$E$533, 4, 0), "")</f>
        <v>WS-28</v>
      </c>
      <c r="G11" s="58" t="str">
        <f>IFERROR(VLOOKUP($A11&amp;"-"&amp;G$2, 'S12 Operations'!$B$2:$E$533, 4, 0), "")</f>
        <v>WS-27</v>
      </c>
      <c r="H11" s="58" t="str">
        <f>IFERROR(VLOOKUP($A11&amp;"-"&amp;H$2, 'S12 Operations'!$B$2:$E$533, 4, 0), "")</f>
        <v>WS-32</v>
      </c>
      <c r="I11" s="58" t="str">
        <f>IFERROR(VLOOKUP($A11&amp;"-"&amp;I$2, 'S12 Operations'!$B$2:$E$533, 4, 0), "")</f>
        <v>WS-44</v>
      </c>
    </row>
    <row r="12" spans="1:9" s="44" customFormat="1" ht="17" x14ac:dyDescent="0.2">
      <c r="A12" s="57" t="str">
        <f>'S14 Clustering'!A12</f>
        <v>I-006</v>
      </c>
      <c r="B12" s="58" t="str">
        <f>IFERROR(VLOOKUP($A12&amp;"-"&amp;B$2, 'S12 Operations'!$B$2:$E$533, 4, 0), "")</f>
        <v>WS-43</v>
      </c>
      <c r="C12" s="58" t="str">
        <f>IFERROR(VLOOKUP($A12&amp;"-"&amp;C$2, 'S12 Operations'!$B$2:$E$533, 4, 0), "")</f>
        <v>WS-40</v>
      </c>
      <c r="D12" s="58" t="str">
        <f>IFERROR(VLOOKUP($A12&amp;"-"&amp;D$2, 'S12 Operations'!$B$2:$E$533, 4, 0), "")</f>
        <v>WS-02</v>
      </c>
      <c r="E12" s="58" t="str">
        <f>IFERROR(VLOOKUP($A12&amp;"-"&amp;E$2, 'S12 Operations'!$B$2:$E$533, 4, 0), "")</f>
        <v>WS-18</v>
      </c>
      <c r="F12" s="58" t="str">
        <f>IFERROR(VLOOKUP($A12&amp;"-"&amp;F$2, 'S12 Operations'!$B$2:$E$533, 4, 0), "")</f>
        <v>WS-24</v>
      </c>
      <c r="G12" s="58" t="str">
        <f>IFERROR(VLOOKUP($A12&amp;"-"&amp;G$2, 'S12 Operations'!$B$2:$E$533, 4, 0), "")</f>
        <v>WS-29</v>
      </c>
      <c r="H12" s="58" t="str">
        <f>IFERROR(VLOOKUP($A12&amp;"-"&amp;H$2, 'S12 Operations'!$B$2:$E$533, 4, 0), "")</f>
        <v>WS-33</v>
      </c>
      <c r="I12" s="58" t="str">
        <f>IFERROR(VLOOKUP($A12&amp;"-"&amp;I$2, 'S12 Operations'!$B$2:$E$533, 4, 0), "")</f>
        <v>WS-44</v>
      </c>
    </row>
    <row r="13" spans="1:9" s="44" customFormat="1" ht="17" x14ac:dyDescent="0.2">
      <c r="A13" s="57" t="str">
        <f>'S14 Clustering'!A13</f>
        <v>I-007</v>
      </c>
      <c r="B13" s="58" t="str">
        <f>IFERROR(VLOOKUP($A13&amp;"-"&amp;B$2, 'S12 Operations'!$B$2:$E$533, 4, 0), "")</f>
        <v>WS-43</v>
      </c>
      <c r="C13" s="58" t="str">
        <f>IFERROR(VLOOKUP($A13&amp;"-"&amp;C$2, 'S12 Operations'!$B$2:$E$533, 4, 0), "")</f>
        <v>WS-40</v>
      </c>
      <c r="D13" s="58" t="str">
        <f>IFERROR(VLOOKUP($A13&amp;"-"&amp;D$2, 'S12 Operations'!$B$2:$E$533, 4, 0), "")</f>
        <v>WS-02</v>
      </c>
      <c r="E13" s="58" t="str">
        <f>IFERROR(VLOOKUP($A13&amp;"-"&amp;E$2, 'S12 Operations'!$B$2:$E$533, 4, 0), "")</f>
        <v>WS-18</v>
      </c>
      <c r="F13" s="58" t="str">
        <f>IFERROR(VLOOKUP($A13&amp;"-"&amp;F$2, 'S12 Operations'!$B$2:$E$533, 4, 0), "")</f>
        <v>WS-24</v>
      </c>
      <c r="G13" s="58" t="str">
        <f>IFERROR(VLOOKUP($A13&amp;"-"&amp;G$2, 'S12 Operations'!$B$2:$E$533, 4, 0), "")</f>
        <v>WS-29</v>
      </c>
      <c r="H13" s="58" t="str">
        <f>IFERROR(VLOOKUP($A13&amp;"-"&amp;H$2, 'S12 Operations'!$B$2:$E$533, 4, 0), "")</f>
        <v>WS-33</v>
      </c>
      <c r="I13" s="58" t="str">
        <f>IFERROR(VLOOKUP($A13&amp;"-"&amp;I$2, 'S12 Operations'!$B$2:$E$533, 4, 0), "")</f>
        <v>WS-44</v>
      </c>
    </row>
    <row r="14" spans="1:9" s="44" customFormat="1" ht="17" x14ac:dyDescent="0.2">
      <c r="A14" s="57" t="str">
        <f>'S14 Clustering'!A14</f>
        <v>I-010</v>
      </c>
      <c r="B14" s="58" t="str">
        <f>IFERROR(VLOOKUP($A14&amp;"-"&amp;B$2, 'S12 Operations'!$B$2:$E$533, 4, 0), "")</f>
        <v>WS-43</v>
      </c>
      <c r="C14" s="58" t="str">
        <f>IFERROR(VLOOKUP($A14&amp;"-"&amp;C$2, 'S12 Operations'!$B$2:$E$533, 4, 0), "")</f>
        <v>WS-40</v>
      </c>
      <c r="D14" s="58" t="str">
        <f>IFERROR(VLOOKUP($A14&amp;"-"&amp;D$2, 'S12 Operations'!$B$2:$E$533, 4, 0), "")</f>
        <v>WS-02</v>
      </c>
      <c r="E14" s="58" t="str">
        <f>IFERROR(VLOOKUP($A14&amp;"-"&amp;E$2, 'S12 Operations'!$B$2:$E$533, 4, 0), "")</f>
        <v>WS-18</v>
      </c>
      <c r="F14" s="58" t="str">
        <f>IFERROR(VLOOKUP($A14&amp;"-"&amp;F$2, 'S12 Operations'!$B$2:$E$533, 4, 0), "")</f>
        <v>WS-24</v>
      </c>
      <c r="G14" s="58" t="str">
        <f>IFERROR(VLOOKUP($A14&amp;"-"&amp;G$2, 'S12 Operations'!$B$2:$E$533, 4, 0), "")</f>
        <v>WS-29</v>
      </c>
      <c r="H14" s="58" t="str">
        <f>IFERROR(VLOOKUP($A14&amp;"-"&amp;H$2, 'S12 Operations'!$B$2:$E$533, 4, 0), "")</f>
        <v>WS-33</v>
      </c>
      <c r="I14" s="58" t="str">
        <f>IFERROR(VLOOKUP($A14&amp;"-"&amp;I$2, 'S12 Operations'!$B$2:$E$533, 4, 0), "")</f>
        <v>WS-44</v>
      </c>
    </row>
    <row r="15" spans="1:9" s="44" customFormat="1" ht="17" x14ac:dyDescent="0.2">
      <c r="A15" s="57" t="str">
        <f>'S14 Clustering'!A15</f>
        <v>I-012</v>
      </c>
      <c r="B15" s="58" t="str">
        <f>IFERROR(VLOOKUP($A15&amp;"-"&amp;B$2, 'S12 Operations'!$B$2:$E$533, 4, 0), "")</f>
        <v>WS-43</v>
      </c>
      <c r="C15" s="58" t="str">
        <f>IFERROR(VLOOKUP($A15&amp;"-"&amp;C$2, 'S12 Operations'!$B$2:$E$533, 4, 0), "")</f>
        <v>WS-40</v>
      </c>
      <c r="D15" s="58" t="str">
        <f>IFERROR(VLOOKUP($A15&amp;"-"&amp;D$2, 'S12 Operations'!$B$2:$E$533, 4, 0), "")</f>
        <v>WS-07</v>
      </c>
      <c r="E15" s="58" t="str">
        <f>IFERROR(VLOOKUP($A15&amp;"-"&amp;E$2, 'S12 Operations'!$B$2:$E$533, 4, 0), "")</f>
        <v>WS-08</v>
      </c>
      <c r="F15" s="58" t="str">
        <f>IFERROR(VLOOKUP($A15&amp;"-"&amp;F$2, 'S12 Operations'!$B$2:$E$533, 4, 0), "")</f>
        <v>WS-20</v>
      </c>
      <c r="G15" s="58" t="str">
        <f>IFERROR(VLOOKUP($A15&amp;"-"&amp;G$2, 'S12 Operations'!$B$2:$E$533, 4, 0), "")</f>
        <v>WS-26</v>
      </c>
      <c r="H15" s="58" t="str">
        <f>IFERROR(VLOOKUP($A15&amp;"-"&amp;H$2, 'S12 Operations'!$B$2:$E$533, 4, 0), "")</f>
        <v>WS-32</v>
      </c>
      <c r="I15" s="58" t="str">
        <f>IFERROR(VLOOKUP($A15&amp;"-"&amp;I$2, 'S12 Operations'!$B$2:$E$533, 4, 0), "")</f>
        <v>WS-44</v>
      </c>
    </row>
    <row r="16" spans="1:9" s="44" customFormat="1" ht="17" x14ac:dyDescent="0.2">
      <c r="A16" s="57" t="str">
        <f>'S14 Clustering'!A16</f>
        <v>I-052</v>
      </c>
      <c r="B16" s="58" t="str">
        <f>IFERROR(VLOOKUP($A16&amp;"-"&amp;B$2, 'S12 Operations'!$B$2:$E$533, 4, 0), "")</f>
        <v>WS-43</v>
      </c>
      <c r="C16" s="58" t="str">
        <f>IFERROR(VLOOKUP($A16&amp;"-"&amp;C$2, 'S12 Operations'!$B$2:$E$533, 4, 0), "")</f>
        <v>WS-40</v>
      </c>
      <c r="D16" s="58" t="str">
        <f>IFERROR(VLOOKUP($A16&amp;"-"&amp;D$2, 'S12 Operations'!$B$2:$E$533, 4, 0), "")</f>
        <v>WS-07</v>
      </c>
      <c r="E16" s="58" t="str">
        <f>IFERROR(VLOOKUP($A16&amp;"-"&amp;E$2, 'S12 Operations'!$B$2:$E$533, 4, 0), "")</f>
        <v>WS-08</v>
      </c>
      <c r="F16" s="58" t="str">
        <f>IFERROR(VLOOKUP($A16&amp;"-"&amp;F$2, 'S12 Operations'!$B$2:$E$533, 4, 0), "")</f>
        <v>WS-20</v>
      </c>
      <c r="G16" s="58" t="str">
        <f>IFERROR(VLOOKUP($A16&amp;"-"&amp;G$2, 'S12 Operations'!$B$2:$E$533, 4, 0), "")</f>
        <v>WS-26</v>
      </c>
      <c r="H16" s="58" t="str">
        <f>IFERROR(VLOOKUP($A16&amp;"-"&amp;H$2, 'S12 Operations'!$B$2:$E$533, 4, 0), "")</f>
        <v>WS-32</v>
      </c>
      <c r="I16" s="58" t="str">
        <f>IFERROR(VLOOKUP($A16&amp;"-"&amp;I$2, 'S12 Operations'!$B$2:$E$533, 4, 0), "")</f>
        <v>WS-44</v>
      </c>
    </row>
    <row r="17" spans="1:9" s="44" customFormat="1" ht="17" x14ac:dyDescent="0.2">
      <c r="A17" s="57" t="str">
        <f>'S14 Clustering'!A17</f>
        <v>I-053</v>
      </c>
      <c r="B17" s="58" t="str">
        <f>IFERROR(VLOOKUP($A17&amp;"-"&amp;B$2, 'S12 Operations'!$B$2:$E$533, 4, 0), "")</f>
        <v>WS-43</v>
      </c>
      <c r="C17" s="58" t="str">
        <f>IFERROR(VLOOKUP($A17&amp;"-"&amp;C$2, 'S12 Operations'!$B$2:$E$533, 4, 0), "")</f>
        <v>WS-40</v>
      </c>
      <c r="D17" s="58" t="str">
        <f>IFERROR(VLOOKUP($A17&amp;"-"&amp;D$2, 'S12 Operations'!$B$2:$E$533, 4, 0), "")</f>
        <v>WS-04</v>
      </c>
      <c r="E17" s="58" t="str">
        <f>IFERROR(VLOOKUP($A17&amp;"-"&amp;E$2, 'S12 Operations'!$B$2:$E$533, 4, 0), "")</f>
        <v>WS-03</v>
      </c>
      <c r="F17" s="58" t="str">
        <f>IFERROR(VLOOKUP($A17&amp;"-"&amp;F$2, 'S12 Operations'!$B$2:$E$533, 4, 0), "")</f>
        <v>WS-23</v>
      </c>
      <c r="G17" s="58" t="str">
        <f>IFERROR(VLOOKUP($A17&amp;"-"&amp;G$2, 'S12 Operations'!$B$2:$E$533, 4, 0), "")</f>
        <v>WS-31</v>
      </c>
      <c r="H17" s="58" t="str">
        <f>IFERROR(VLOOKUP($A17&amp;"-"&amp;H$2, 'S12 Operations'!$B$2:$E$533, 4, 0), "")</f>
        <v>WS-32</v>
      </c>
      <c r="I17" s="58" t="str">
        <f>IFERROR(VLOOKUP($A17&amp;"-"&amp;I$2, 'S12 Operations'!$B$2:$E$533, 4, 0), "")</f>
        <v>WS-44</v>
      </c>
    </row>
    <row r="18" spans="1:9" s="44" customFormat="1" ht="17" x14ac:dyDescent="0.2">
      <c r="A18" s="57" t="str">
        <f>'S14 Clustering'!A18</f>
        <v>I-064</v>
      </c>
      <c r="B18" s="58" t="str">
        <f>IFERROR(VLOOKUP($A18&amp;"-"&amp;B$2, 'S12 Operations'!$B$2:$E$533, 4, 0), "")</f>
        <v>WS-43</v>
      </c>
      <c r="C18" s="58" t="str">
        <f>IFERROR(VLOOKUP($A18&amp;"-"&amp;C$2, 'S12 Operations'!$B$2:$E$533, 4, 0), "")</f>
        <v>WS-40</v>
      </c>
      <c r="D18" s="58" t="str">
        <f>IFERROR(VLOOKUP($A18&amp;"-"&amp;D$2, 'S12 Operations'!$B$2:$E$533, 4, 0), "")</f>
        <v>WS-04</v>
      </c>
      <c r="E18" s="58" t="str">
        <f>IFERROR(VLOOKUP($A18&amp;"-"&amp;E$2, 'S12 Operations'!$B$2:$E$533, 4, 0), "")</f>
        <v>WS-03</v>
      </c>
      <c r="F18" s="58" t="str">
        <f>IFERROR(VLOOKUP($A18&amp;"-"&amp;F$2, 'S12 Operations'!$B$2:$E$533, 4, 0), "")</f>
        <v>WS-23</v>
      </c>
      <c r="G18" s="58" t="str">
        <f>IFERROR(VLOOKUP($A18&amp;"-"&amp;G$2, 'S12 Operations'!$B$2:$E$533, 4, 0), "")</f>
        <v>WS-31</v>
      </c>
      <c r="H18" s="58" t="str">
        <f>IFERROR(VLOOKUP($A18&amp;"-"&amp;H$2, 'S12 Operations'!$B$2:$E$533, 4, 0), "")</f>
        <v>WS-32</v>
      </c>
      <c r="I18" s="58" t="str">
        <f>IFERROR(VLOOKUP($A18&amp;"-"&amp;I$2, 'S12 Operations'!$B$2:$E$533, 4, 0), "")</f>
        <v>WS-44</v>
      </c>
    </row>
  </sheetData>
  <mergeCells count="1">
    <mergeCell ref="B1:I1"/>
  </mergeCells>
  <pageMargins left="0.7" right="0.7" top="0.75" bottom="0.75" header="0.3" footer="0.3"/>
  <pageSetup orientation="portrait" horizontalDpi="4294967293" verticalDpi="0" r:id="rId1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0CACC7-A731-2443-9299-E87864B76F10}">
  <dimension ref="A1:P29"/>
  <sheetViews>
    <sheetView zoomScale="187" zoomScaleNormal="100" workbookViewId="0">
      <selection activeCell="H4" sqref="H4"/>
    </sheetView>
  </sheetViews>
  <sheetFormatPr baseColWidth="10" defaultRowHeight="16" x14ac:dyDescent="0.2"/>
  <cols>
    <col min="1" max="1" width="14.5" customWidth="1"/>
    <col min="2" max="2" width="20.6640625" bestFit="1" customWidth="1"/>
    <col min="3" max="3" width="18.83203125" bestFit="1" customWidth="1"/>
    <col min="4" max="4" width="21.1640625" bestFit="1" customWidth="1"/>
    <col min="5" max="5" width="19.6640625" bestFit="1" customWidth="1"/>
    <col min="6" max="6" width="14" bestFit="1" customWidth="1"/>
    <col min="7" max="7" width="22.5" bestFit="1" customWidth="1"/>
    <col min="8" max="8" width="15.6640625" bestFit="1" customWidth="1"/>
    <col min="12" max="12" width="16.5" customWidth="1"/>
    <col min="13" max="13" width="14.1640625" bestFit="1" customWidth="1"/>
    <col min="15" max="15" width="27.33203125" customWidth="1"/>
  </cols>
  <sheetData>
    <row r="1" spans="1:16" x14ac:dyDescent="0.2">
      <c r="A1" s="1" t="s">
        <v>747</v>
      </c>
      <c r="B1" s="1" t="s">
        <v>960</v>
      </c>
      <c r="C1" s="1" t="s">
        <v>961</v>
      </c>
      <c r="D1" s="1" t="s">
        <v>962</v>
      </c>
      <c r="E1" s="242" t="s">
        <v>963</v>
      </c>
      <c r="F1" s="1" t="s">
        <v>964</v>
      </c>
      <c r="G1" s="243" t="s">
        <v>965</v>
      </c>
      <c r="H1" s="1" t="s">
        <v>966</v>
      </c>
      <c r="L1" s="5" t="s">
        <v>747</v>
      </c>
      <c r="M1" s="5" t="s">
        <v>965</v>
      </c>
      <c r="O1" s="5" t="s">
        <v>967</v>
      </c>
      <c r="P1" s="3">
        <v>1000</v>
      </c>
    </row>
    <row r="2" spans="1:16" x14ac:dyDescent="0.2">
      <c r="A2" s="244" t="s">
        <v>968</v>
      </c>
      <c r="B2" s="245" t="s">
        <v>969</v>
      </c>
      <c r="C2" s="245" t="s">
        <v>969</v>
      </c>
      <c r="D2" s="245" t="s">
        <v>970</v>
      </c>
      <c r="E2" s="246" t="s">
        <v>971</v>
      </c>
      <c r="F2" s="245" t="s">
        <v>972</v>
      </c>
      <c r="G2" s="247" t="s">
        <v>973</v>
      </c>
      <c r="H2" s="245" t="s">
        <v>974</v>
      </c>
      <c r="L2" s="3" t="s">
        <v>975</v>
      </c>
      <c r="M2" s="3">
        <v>1.6999999999999999E-3</v>
      </c>
    </row>
    <row r="3" spans="1:16" x14ac:dyDescent="0.2">
      <c r="A3" s="237" t="s">
        <v>955</v>
      </c>
      <c r="B3" s="102">
        <v>450</v>
      </c>
      <c r="C3" s="102">
        <v>250</v>
      </c>
      <c r="D3" s="102">
        <v>210</v>
      </c>
      <c r="E3" s="102">
        <v>140</v>
      </c>
      <c r="F3" s="238">
        <v>7.8</v>
      </c>
      <c r="G3" s="102">
        <f>F3*1000/$P$1</f>
        <v>7.8</v>
      </c>
      <c r="H3" s="199">
        <v>2435</v>
      </c>
      <c r="L3" s="3" t="s">
        <v>976</v>
      </c>
      <c r="M3" s="3">
        <v>1.2999999999999999E-3</v>
      </c>
    </row>
    <row r="4" spans="1:16" x14ac:dyDescent="0.2">
      <c r="A4" s="237" t="s">
        <v>956</v>
      </c>
      <c r="B4" s="102">
        <v>478</v>
      </c>
      <c r="C4" s="102">
        <v>910</v>
      </c>
      <c r="D4" s="102">
        <v>100</v>
      </c>
      <c r="E4" s="102">
        <v>85</v>
      </c>
      <c r="F4" s="238">
        <v>4.5</v>
      </c>
      <c r="G4" s="102">
        <f t="shared" ref="G4:G7" si="0">F4*1000/$P$1</f>
        <v>4.5</v>
      </c>
      <c r="H4" s="199">
        <v>57221</v>
      </c>
      <c r="L4" s="3" t="s">
        <v>977</v>
      </c>
      <c r="M4" s="3">
        <v>0.82</v>
      </c>
    </row>
    <row r="5" spans="1:16" x14ac:dyDescent="0.2">
      <c r="A5" s="237" t="s">
        <v>957</v>
      </c>
      <c r="B5" s="102">
        <v>2211</v>
      </c>
      <c r="C5" s="102">
        <v>260</v>
      </c>
      <c r="D5" s="102">
        <v>23</v>
      </c>
      <c r="E5" s="102">
        <v>38</v>
      </c>
      <c r="F5" s="238">
        <v>1.5</v>
      </c>
      <c r="G5" s="102">
        <f t="shared" si="0"/>
        <v>1.5</v>
      </c>
      <c r="H5" s="199">
        <v>14346</v>
      </c>
      <c r="L5" s="3" t="s">
        <v>978</v>
      </c>
      <c r="M5" s="3">
        <v>2.72</v>
      </c>
    </row>
    <row r="6" spans="1:16" x14ac:dyDescent="0.2">
      <c r="A6" s="237" t="s">
        <v>958</v>
      </c>
      <c r="B6" s="102">
        <v>1380</v>
      </c>
      <c r="C6" s="102">
        <v>621</v>
      </c>
      <c r="D6" s="102">
        <v>76</v>
      </c>
      <c r="E6" s="102">
        <v>39</v>
      </c>
      <c r="F6" s="238">
        <v>1.4</v>
      </c>
      <c r="G6" s="102">
        <f t="shared" si="0"/>
        <v>1.4</v>
      </c>
      <c r="H6" s="199">
        <v>42367</v>
      </c>
      <c r="L6" s="3" t="s">
        <v>979</v>
      </c>
      <c r="M6" s="3">
        <v>8.48</v>
      </c>
    </row>
    <row r="7" spans="1:16" x14ac:dyDescent="0.2">
      <c r="A7" s="237" t="s">
        <v>959</v>
      </c>
      <c r="B7" s="102">
        <v>530</v>
      </c>
      <c r="C7" s="102">
        <v>250</v>
      </c>
      <c r="D7" s="102">
        <v>26</v>
      </c>
      <c r="E7" s="102">
        <v>40</v>
      </c>
      <c r="F7" s="238">
        <v>1.8</v>
      </c>
      <c r="G7" s="102">
        <f t="shared" si="0"/>
        <v>1.8</v>
      </c>
      <c r="H7" s="199">
        <v>32456</v>
      </c>
      <c r="L7" s="3" t="s">
        <v>980</v>
      </c>
      <c r="M7" s="3">
        <v>8.57</v>
      </c>
    </row>
    <row r="8" spans="1:16" x14ac:dyDescent="0.2">
      <c r="A8" s="248"/>
      <c r="B8" s="66"/>
      <c r="C8" s="66"/>
      <c r="D8" s="66"/>
      <c r="E8" s="66"/>
      <c r="F8" s="249"/>
      <c r="G8" s="66"/>
      <c r="L8" s="3" t="s">
        <v>981</v>
      </c>
      <c r="M8" s="3">
        <v>1.98E-3</v>
      </c>
    </row>
    <row r="9" spans="1:16" x14ac:dyDescent="0.2">
      <c r="A9" s="248"/>
      <c r="B9" s="66"/>
      <c r="C9" s="66"/>
      <c r="D9" s="66"/>
      <c r="E9" s="66"/>
      <c r="F9" s="249"/>
      <c r="G9" s="66"/>
      <c r="L9" s="3" t="s">
        <v>982</v>
      </c>
      <c r="M9" s="3">
        <v>1.2600000000000001E-3</v>
      </c>
    </row>
    <row r="10" spans="1:16" x14ac:dyDescent="0.2">
      <c r="L10" s="3" t="s">
        <v>983</v>
      </c>
      <c r="M10" s="3">
        <v>7.2</v>
      </c>
    </row>
    <row r="11" spans="1:16" x14ac:dyDescent="0.2">
      <c r="L11" s="3" t="s">
        <v>984</v>
      </c>
      <c r="M11" s="3">
        <v>7.03</v>
      </c>
    </row>
    <row r="12" spans="1:16" x14ac:dyDescent="0.2">
      <c r="L12" s="3" t="s">
        <v>985</v>
      </c>
      <c r="M12" s="3">
        <v>8.7899999999999991</v>
      </c>
    </row>
    <row r="13" spans="1:16" x14ac:dyDescent="0.2">
      <c r="L13" s="3" t="s">
        <v>986</v>
      </c>
      <c r="M13" s="3">
        <v>9.0000000000000006E-5</v>
      </c>
    </row>
    <row r="14" spans="1:16" x14ac:dyDescent="0.2">
      <c r="L14" s="3" t="s">
        <v>987</v>
      </c>
      <c r="M14" s="3">
        <v>11.35</v>
      </c>
    </row>
    <row r="15" spans="1:16" x14ac:dyDescent="0.2">
      <c r="L15" s="3" t="s">
        <v>988</v>
      </c>
      <c r="M15" s="3">
        <v>13.59</v>
      </c>
    </row>
    <row r="16" spans="1:16" x14ac:dyDescent="0.2">
      <c r="L16" s="3" t="s">
        <v>989</v>
      </c>
      <c r="M16" s="3">
        <v>8.73</v>
      </c>
    </row>
    <row r="17" spans="12:13" x14ac:dyDescent="0.2">
      <c r="L17" s="3" t="s">
        <v>990</v>
      </c>
      <c r="M17" s="3">
        <v>1.25E-3</v>
      </c>
    </row>
    <row r="18" spans="12:13" x14ac:dyDescent="0.2">
      <c r="L18" s="3" t="s">
        <v>991</v>
      </c>
      <c r="M18" s="3">
        <v>1.1200000000000001</v>
      </c>
    </row>
    <row r="19" spans="12:13" x14ac:dyDescent="0.2">
      <c r="L19" s="3" t="s">
        <v>992</v>
      </c>
      <c r="M19" s="3">
        <v>1.4300000000000001E-3</v>
      </c>
    </row>
    <row r="20" spans="12:13" x14ac:dyDescent="0.2">
      <c r="L20" s="3" t="s">
        <v>993</v>
      </c>
      <c r="M20" s="3">
        <v>0.8</v>
      </c>
    </row>
    <row r="21" spans="12:13" x14ac:dyDescent="0.2">
      <c r="L21" s="3" t="s">
        <v>994</v>
      </c>
      <c r="M21" s="3">
        <v>0.72</v>
      </c>
    </row>
    <row r="22" spans="12:13" x14ac:dyDescent="0.2">
      <c r="L22" s="3" t="s">
        <v>995</v>
      </c>
      <c r="M22" s="3">
        <v>1.36</v>
      </c>
    </row>
    <row r="23" spans="12:13" x14ac:dyDescent="0.2">
      <c r="L23" s="3" t="s">
        <v>996</v>
      </c>
      <c r="M23" s="3">
        <v>0.96</v>
      </c>
    </row>
    <row r="24" spans="12:13" x14ac:dyDescent="0.2">
      <c r="L24" s="3" t="s">
        <v>686</v>
      </c>
      <c r="M24" s="3">
        <v>7.82</v>
      </c>
    </row>
    <row r="25" spans="12:13" x14ac:dyDescent="0.2">
      <c r="L25" s="3" t="s">
        <v>997</v>
      </c>
      <c r="M25" s="3">
        <v>7.28</v>
      </c>
    </row>
    <row r="26" spans="12:13" x14ac:dyDescent="0.2">
      <c r="L26" s="3" t="s">
        <v>998</v>
      </c>
      <c r="M26" s="3">
        <v>1</v>
      </c>
    </row>
    <row r="27" spans="12:13" x14ac:dyDescent="0.2">
      <c r="L27" s="3" t="s">
        <v>999</v>
      </c>
      <c r="M27" s="3">
        <v>1.0269999999999999</v>
      </c>
    </row>
    <row r="28" spans="12:13" x14ac:dyDescent="0.2">
      <c r="L28" s="3" t="s">
        <v>1000</v>
      </c>
      <c r="M28" s="3">
        <v>0.77</v>
      </c>
    </row>
    <row r="29" spans="12:13" x14ac:dyDescent="0.2">
      <c r="L29" s="3" t="s">
        <v>1001</v>
      </c>
      <c r="M29" s="3">
        <v>7.12</v>
      </c>
    </row>
  </sheetData>
  <pageMargins left="0.7" right="0.7" top="0.75" bottom="0.75" header="0.3" footer="0.3"/>
  <pageSetup paperSize="9" orientation="portrait" horizontalDpi="0" verticalDpi="0"/>
  <legacy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0565DB-C650-2F4B-9BFF-362561C123D9}">
  <dimension ref="A1:I8"/>
  <sheetViews>
    <sheetView zoomScale="156" workbookViewId="0">
      <selection activeCell="C2" sqref="C2"/>
    </sheetView>
  </sheetViews>
  <sheetFormatPr baseColWidth="10" defaultRowHeight="16" x14ac:dyDescent="0.2"/>
  <cols>
    <col min="1" max="1" width="25.1640625" style="96" bestFit="1" customWidth="1"/>
    <col min="2" max="2" width="23.5" style="96" bestFit="1" customWidth="1"/>
    <col min="3" max="3" width="21.1640625" style="96" bestFit="1" customWidth="1"/>
    <col min="4" max="4" width="24.5" style="96" bestFit="1" customWidth="1"/>
    <col min="5" max="5" width="25.1640625" style="96" bestFit="1" customWidth="1"/>
    <col min="6" max="6" width="22" style="96" bestFit="1" customWidth="1"/>
    <col min="7" max="7" width="8.33203125" style="96" customWidth="1"/>
    <col min="8" max="8" width="12" style="96" bestFit="1" customWidth="1"/>
    <col min="9" max="9" width="16.83203125" style="96" bestFit="1" customWidth="1"/>
    <col min="10" max="16384" width="10.83203125" style="96"/>
  </cols>
  <sheetData>
    <row r="1" spans="1:9" x14ac:dyDescent="0.2">
      <c r="A1" s="225"/>
      <c r="B1" s="225" t="str">
        <f>'S16 Material Properties'!B1</f>
        <v>Tensile Strength</v>
      </c>
      <c r="C1" s="225" t="str">
        <f>'S16 Material Properties'!C1</f>
        <v>Yield Strength</v>
      </c>
      <c r="D1" s="225" t="str">
        <f>'S16 Material Properties'!D1</f>
        <v xml:space="preserve">Young’s Modulus </v>
      </c>
      <c r="E1" s="225" t="str">
        <f>'S16 Material Properties'!E1</f>
        <v xml:space="preserve">Toughness  </v>
      </c>
      <c r="F1" s="225" t="str">
        <f>'S16 Material Properties'!F1</f>
        <v xml:space="preserve">Density </v>
      </c>
      <c r="G1" s="225" t="s">
        <v>764</v>
      </c>
      <c r="H1" s="225" t="s">
        <v>169</v>
      </c>
      <c r="I1" s="225" t="s">
        <v>765</v>
      </c>
    </row>
    <row r="2" spans="1:9" x14ac:dyDescent="0.2">
      <c r="A2" s="226" t="str">
        <f t="array" ref="A2:A6">TRANSPOSE(B1:F1)</f>
        <v>Tensile Strength</v>
      </c>
      <c r="B2" s="227"/>
      <c r="C2" s="228">
        <v>1</v>
      </c>
      <c r="D2" s="228">
        <v>-1</v>
      </c>
      <c r="E2" s="228">
        <v>1</v>
      </c>
      <c r="F2" s="228">
        <v>1</v>
      </c>
      <c r="G2" s="228">
        <f>SUM(B2:F2)</f>
        <v>2</v>
      </c>
      <c r="H2" s="228" cm="1">
        <f t="array" ref="H2">G2+(ROUNDUP(MAX(ABS($G$2:$G$6)), -1))</f>
        <v>12</v>
      </c>
      <c r="I2" s="229">
        <f>H2/SUM($H$2:$H$6)</f>
        <v>0.24</v>
      </c>
    </row>
    <row r="3" spans="1:9" x14ac:dyDescent="0.2">
      <c r="A3" s="226" t="str">
        <v>Yield Strength</v>
      </c>
      <c r="B3" s="228">
        <f t="array" ref="B3:B6">TRANSPOSE(C2:F2)*(-1)</f>
        <v>-1</v>
      </c>
      <c r="C3" s="227"/>
      <c r="D3" s="228">
        <v>-2</v>
      </c>
      <c r="E3" s="228">
        <v>2</v>
      </c>
      <c r="F3" s="228">
        <v>3</v>
      </c>
      <c r="G3" s="228">
        <f t="shared" ref="G3:G6" si="0">SUM(B3:F3)</f>
        <v>2</v>
      </c>
      <c r="H3" s="228" cm="1">
        <f t="array" ref="H3">G3+(ROUNDUP(MAX(ABS($G$2:$G$6)), -1))</f>
        <v>12</v>
      </c>
      <c r="I3" s="229">
        <f t="shared" ref="I3:I6" si="1">H3/SUM($H$2:$H$6)</f>
        <v>0.24</v>
      </c>
    </row>
    <row r="4" spans="1:9" x14ac:dyDescent="0.2">
      <c r="A4" s="226" t="str">
        <v xml:space="preserve">Young’s Modulus </v>
      </c>
      <c r="B4" s="228">
        <v>1</v>
      </c>
      <c r="C4" s="228">
        <f t="array" ref="C4:C6">TRANSPOSE(D3:F3)*(-1)</f>
        <v>2</v>
      </c>
      <c r="D4" s="227"/>
      <c r="E4" s="228">
        <v>0</v>
      </c>
      <c r="F4" s="228">
        <v>-2</v>
      </c>
      <c r="G4" s="228">
        <f t="shared" si="0"/>
        <v>1</v>
      </c>
      <c r="H4" s="228" cm="1">
        <f t="array" ref="H4">G4+(ROUNDUP(MAX(ABS($G$2:$G$6)), -1))</f>
        <v>11</v>
      </c>
      <c r="I4" s="229">
        <f t="shared" si="1"/>
        <v>0.22</v>
      </c>
    </row>
    <row r="5" spans="1:9" x14ac:dyDescent="0.2">
      <c r="A5" s="226" t="str">
        <v xml:space="preserve">Toughness  </v>
      </c>
      <c r="B5" s="228">
        <v>-1</v>
      </c>
      <c r="C5" s="228">
        <v>-2</v>
      </c>
      <c r="D5" s="228" cm="1">
        <f t="array" ref="D5:D6">TRANSPOSE(E4:F4)*(-1)</f>
        <v>0</v>
      </c>
      <c r="E5" s="227"/>
      <c r="F5" s="228">
        <v>0</v>
      </c>
      <c r="G5" s="228">
        <f t="shared" si="0"/>
        <v>-3</v>
      </c>
      <c r="H5" s="228" cm="1">
        <f t="array" ref="H5">G5+(ROUNDUP(MAX(ABS($G$2:$G$6)), -1))</f>
        <v>7</v>
      </c>
      <c r="I5" s="229">
        <f t="shared" si="1"/>
        <v>0.14000000000000001</v>
      </c>
    </row>
    <row r="6" spans="1:9" x14ac:dyDescent="0.2">
      <c r="A6" s="226" t="str">
        <v xml:space="preserve">Density </v>
      </c>
      <c r="B6" s="228">
        <v>-1</v>
      </c>
      <c r="C6" s="228">
        <v>-3</v>
      </c>
      <c r="D6" s="228">
        <v>2</v>
      </c>
      <c r="E6" s="228" cm="1">
        <f t="array" ref="E6">TRANSPOSE(F5)*(-1)</f>
        <v>0</v>
      </c>
      <c r="F6" s="227"/>
      <c r="G6" s="228">
        <f t="shared" si="0"/>
        <v>-2</v>
      </c>
      <c r="H6" s="228" cm="1">
        <f t="array" ref="H6">G6+(ROUNDUP(MAX(ABS($G$2:$G$6)), -1))</f>
        <v>8</v>
      </c>
      <c r="I6" s="229">
        <f t="shared" si="1"/>
        <v>0.16</v>
      </c>
    </row>
    <row r="7" spans="1:9" x14ac:dyDescent="0.2">
      <c r="A7" s="225"/>
      <c r="B7" s="229"/>
      <c r="C7" s="229"/>
      <c r="D7" s="229"/>
      <c r="E7" s="229"/>
      <c r="F7" s="229"/>
      <c r="G7" s="228"/>
      <c r="H7" s="228"/>
      <c r="I7" s="228"/>
    </row>
    <row r="8" spans="1:9" x14ac:dyDescent="0.2">
      <c r="B8" s="230"/>
      <c r="C8" s="230"/>
      <c r="D8" s="230"/>
      <c r="E8" s="230"/>
      <c r="F8" s="230"/>
      <c r="G8" s="230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2A0ECC-789D-5D41-8497-AB885C028145}">
  <dimension ref="A1:G8"/>
  <sheetViews>
    <sheetView zoomScale="210" workbookViewId="0">
      <selection activeCell="G4" sqref="G4:G8"/>
    </sheetView>
  </sheetViews>
  <sheetFormatPr baseColWidth="10" defaultRowHeight="16" x14ac:dyDescent="0.2"/>
  <cols>
    <col min="1" max="1" width="15.83203125" style="66" bestFit="1" customWidth="1"/>
    <col min="2" max="3" width="22.6640625" bestFit="1" customWidth="1"/>
    <col min="4" max="4" width="24.83203125" bestFit="1" customWidth="1"/>
    <col min="5" max="5" width="23.5" bestFit="1" customWidth="1"/>
    <col min="6" max="6" width="14.83203125" bestFit="1" customWidth="1"/>
    <col min="7" max="7" width="19.83203125" bestFit="1" customWidth="1"/>
    <col min="8" max="8" width="11.1640625" customWidth="1"/>
  </cols>
  <sheetData>
    <row r="1" spans="1:7" x14ac:dyDescent="0.2">
      <c r="A1" s="241"/>
      <c r="B1" s="9">
        <f>_xlfn.XLOOKUP(B3, 'S17 Mat. Prop. Weights'!$A$2:$A$6, 'S17 Mat. Prop. Weights'!$I$2:$I$6, 0, 0)</f>
        <v>0.24</v>
      </c>
      <c r="C1" s="9">
        <f>_xlfn.XLOOKUP(C3, 'S17 Mat. Prop. Weights'!$A$2:$A$6, 'S17 Mat. Prop. Weights'!$I$2:$I$6, 0, 0)</f>
        <v>0.24</v>
      </c>
      <c r="D1" s="9">
        <f>_xlfn.XLOOKUP(D3, 'S17 Mat. Prop. Weights'!$A$2:$A$6, 'S17 Mat. Prop. Weights'!$I$2:$I$6, 0, 0)</f>
        <v>0.22</v>
      </c>
      <c r="E1" s="9">
        <f>_xlfn.XLOOKUP(E3, 'S17 Mat. Prop. Weights'!$A$2:$A$6, 'S17 Mat. Prop. Weights'!$I$2:$I$6, 0, 0)</f>
        <v>0.14000000000000001</v>
      </c>
      <c r="F1" s="9">
        <f>_xlfn.XLOOKUP(F3, 'S17 Mat. Prop. Weights'!$A$2:$A$6, 'S17 Mat. Prop. Weights'!$I$2:$I$6, 0, 0)</f>
        <v>0.16</v>
      </c>
      <c r="G1" s="3"/>
    </row>
    <row r="2" spans="1:7" s="66" customFormat="1" x14ac:dyDescent="0.2">
      <c r="A2" s="338"/>
      <c r="B2" s="231" t="s">
        <v>943</v>
      </c>
      <c r="C2" s="231" t="s">
        <v>943</v>
      </c>
      <c r="D2" s="231" t="s">
        <v>943</v>
      </c>
      <c r="E2" s="231" t="s">
        <v>943</v>
      </c>
      <c r="F2" s="232" t="s">
        <v>943</v>
      </c>
      <c r="G2" s="340" t="s">
        <v>944</v>
      </c>
    </row>
    <row r="3" spans="1:7" s="66" customFormat="1" x14ac:dyDescent="0.2">
      <c r="A3" s="339"/>
      <c r="B3" s="233" t="str">
        <f>'S16 Material Properties'!B1</f>
        <v>Tensile Strength</v>
      </c>
      <c r="C3" s="233" t="str">
        <f>'S16 Material Properties'!C1</f>
        <v>Yield Strength</v>
      </c>
      <c r="D3" s="233" t="str">
        <f>'S16 Material Properties'!D1</f>
        <v xml:space="preserve">Young’s Modulus </v>
      </c>
      <c r="E3" s="233" t="str">
        <f>'S16 Material Properties'!E1</f>
        <v xml:space="preserve">Toughness  </v>
      </c>
      <c r="F3" s="233" t="str">
        <f>'S16 Material Properties'!F1</f>
        <v xml:space="preserve">Density </v>
      </c>
      <c r="G3" s="341"/>
    </row>
    <row r="4" spans="1:7" x14ac:dyDescent="0.2">
      <c r="A4" s="234" t="str">
        <f>'S16 Material Properties'!A3</f>
        <v xml:space="preserve">Steel 1020 </v>
      </c>
      <c r="B4" s="3">
        <f>ROUND(VLOOKUP($A4, 'S16 Material Properties'!$A$3:$G$7, COLUMN(), 0)/MAX('S16 Material Properties'!B$3:B$7)*100, 2)</f>
        <v>20.350000000000001</v>
      </c>
      <c r="C4" s="3">
        <f>ROUND(VLOOKUP($A4, 'S16 Material Properties'!$A$3:$G$7, COLUMN(), 0)/MAX('S16 Material Properties'!C$3:C$7)*100, 2)</f>
        <v>27.47</v>
      </c>
      <c r="D4" s="3">
        <f>ROUND(VLOOKUP($A4, 'S16 Material Properties'!$A$3:$G$7, COLUMN(), 0)/MAX('S16 Material Properties'!D$3:D$7)*100, 2)</f>
        <v>100</v>
      </c>
      <c r="E4" s="3">
        <f>ROUND(VLOOKUP($A4, 'S16 Material Properties'!$A$3:$G$7, COLUMN(), 0)/MAX('S16 Material Properties'!E$3:E$7)*100, 2)</f>
        <v>100</v>
      </c>
      <c r="F4" s="3">
        <f>ROUND(VLOOKUP($A4, 'S16 Material Properties'!$A$3:$G$7, COLUMN(), 0)/MAX('S16 Material Properties'!F$3:F$7)*100, 2)</f>
        <v>100</v>
      </c>
      <c r="G4" s="3">
        <f>ROUND($B4*B$1+$C4*C$1+$D4*D$1+$E4*E$1+$F4*F$1, 2)</f>
        <v>63.48</v>
      </c>
    </row>
    <row r="5" spans="1:7" x14ac:dyDescent="0.2">
      <c r="A5" s="234" t="str">
        <f>'S16 Material Properties'!A4</f>
        <v xml:space="preserve">Ti-alloy </v>
      </c>
      <c r="B5" s="3">
        <f>ROUND(VLOOKUP($A5, 'S16 Material Properties'!$A$3:$G$7, COLUMN(), 0)/MAX('S16 Material Properties'!B$3:B$7)*100, 2)</f>
        <v>21.62</v>
      </c>
      <c r="C5" s="3">
        <f>ROUND(VLOOKUP($A5, 'S16 Material Properties'!$A$3:$G$7, COLUMN(), 0)/MAX('S16 Material Properties'!C$3:C$7)*100, 2)</f>
        <v>100</v>
      </c>
      <c r="D5" s="3">
        <f>ROUND(VLOOKUP($A5, 'S16 Material Properties'!$A$3:$G$7, COLUMN(), 0)/MAX('S16 Material Properties'!D$3:D$7)*100, 2)</f>
        <v>47.62</v>
      </c>
      <c r="E5" s="3">
        <f>ROUND(VLOOKUP($A5, 'S16 Material Properties'!$A$3:$G$7, COLUMN(), 0)/MAX('S16 Material Properties'!E$3:E$7)*100, 2)</f>
        <v>60.71</v>
      </c>
      <c r="F5" s="3">
        <f>ROUND(VLOOKUP($A5, 'S16 Material Properties'!$A$3:$G$7, COLUMN(), 0)/MAX('S16 Material Properties'!F$3:F$7)*100, 2)</f>
        <v>57.69</v>
      </c>
      <c r="G5" s="3">
        <f t="shared" ref="G5:G8" si="0">ROUND($B5*B$1+$C5*C$1+$D5*D$1+$E5*E$1+$F5*F$1, 2)</f>
        <v>57.4</v>
      </c>
    </row>
    <row r="6" spans="1:7" x14ac:dyDescent="0.2">
      <c r="A6" s="234" t="str">
        <f>'S16 Material Properties'!A5</f>
        <v xml:space="preserve">CFRP </v>
      </c>
      <c r="B6" s="3">
        <f>ROUND(VLOOKUP($A6, 'S16 Material Properties'!$A$3:$G$7, COLUMN(), 0)/MAX('S16 Material Properties'!B$3:B$7)*100, 2)</f>
        <v>100</v>
      </c>
      <c r="C6" s="3">
        <f>ROUND(VLOOKUP($A6, 'S16 Material Properties'!$A$3:$G$7, COLUMN(), 0)/MAX('S16 Material Properties'!C$3:C$7)*100, 2)</f>
        <v>28.57</v>
      </c>
      <c r="D6" s="3">
        <f>ROUND(VLOOKUP($A6, 'S16 Material Properties'!$A$3:$G$7, COLUMN(), 0)/MAX('S16 Material Properties'!D$3:D$7)*100, 2)</f>
        <v>10.95</v>
      </c>
      <c r="E6" s="3">
        <f>ROUND(VLOOKUP($A6, 'S16 Material Properties'!$A$3:$G$7, COLUMN(), 0)/MAX('S16 Material Properties'!E$3:E$7)*100, 2)</f>
        <v>27.14</v>
      </c>
      <c r="F6" s="3">
        <f>ROUND(VLOOKUP($A6, 'S16 Material Properties'!$A$3:$G$7, COLUMN(), 0)/MAX('S16 Material Properties'!F$3:F$7)*100, 2)</f>
        <v>19.23</v>
      </c>
      <c r="G6" s="3">
        <f t="shared" si="0"/>
        <v>40.14</v>
      </c>
    </row>
    <row r="7" spans="1:7" x14ac:dyDescent="0.2">
      <c r="A7" s="234" t="str">
        <f>'S16 Material Properties'!A6</f>
        <v xml:space="preserve">KFRP </v>
      </c>
      <c r="B7" s="3">
        <f>ROUND(VLOOKUP($A7, 'S16 Material Properties'!$A$3:$G$7, COLUMN(), 0)/MAX('S16 Material Properties'!B$3:B$7)*100, 2)</f>
        <v>62.42</v>
      </c>
      <c r="C7" s="3">
        <f>ROUND(VLOOKUP($A7, 'S16 Material Properties'!$A$3:$G$7, COLUMN(), 0)/MAX('S16 Material Properties'!C$3:C$7)*100, 2)</f>
        <v>68.239999999999995</v>
      </c>
      <c r="D7" s="3">
        <f>ROUND(VLOOKUP($A7, 'S16 Material Properties'!$A$3:$G$7, COLUMN(), 0)/MAX('S16 Material Properties'!D$3:D$7)*100, 2)</f>
        <v>36.19</v>
      </c>
      <c r="E7" s="3">
        <f>ROUND(VLOOKUP($A7, 'S16 Material Properties'!$A$3:$G$7, COLUMN(), 0)/MAX('S16 Material Properties'!E$3:E$7)*100, 2)</f>
        <v>27.86</v>
      </c>
      <c r="F7" s="3">
        <f>ROUND(VLOOKUP($A7, 'S16 Material Properties'!$A$3:$G$7, COLUMN(), 0)/MAX('S16 Material Properties'!F$3:F$7)*100, 2)</f>
        <v>17.95</v>
      </c>
      <c r="G7" s="3">
        <f t="shared" si="0"/>
        <v>46.09</v>
      </c>
    </row>
    <row r="8" spans="1:7" x14ac:dyDescent="0.2">
      <c r="A8" s="234" t="str">
        <f>'S16 Material Properties'!A7</f>
        <v xml:space="preserve">GFRP </v>
      </c>
      <c r="B8" s="3">
        <f>ROUND(VLOOKUP($A8, 'S16 Material Properties'!$A$3:$G$7, COLUMN(), 0)/MAX('S16 Material Properties'!B$3:B$7)*100, 2)</f>
        <v>23.97</v>
      </c>
      <c r="C8" s="3">
        <f>ROUND(VLOOKUP($A8, 'S16 Material Properties'!$A$3:$G$7, COLUMN(), 0)/MAX('S16 Material Properties'!C$3:C$7)*100, 2)</f>
        <v>27.47</v>
      </c>
      <c r="D8" s="3">
        <f>ROUND(VLOOKUP($A8, 'S16 Material Properties'!$A$3:$G$7, COLUMN(), 0)/MAX('S16 Material Properties'!D$3:D$7)*100, 2)</f>
        <v>12.38</v>
      </c>
      <c r="E8" s="3">
        <f>ROUND(VLOOKUP($A8, 'S16 Material Properties'!$A$3:$G$7, COLUMN(), 0)/MAX('S16 Material Properties'!E$3:E$7)*100, 2)</f>
        <v>28.57</v>
      </c>
      <c r="F8" s="3">
        <f>ROUND(VLOOKUP($A8, 'S16 Material Properties'!$A$3:$G$7, COLUMN(), 0)/MAX('S16 Material Properties'!F$3:F$7)*100, 2)</f>
        <v>23.08</v>
      </c>
      <c r="G8" s="3">
        <f t="shared" si="0"/>
        <v>22.76</v>
      </c>
    </row>
  </sheetData>
  <mergeCells count="2">
    <mergeCell ref="A2:A3"/>
    <mergeCell ref="G2:G3"/>
  </mergeCells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5976F5-BF24-184F-9FE6-5C7F5802AA0A}">
  <dimension ref="A1:F8"/>
  <sheetViews>
    <sheetView topLeftCell="D1" zoomScale="222" workbookViewId="0">
      <selection activeCell="F4" sqref="F4:F8"/>
    </sheetView>
  </sheetViews>
  <sheetFormatPr baseColWidth="10" defaultRowHeight="16" x14ac:dyDescent="0.2"/>
  <cols>
    <col min="1" max="1" width="17.1640625" customWidth="1"/>
    <col min="2" max="2" width="25.5" bestFit="1" customWidth="1"/>
    <col min="3" max="3" width="28.83203125" bestFit="1" customWidth="1"/>
    <col min="4" max="4" width="29.83203125" bestFit="1" customWidth="1"/>
    <col min="5" max="5" width="19.33203125" bestFit="1" customWidth="1"/>
    <col min="6" max="6" width="33.1640625" bestFit="1" customWidth="1"/>
  </cols>
  <sheetData>
    <row r="1" spans="1:6" ht="34" x14ac:dyDescent="0.2">
      <c r="A1" s="235" t="s">
        <v>945</v>
      </c>
      <c r="B1" s="40">
        <v>2.5</v>
      </c>
    </row>
    <row r="3" spans="1:6" x14ac:dyDescent="0.2">
      <c r="A3" s="236" t="s">
        <v>946</v>
      </c>
      <c r="B3" s="236" t="s">
        <v>947</v>
      </c>
      <c r="C3" s="236" t="s">
        <v>948</v>
      </c>
      <c r="D3" s="236" t="s">
        <v>949</v>
      </c>
      <c r="E3" s="236" t="s">
        <v>950</v>
      </c>
      <c r="F3" s="236" t="s">
        <v>951</v>
      </c>
    </row>
    <row r="4" spans="1:6" x14ac:dyDescent="0.2">
      <c r="A4" s="237" t="str">
        <f>'S16 Material Properties'!A3</f>
        <v xml:space="preserve">Steel 1020 </v>
      </c>
      <c r="B4" s="102">
        <f>VLOOKUP(A4, 'S16 Material Properties'!$A$3:$H$7, 3, 0)</f>
        <v>250</v>
      </c>
      <c r="C4" s="238">
        <f>B4/$B$1</f>
        <v>100</v>
      </c>
      <c r="D4" s="239">
        <f>VLOOKUP(A4, 'S16 Material Properties'!$A$3:$H$7, 7, 0)</f>
        <v>7.8</v>
      </c>
      <c r="E4" s="102">
        <f>ROUND(VLOOKUP(A4, 'S16 Material Properties'!$A$3:$H$7, 8, 0)/MIN('S16 Material Properties'!$H$3:$H$7), 2)</f>
        <v>1</v>
      </c>
      <c r="F4" s="240">
        <f>E4*D4/C4</f>
        <v>7.8E-2</v>
      </c>
    </row>
    <row r="5" spans="1:6" x14ac:dyDescent="0.2">
      <c r="A5" s="237" t="str">
        <f>'S16 Material Properties'!A4</f>
        <v xml:space="preserve">Ti-alloy </v>
      </c>
      <c r="B5" s="102">
        <f>VLOOKUP(A5, 'S16 Material Properties'!$A$3:$H$7, 3, 0)</f>
        <v>910</v>
      </c>
      <c r="C5" s="238">
        <f t="shared" ref="C5:C8" si="0">B5/$B$1</f>
        <v>364</v>
      </c>
      <c r="D5" s="239">
        <f>VLOOKUP(A5, 'S16 Material Properties'!$A$3:$H$7, 7, 0)</f>
        <v>4.5</v>
      </c>
      <c r="E5" s="102">
        <f>ROUND(VLOOKUP(A5, 'S16 Material Properties'!$A$3:$H$7, 8, 0)/MIN('S16 Material Properties'!$H$3:$H$7), 2)</f>
        <v>23.5</v>
      </c>
      <c r="F5" s="240">
        <f t="shared" ref="F5:F8" si="1">E5*D5/C5</f>
        <v>0.29052197802197804</v>
      </c>
    </row>
    <row r="6" spans="1:6" x14ac:dyDescent="0.2">
      <c r="A6" s="237" t="str">
        <f>'S16 Material Properties'!A5</f>
        <v xml:space="preserve">CFRP </v>
      </c>
      <c r="B6" s="102">
        <f>VLOOKUP(A6, 'S16 Material Properties'!$A$3:$H$7, 3, 0)</f>
        <v>260</v>
      </c>
      <c r="C6" s="238">
        <f t="shared" si="0"/>
        <v>104</v>
      </c>
      <c r="D6" s="239">
        <f>VLOOKUP(A6, 'S16 Material Properties'!$A$3:$H$7, 7, 0)</f>
        <v>1.5</v>
      </c>
      <c r="E6" s="102">
        <f>ROUND(VLOOKUP(A6, 'S16 Material Properties'!$A$3:$H$7, 8, 0)/MIN('S16 Material Properties'!$H$3:$H$7), 2)</f>
        <v>5.89</v>
      </c>
      <c r="F6" s="240">
        <f t="shared" si="1"/>
        <v>8.4951923076923064E-2</v>
      </c>
    </row>
    <row r="7" spans="1:6" x14ac:dyDescent="0.2">
      <c r="A7" s="237" t="str">
        <f>'S16 Material Properties'!A6</f>
        <v xml:space="preserve">KFRP </v>
      </c>
      <c r="B7" s="102">
        <f>VLOOKUP(A7, 'S16 Material Properties'!$A$3:$H$7, 3, 0)</f>
        <v>621</v>
      </c>
      <c r="C7" s="238">
        <f t="shared" si="0"/>
        <v>248.4</v>
      </c>
      <c r="D7" s="239">
        <f>VLOOKUP(A7, 'S16 Material Properties'!$A$3:$H$7, 7, 0)</f>
        <v>1.4</v>
      </c>
      <c r="E7" s="102">
        <f>ROUND(VLOOKUP(A7, 'S16 Material Properties'!$A$3:$H$7, 8, 0)/MIN('S16 Material Properties'!$H$3:$H$7), 2)</f>
        <v>17.399999999999999</v>
      </c>
      <c r="F7" s="240">
        <f t="shared" si="1"/>
        <v>9.8067632850241532E-2</v>
      </c>
    </row>
    <row r="8" spans="1:6" x14ac:dyDescent="0.2">
      <c r="A8" s="237" t="str">
        <f>'S16 Material Properties'!A7</f>
        <v xml:space="preserve">GFRP </v>
      </c>
      <c r="B8" s="102">
        <f>VLOOKUP(A8, 'S16 Material Properties'!$A$3:$H$7, 3, 0)</f>
        <v>250</v>
      </c>
      <c r="C8" s="238">
        <f t="shared" si="0"/>
        <v>100</v>
      </c>
      <c r="D8" s="239">
        <f>VLOOKUP(A8, 'S16 Material Properties'!$A$3:$H$7, 7, 0)</f>
        <v>1.8</v>
      </c>
      <c r="E8" s="102">
        <f>ROUND(VLOOKUP(A8, 'S16 Material Properties'!$A$3:$H$7, 8, 0)/MIN('S16 Material Properties'!$H$3:$H$7), 2)</f>
        <v>13.33</v>
      </c>
      <c r="F8" s="240">
        <f t="shared" si="1"/>
        <v>0.23993999999999999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1B7240-C565-CD4D-A2FD-711C6BE7E001}">
  <dimension ref="A1:E6"/>
  <sheetViews>
    <sheetView tabSelected="1" topLeftCell="A8" zoomScale="169" workbookViewId="0">
      <selection activeCell="E2" sqref="E2:E6"/>
    </sheetView>
  </sheetViews>
  <sheetFormatPr baseColWidth="10" defaultRowHeight="16" x14ac:dyDescent="0.2"/>
  <cols>
    <col min="1" max="1" width="15.83203125" style="66" bestFit="1" customWidth="1"/>
    <col min="2" max="2" width="13.83203125" bestFit="1" customWidth="1"/>
    <col min="3" max="3" width="33.83203125" bestFit="1" customWidth="1"/>
    <col min="4" max="4" width="19.83203125" bestFit="1" customWidth="1"/>
    <col min="5" max="5" width="13.5" bestFit="1" customWidth="1"/>
  </cols>
  <sheetData>
    <row r="1" spans="1:5" s="66" customFormat="1" x14ac:dyDescent="0.2">
      <c r="A1" s="5" t="s">
        <v>952</v>
      </c>
      <c r="B1" s="5" t="s">
        <v>950</v>
      </c>
      <c r="C1" s="5" t="s">
        <v>953</v>
      </c>
      <c r="D1" s="5" t="s">
        <v>944</v>
      </c>
      <c r="E1" s="5" t="s">
        <v>954</v>
      </c>
    </row>
    <row r="2" spans="1:5" x14ac:dyDescent="0.2">
      <c r="A2" s="234" t="str">
        <f>'S16 Material Properties'!A3</f>
        <v xml:space="preserve">Steel 1020 </v>
      </c>
      <c r="B2" s="3">
        <f>_xlfn.XLOOKUP(A2, 'S19 Mat. Cost per Strength'!$A$4:$A$8, 'S19 Mat. Cost per Strength'!$E$4:$E$8, 0, 0)</f>
        <v>1</v>
      </c>
      <c r="C2" s="3">
        <f>ROUND(_xlfn.XLOOKUP(A2, 'S19 Mat. Cost per Strength'!$A$4:$A$8, 'S19 Mat. Cost per Strength'!$F$4:$F$8, 0, 0)*100, 2)</f>
        <v>7.8</v>
      </c>
      <c r="D2" s="3">
        <f>_xlfn.XLOOKUP(A2, 'S18 Mat. Perf. Index'!$A$4:$A$8, 'S18 Mat. Perf. Index'!$G$4:$G$8, 0, 0)</f>
        <v>63.48</v>
      </c>
      <c r="E2" s="3">
        <f>ROUND(D2/C2, 1)</f>
        <v>8.1</v>
      </c>
    </row>
    <row r="3" spans="1:5" x14ac:dyDescent="0.2">
      <c r="A3" s="234" t="str">
        <f>'S16 Material Properties'!A4</f>
        <v xml:space="preserve">Ti-alloy </v>
      </c>
      <c r="B3" s="3">
        <f>_xlfn.XLOOKUP(A3, 'S19 Mat. Cost per Strength'!$A$4:$A$8, 'S19 Mat. Cost per Strength'!$E$4:$E$8, 0, 0)</f>
        <v>23.5</v>
      </c>
      <c r="C3" s="3">
        <f>ROUND(_xlfn.XLOOKUP(A3, 'S19 Mat. Cost per Strength'!$A$4:$A$8, 'S19 Mat. Cost per Strength'!$F$4:$F$8, 0, 0)*100, 2)</f>
        <v>29.05</v>
      </c>
      <c r="D3" s="3">
        <f>_xlfn.XLOOKUP(A3, 'S18 Mat. Perf. Index'!$A$4:$A$8, 'S18 Mat. Perf. Index'!$G$4:$G$8, 0, 0)</f>
        <v>57.4</v>
      </c>
      <c r="E3" s="3">
        <f t="shared" ref="E3:E6" si="0">ROUND(D3/C3, 1)</f>
        <v>2</v>
      </c>
    </row>
    <row r="4" spans="1:5" x14ac:dyDescent="0.2">
      <c r="A4" s="234" t="str">
        <f>'S16 Material Properties'!A5</f>
        <v xml:space="preserve">CFRP </v>
      </c>
      <c r="B4" s="3">
        <f>_xlfn.XLOOKUP(A4, 'S19 Mat. Cost per Strength'!$A$4:$A$8, 'S19 Mat. Cost per Strength'!$E$4:$E$8, 0, 0)</f>
        <v>5.89</v>
      </c>
      <c r="C4" s="3">
        <f>ROUND(_xlfn.XLOOKUP(A4, 'S19 Mat. Cost per Strength'!$A$4:$A$8, 'S19 Mat. Cost per Strength'!$F$4:$F$8, 0, 0)*100, 2)</f>
        <v>8.5</v>
      </c>
      <c r="D4" s="3">
        <f>_xlfn.XLOOKUP(A4, 'S18 Mat. Perf. Index'!$A$4:$A$8, 'S18 Mat. Perf. Index'!$G$4:$G$8, 0, 0)</f>
        <v>40.14</v>
      </c>
      <c r="E4" s="3">
        <f t="shared" si="0"/>
        <v>4.7</v>
      </c>
    </row>
    <row r="5" spans="1:5" x14ac:dyDescent="0.2">
      <c r="A5" s="234" t="str">
        <f>'S16 Material Properties'!A6</f>
        <v xml:space="preserve">KFRP </v>
      </c>
      <c r="B5" s="3">
        <f>_xlfn.XLOOKUP(A5, 'S19 Mat. Cost per Strength'!$A$4:$A$8, 'S19 Mat. Cost per Strength'!$E$4:$E$8, 0, 0)</f>
        <v>17.399999999999999</v>
      </c>
      <c r="C5" s="3">
        <f>ROUND(_xlfn.XLOOKUP(A5, 'S19 Mat. Cost per Strength'!$A$4:$A$8, 'S19 Mat. Cost per Strength'!$F$4:$F$8, 0, 0)*100, 2)</f>
        <v>9.81</v>
      </c>
      <c r="D5" s="3">
        <f>_xlfn.XLOOKUP(A5, 'S18 Mat. Perf. Index'!$A$4:$A$8, 'S18 Mat. Perf. Index'!$G$4:$G$8, 0, 0)</f>
        <v>46.09</v>
      </c>
      <c r="E5" s="3">
        <f t="shared" si="0"/>
        <v>4.7</v>
      </c>
    </row>
    <row r="6" spans="1:5" x14ac:dyDescent="0.2">
      <c r="A6" s="234" t="str">
        <f>'S16 Material Properties'!A7</f>
        <v xml:space="preserve">GFRP </v>
      </c>
      <c r="B6" s="3">
        <f>_xlfn.XLOOKUP(A6, 'S19 Mat. Cost per Strength'!$A$4:$A$8, 'S19 Mat. Cost per Strength'!$E$4:$E$8, 0, 0)</f>
        <v>13.33</v>
      </c>
      <c r="C6" s="3">
        <f>ROUND(_xlfn.XLOOKUP(A6, 'S19 Mat. Cost per Strength'!$A$4:$A$8, 'S19 Mat. Cost per Strength'!$F$4:$F$8, 0, 0)*100, 2)</f>
        <v>23.99</v>
      </c>
      <c r="D6" s="3">
        <f>_xlfn.XLOOKUP(A6, 'S18 Mat. Perf. Index'!$A$4:$A$8, 'S18 Mat. Perf. Index'!$G$4:$G$8, 0, 0)</f>
        <v>22.76</v>
      </c>
      <c r="E6" s="3">
        <f t="shared" si="0"/>
        <v>0.9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20</vt:i4>
      </vt:variant>
    </vt:vector>
  </HeadingPairs>
  <TitlesOfParts>
    <vt:vector size="20" baseType="lpstr">
      <vt:lpstr>S01 Production Morphology</vt:lpstr>
      <vt:lpstr>S02 Location Selection</vt:lpstr>
      <vt:lpstr>S03 Location Prioritization</vt:lpstr>
      <vt:lpstr>S04 Product Life Cyle</vt:lpstr>
      <vt:lpstr>S05 Req Weights</vt:lpstr>
      <vt:lpstr>S06 Requirements HoQ</vt:lpstr>
      <vt:lpstr>S07 Initial Parameters</vt:lpstr>
      <vt:lpstr>S08 ABC Output</vt:lpstr>
      <vt:lpstr>S09 BOM</vt:lpstr>
      <vt:lpstr>S10 Route Sheets</vt:lpstr>
      <vt:lpstr>S11 Work Stations</vt:lpstr>
      <vt:lpstr>S12 Operations</vt:lpstr>
      <vt:lpstr>S13 Routing Initial</vt:lpstr>
      <vt:lpstr>S14 Clustering</vt:lpstr>
      <vt:lpstr>S15 Routing Clustered</vt:lpstr>
      <vt:lpstr>S16 Material Properties</vt:lpstr>
      <vt:lpstr>S17 Mat. Prop. Weights</vt:lpstr>
      <vt:lpstr>S18 Mat. Perf. Index</vt:lpstr>
      <vt:lpstr>S19 Mat. Cost per Strength</vt:lpstr>
      <vt:lpstr>S20 Material FOM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Yilmaz Uygun;Aliaskar Satyldy</dc:creator>
  <cp:lastModifiedBy>Microsoft Office User</cp:lastModifiedBy>
  <dcterms:created xsi:type="dcterms:W3CDTF">2019-02-12T08:38:12Z</dcterms:created>
  <dcterms:modified xsi:type="dcterms:W3CDTF">2022-03-17T10:00:04Z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abf96eac-49e7-4ce2-8e88-f5960fb1c079</vt:lpwstr>
  </property>
</Properties>
</file>