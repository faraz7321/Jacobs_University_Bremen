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13_ncr:1_{248D02C9-2961-FA44-987F-2302D69B6BBE}" xr6:coauthVersionLast="47" xr6:coauthVersionMax="47" xr10:uidLastSave="{00000000-0000-0000-0000-000000000000}"/>
  <bookViews>
    <workbookView xWindow="-40960" yWindow="500" windowWidth="40960" windowHeight="22540" firstSheet="2" activeTab="11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66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</sheets>
  <functionGroups builtInGroupCount="19"/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Operations'!$A$1:$F$533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" i="63" l="1"/>
  <c r="D29" i="63"/>
  <c r="E29" i="63" s="1"/>
  <c r="F29" i="63" s="1"/>
  <c r="G29" i="63" s="1"/>
  <c r="H29" i="63" s="1"/>
  <c r="I29" i="63" s="1"/>
  <c r="J29" i="63" s="1"/>
  <c r="K29" i="63" s="1"/>
  <c r="L29" i="63" s="1"/>
  <c r="M29" i="63" s="1"/>
  <c r="N29" i="63" s="1"/>
  <c r="O29" i="63" s="1"/>
  <c r="P29" i="63" s="1"/>
  <c r="Q29" i="63" s="1"/>
  <c r="R29" i="63" s="1"/>
  <c r="S29" i="63" s="1"/>
  <c r="T29" i="63" s="1"/>
  <c r="U29" i="63" s="1"/>
  <c r="V29" i="63" s="1"/>
  <c r="W29" i="63" s="1"/>
  <c r="X29" i="63" s="1"/>
  <c r="Y29" i="63" s="1"/>
  <c r="Z29" i="63" s="1"/>
  <c r="AA29" i="63" s="1"/>
  <c r="AB29" i="63" s="1"/>
  <c r="AC29" i="63" s="1"/>
  <c r="AD29" i="63" s="1"/>
  <c r="AE29" i="63" s="1"/>
  <c r="AF29" i="63" s="1"/>
  <c r="AG29" i="63" s="1"/>
  <c r="AH29" i="63" s="1"/>
  <c r="AI29" i="63" s="1"/>
  <c r="AJ29" i="63" s="1"/>
  <c r="AK29" i="63" s="1"/>
  <c r="AL29" i="63" s="1"/>
  <c r="AM29" i="63" s="1"/>
  <c r="AN29" i="63" s="1"/>
  <c r="AO29" i="63" s="1"/>
  <c r="AP29" i="63" s="1"/>
  <c r="AQ29" i="63" s="1"/>
  <c r="AR29" i="63" s="1"/>
  <c r="AS29" i="63" s="1"/>
  <c r="AT29" i="63" s="1"/>
  <c r="AU29" i="63" s="1"/>
  <c r="AV29" i="63" s="1"/>
  <c r="AW29" i="63" s="1"/>
  <c r="AX29" i="63" s="1"/>
  <c r="AY29" i="63" s="1"/>
  <c r="AZ29" i="63" s="1"/>
  <c r="BA29" i="63" s="1"/>
  <c r="BB29" i="63" s="1"/>
  <c r="BC29" i="63" s="1"/>
  <c r="BD29" i="63" s="1"/>
  <c r="BE29" i="63" s="1"/>
  <c r="BF29" i="63" s="1"/>
  <c r="BG29" i="63" s="1"/>
  <c r="BH29" i="63" s="1"/>
  <c r="BI29" i="63" s="1"/>
  <c r="BJ29" i="63" s="1"/>
  <c r="BK29" i="63" s="1"/>
  <c r="BL29" i="63" s="1"/>
  <c r="BM29" i="63" s="1"/>
  <c r="BN29" i="63" s="1"/>
  <c r="BO29" i="63" s="1"/>
  <c r="BP29" i="63" s="1"/>
  <c r="BQ29" i="63" s="1"/>
  <c r="BR29" i="63" s="1"/>
  <c r="BS29" i="63" s="1"/>
  <c r="BT29" i="63" s="1"/>
  <c r="BU29" i="63" s="1"/>
  <c r="BV29" i="63" s="1"/>
  <c r="BW29" i="63" s="1"/>
  <c r="BX29" i="63" s="1"/>
  <c r="BY29" i="63" s="1"/>
  <c r="BZ29" i="63" s="1"/>
  <c r="CA29" i="63" s="1"/>
  <c r="CB29" i="63" s="1"/>
  <c r="CC29" i="63" s="1"/>
  <c r="CD29" i="63" s="1"/>
  <c r="CE29" i="63" s="1"/>
  <c r="CF29" i="63" s="1"/>
  <c r="CG29" i="63" s="1"/>
  <c r="CH29" i="63" s="1"/>
  <c r="C29" i="63"/>
  <c r="B29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S28" i="63"/>
  <c r="T28" i="63"/>
  <c r="U28" i="63"/>
  <c r="V28" i="63"/>
  <c r="W28" i="63"/>
  <c r="X28" i="63"/>
  <c r="Y28" i="63"/>
  <c r="Z28" i="63"/>
  <c r="AA28" i="63"/>
  <c r="AB28" i="63"/>
  <c r="AC28" i="63"/>
  <c r="AD28" i="63"/>
  <c r="AE28" i="63"/>
  <c r="AF28" i="63"/>
  <c r="AG28" i="63"/>
  <c r="AH28" i="63"/>
  <c r="AI28" i="63"/>
  <c r="AJ28" i="63"/>
  <c r="AK28" i="63"/>
  <c r="AL28" i="63"/>
  <c r="AM28" i="63"/>
  <c r="AN28" i="63"/>
  <c r="AO28" i="63"/>
  <c r="AP28" i="63"/>
  <c r="AQ28" i="63"/>
  <c r="AR28" i="63"/>
  <c r="AS28" i="63"/>
  <c r="AT28" i="63"/>
  <c r="AU28" i="63"/>
  <c r="AV28" i="63"/>
  <c r="AW28" i="63"/>
  <c r="AX28" i="63"/>
  <c r="AY28" i="63"/>
  <c r="AZ28" i="63"/>
  <c r="BA28" i="63"/>
  <c r="BB28" i="63"/>
  <c r="BC28" i="63"/>
  <c r="BD28" i="63"/>
  <c r="BE28" i="63"/>
  <c r="BF28" i="63"/>
  <c r="BG28" i="63"/>
  <c r="BH28" i="63"/>
  <c r="BI28" i="63"/>
  <c r="BJ28" i="63"/>
  <c r="BK28" i="63"/>
  <c r="BL28" i="63"/>
  <c r="BM28" i="63"/>
  <c r="BN28" i="63"/>
  <c r="BO28" i="63"/>
  <c r="BP28" i="63"/>
  <c r="BQ28" i="63"/>
  <c r="BR28" i="63"/>
  <c r="BS28" i="63"/>
  <c r="BT28" i="63"/>
  <c r="BU28" i="63"/>
  <c r="BV28" i="63"/>
  <c r="BW28" i="63"/>
  <c r="BX28" i="63"/>
  <c r="BY28" i="63"/>
  <c r="BZ28" i="63"/>
  <c r="CA28" i="63"/>
  <c r="CB28" i="63"/>
  <c r="CC28" i="63"/>
  <c r="CD28" i="63"/>
  <c r="CE28" i="63"/>
  <c r="CF28" i="63"/>
  <c r="CG28" i="63"/>
  <c r="CH28" i="63"/>
  <c r="C28" i="63"/>
  <c r="B28" i="63"/>
  <c r="B20" i="63"/>
  <c r="D19" i="63"/>
  <c r="E19" i="63" s="1"/>
  <c r="F19" i="63" s="1"/>
  <c r="G19" i="63" s="1"/>
  <c r="H19" i="63" s="1"/>
  <c r="I19" i="63" s="1"/>
  <c r="J19" i="63" s="1"/>
  <c r="K19" i="63" s="1"/>
  <c r="L19" i="63" s="1"/>
  <c r="M19" i="63" s="1"/>
  <c r="N19" i="63" s="1"/>
  <c r="O19" i="63" s="1"/>
  <c r="P19" i="63" s="1"/>
  <c r="Q19" i="63" s="1"/>
  <c r="R19" i="63" s="1"/>
  <c r="S19" i="63" s="1"/>
  <c r="T19" i="63" s="1"/>
  <c r="U19" i="63" s="1"/>
  <c r="V19" i="63" s="1"/>
  <c r="W19" i="63" s="1"/>
  <c r="X19" i="63" s="1"/>
  <c r="Y19" i="63" s="1"/>
  <c r="Z19" i="63" s="1"/>
  <c r="AA19" i="63" s="1"/>
  <c r="AB19" i="63" s="1"/>
  <c r="AC19" i="63" s="1"/>
  <c r="AD19" i="63" s="1"/>
  <c r="AE19" i="63" s="1"/>
  <c r="AF19" i="63" s="1"/>
  <c r="AG19" i="63" s="1"/>
  <c r="AH19" i="63" s="1"/>
  <c r="AI19" i="63" s="1"/>
  <c r="AJ19" i="63" s="1"/>
  <c r="AK19" i="63" s="1"/>
  <c r="AL19" i="63" s="1"/>
  <c r="AM19" i="63" s="1"/>
  <c r="AN19" i="63" s="1"/>
  <c r="AO19" i="63" s="1"/>
  <c r="AP19" i="63" s="1"/>
  <c r="AQ19" i="63" s="1"/>
  <c r="AR19" i="63" s="1"/>
  <c r="AS19" i="63" s="1"/>
  <c r="AT19" i="63" s="1"/>
  <c r="AU19" i="63" s="1"/>
  <c r="AV19" i="63" s="1"/>
  <c r="AW19" i="63" s="1"/>
  <c r="AX19" i="63" s="1"/>
  <c r="AY19" i="63" s="1"/>
  <c r="AZ19" i="63" s="1"/>
  <c r="BA19" i="63" s="1"/>
  <c r="BB19" i="63" s="1"/>
  <c r="BC19" i="63" s="1"/>
  <c r="BD19" i="63" s="1"/>
  <c r="BE19" i="63" s="1"/>
  <c r="BF19" i="63" s="1"/>
  <c r="BG19" i="63" s="1"/>
  <c r="BH19" i="63" s="1"/>
  <c r="BI19" i="63" s="1"/>
  <c r="BJ19" i="63" s="1"/>
  <c r="BK19" i="63" s="1"/>
  <c r="BL19" i="63" s="1"/>
  <c r="BM19" i="63" s="1"/>
  <c r="BN19" i="63" s="1"/>
  <c r="BO19" i="63" s="1"/>
  <c r="BP19" i="63" s="1"/>
  <c r="BQ19" i="63" s="1"/>
  <c r="BR19" i="63" s="1"/>
  <c r="BS19" i="63" s="1"/>
  <c r="BT19" i="63" s="1"/>
  <c r="BU19" i="63" s="1"/>
  <c r="BV19" i="63" s="1"/>
  <c r="BW19" i="63" s="1"/>
  <c r="BX19" i="63" s="1"/>
  <c r="BY19" i="63" s="1"/>
  <c r="BZ19" i="63" s="1"/>
  <c r="CA19" i="63" s="1"/>
  <c r="CB19" i="63" s="1"/>
  <c r="CC19" i="63" s="1"/>
  <c r="CD19" i="63" s="1"/>
  <c r="CE19" i="63" s="1"/>
  <c r="CF19" i="63" s="1"/>
  <c r="CG19" i="63" s="1"/>
  <c r="CH19" i="63" s="1"/>
  <c r="C19" i="63"/>
  <c r="B19" i="63"/>
  <c r="E10" i="63"/>
  <c r="F10" i="63"/>
  <c r="G10" i="63"/>
  <c r="H10" i="63"/>
  <c r="I10" i="63"/>
  <c r="J10" i="63"/>
  <c r="K10" i="63"/>
  <c r="L10" i="63"/>
  <c r="M10" i="63"/>
  <c r="N10" i="63"/>
  <c r="O10" i="63"/>
  <c r="P10" i="63"/>
  <c r="Q10" i="63"/>
  <c r="R10" i="63"/>
  <c r="S10" i="63"/>
  <c r="T10" i="63"/>
  <c r="U10" i="63"/>
  <c r="V10" i="63"/>
  <c r="W10" i="63"/>
  <c r="X10" i="63"/>
  <c r="Y10" i="63"/>
  <c r="Z10" i="63"/>
  <c r="AA10" i="63"/>
  <c r="AB10" i="63"/>
  <c r="AC10" i="63"/>
  <c r="AD10" i="63"/>
  <c r="AE10" i="63"/>
  <c r="AF10" i="63"/>
  <c r="AG10" i="63"/>
  <c r="AH10" i="63"/>
  <c r="AI10" i="63"/>
  <c r="AJ10" i="63"/>
  <c r="AK10" i="63"/>
  <c r="AL10" i="63"/>
  <c r="AM10" i="63"/>
  <c r="AN10" i="63"/>
  <c r="AO10" i="63"/>
  <c r="AP10" i="63"/>
  <c r="AQ10" i="63"/>
  <c r="AR10" i="63"/>
  <c r="AS10" i="63"/>
  <c r="AT10" i="63"/>
  <c r="AU10" i="63"/>
  <c r="AV10" i="63"/>
  <c r="AW10" i="63"/>
  <c r="AX10" i="63"/>
  <c r="AY10" i="63"/>
  <c r="AZ10" i="63"/>
  <c r="BA10" i="63"/>
  <c r="BB10" i="63"/>
  <c r="BC10" i="63"/>
  <c r="BD10" i="63"/>
  <c r="BE10" i="63"/>
  <c r="BF10" i="63"/>
  <c r="BG10" i="63"/>
  <c r="BH10" i="63"/>
  <c r="BI10" i="63"/>
  <c r="BJ10" i="63"/>
  <c r="BK10" i="63"/>
  <c r="BL10" i="63"/>
  <c r="BM10" i="63"/>
  <c r="BN10" i="63"/>
  <c r="BO10" i="63"/>
  <c r="BP10" i="63"/>
  <c r="BQ10" i="63"/>
  <c r="BR10" i="63"/>
  <c r="BS10" i="63"/>
  <c r="BT10" i="63"/>
  <c r="BU10" i="63"/>
  <c r="BV10" i="63"/>
  <c r="BW10" i="63"/>
  <c r="BX10" i="63"/>
  <c r="BY10" i="63"/>
  <c r="BZ10" i="63"/>
  <c r="CA10" i="63"/>
  <c r="CB10" i="63"/>
  <c r="CC10" i="63"/>
  <c r="CD10" i="63"/>
  <c r="CE10" i="63"/>
  <c r="CF10" i="63"/>
  <c r="CG10" i="63"/>
  <c r="CH10" i="63"/>
  <c r="C10" i="63"/>
  <c r="D10" i="63"/>
  <c r="B10" i="63"/>
  <c r="C2" i="32" l="1"/>
  <c r="B2" i="32"/>
  <c r="B3" i="32"/>
  <c r="J62" i="66"/>
  <c r="I62" i="66"/>
  <c r="H62" i="66"/>
  <c r="G62" i="66"/>
  <c r="F62" i="66"/>
  <c r="E62" i="66"/>
  <c r="D62" i="66"/>
  <c r="C62" i="66"/>
  <c r="B62" i="66"/>
  <c r="J61" i="66"/>
  <c r="I61" i="66"/>
  <c r="H61" i="66"/>
  <c r="G61" i="66"/>
  <c r="F61" i="66"/>
  <c r="E61" i="66"/>
  <c r="D61" i="66"/>
  <c r="C61" i="66"/>
  <c r="B61" i="66"/>
  <c r="J60" i="66"/>
  <c r="I60" i="66"/>
  <c r="H60" i="66"/>
  <c r="G60" i="66"/>
  <c r="F60" i="66"/>
  <c r="E60" i="66"/>
  <c r="D60" i="66"/>
  <c r="C60" i="66"/>
  <c r="B60" i="66"/>
  <c r="J59" i="66"/>
  <c r="I59" i="66"/>
  <c r="H59" i="66"/>
  <c r="G59" i="66"/>
  <c r="F59" i="66"/>
  <c r="E59" i="66"/>
  <c r="D59" i="66"/>
  <c r="C59" i="66"/>
  <c r="B59" i="66"/>
  <c r="J58" i="66"/>
  <c r="I58" i="66"/>
  <c r="H58" i="66"/>
  <c r="G58" i="66"/>
  <c r="F58" i="66"/>
  <c r="E58" i="66"/>
  <c r="D58" i="66"/>
  <c r="C58" i="66"/>
  <c r="B58" i="66"/>
  <c r="J57" i="66"/>
  <c r="I57" i="66"/>
  <c r="H57" i="66"/>
  <c r="G57" i="66"/>
  <c r="F57" i="66"/>
  <c r="E57" i="66"/>
  <c r="D57" i="66"/>
  <c r="C57" i="66"/>
  <c r="B57" i="66"/>
  <c r="J56" i="66"/>
  <c r="I56" i="66"/>
  <c r="H56" i="66"/>
  <c r="G56" i="66"/>
  <c r="F56" i="66"/>
  <c r="E56" i="66"/>
  <c r="D56" i="66"/>
  <c r="C56" i="66"/>
  <c r="B56" i="66"/>
  <c r="J55" i="66"/>
  <c r="I55" i="66"/>
  <c r="H55" i="66"/>
  <c r="G55" i="66"/>
  <c r="F55" i="66"/>
  <c r="E55" i="66"/>
  <c r="D55" i="66"/>
  <c r="C55" i="66"/>
  <c r="B55" i="66"/>
  <c r="J54" i="66"/>
  <c r="I54" i="66"/>
  <c r="H54" i="66"/>
  <c r="G54" i="66"/>
  <c r="F54" i="66"/>
  <c r="E54" i="66"/>
  <c r="D54" i="66"/>
  <c r="C54" i="66"/>
  <c r="B54" i="66"/>
  <c r="J53" i="66"/>
  <c r="I53" i="66"/>
  <c r="H53" i="66"/>
  <c r="G53" i="66"/>
  <c r="F53" i="66"/>
  <c r="E53" i="66"/>
  <c r="D53" i="66"/>
  <c r="C53" i="66"/>
  <c r="B53" i="66"/>
  <c r="J52" i="66"/>
  <c r="I52" i="66"/>
  <c r="H52" i="66"/>
  <c r="G52" i="66"/>
  <c r="F52" i="66"/>
  <c r="E52" i="66"/>
  <c r="D52" i="66"/>
  <c r="C52" i="66"/>
  <c r="B52" i="66"/>
  <c r="J51" i="66"/>
  <c r="I51" i="66"/>
  <c r="H51" i="66"/>
  <c r="G51" i="66"/>
  <c r="F51" i="66"/>
  <c r="E51" i="66"/>
  <c r="D51" i="66"/>
  <c r="C51" i="66"/>
  <c r="B51" i="66"/>
  <c r="J50" i="66"/>
  <c r="I50" i="66"/>
  <c r="H50" i="66"/>
  <c r="G50" i="66"/>
  <c r="F50" i="66"/>
  <c r="E50" i="66"/>
  <c r="D50" i="66"/>
  <c r="C50" i="66"/>
  <c r="B50" i="66"/>
  <c r="J49" i="66"/>
  <c r="I49" i="66"/>
  <c r="H49" i="66"/>
  <c r="G49" i="66"/>
  <c r="F49" i="66"/>
  <c r="E49" i="66"/>
  <c r="D49" i="66"/>
  <c r="C49" i="66"/>
  <c r="B49" i="66"/>
  <c r="J48" i="66"/>
  <c r="I48" i="66"/>
  <c r="H48" i="66"/>
  <c r="G48" i="66"/>
  <c r="F48" i="66"/>
  <c r="E48" i="66"/>
  <c r="D48" i="66"/>
  <c r="C48" i="66"/>
  <c r="B48" i="66"/>
  <c r="J47" i="66"/>
  <c r="I47" i="66"/>
  <c r="H47" i="66"/>
  <c r="G47" i="66"/>
  <c r="F47" i="66"/>
  <c r="E47" i="66"/>
  <c r="D47" i="66"/>
  <c r="C47" i="66"/>
  <c r="B47" i="66"/>
  <c r="J46" i="66"/>
  <c r="I46" i="66"/>
  <c r="H46" i="66"/>
  <c r="G46" i="66"/>
  <c r="F46" i="66"/>
  <c r="E46" i="66"/>
  <c r="D46" i="66"/>
  <c r="C46" i="66"/>
  <c r="B46" i="66"/>
  <c r="J45" i="66"/>
  <c r="I45" i="66"/>
  <c r="H45" i="66"/>
  <c r="G45" i="66"/>
  <c r="F45" i="66"/>
  <c r="E45" i="66"/>
  <c r="D45" i="66"/>
  <c r="C45" i="66"/>
  <c r="B45" i="66"/>
  <c r="J44" i="66"/>
  <c r="I44" i="66"/>
  <c r="H44" i="66"/>
  <c r="G44" i="66"/>
  <c r="F44" i="66"/>
  <c r="E44" i="66"/>
  <c r="D44" i="66"/>
  <c r="C44" i="66"/>
  <c r="B44" i="66"/>
  <c r="J43" i="66"/>
  <c r="I43" i="66"/>
  <c r="H43" i="66"/>
  <c r="G43" i="66"/>
  <c r="F43" i="66"/>
  <c r="E43" i="66"/>
  <c r="D43" i="66"/>
  <c r="C43" i="66"/>
  <c r="B43" i="66"/>
  <c r="J42" i="66"/>
  <c r="I42" i="66"/>
  <c r="H42" i="66"/>
  <c r="G42" i="66"/>
  <c r="F42" i="66"/>
  <c r="E42" i="66"/>
  <c r="D42" i="66"/>
  <c r="C42" i="66"/>
  <c r="B42" i="66"/>
  <c r="J41" i="66"/>
  <c r="I41" i="66"/>
  <c r="H41" i="66"/>
  <c r="G41" i="66"/>
  <c r="F41" i="66"/>
  <c r="E41" i="66"/>
  <c r="D41" i="66"/>
  <c r="C41" i="66"/>
  <c r="B41" i="66"/>
  <c r="J40" i="66"/>
  <c r="I40" i="66"/>
  <c r="H40" i="66"/>
  <c r="G40" i="66"/>
  <c r="F40" i="66"/>
  <c r="E40" i="66"/>
  <c r="D40" i="66"/>
  <c r="C40" i="66"/>
  <c r="B40" i="66"/>
  <c r="J39" i="66"/>
  <c r="I39" i="66"/>
  <c r="H39" i="66"/>
  <c r="G39" i="66"/>
  <c r="F39" i="66"/>
  <c r="E39" i="66"/>
  <c r="D39" i="66"/>
  <c r="C39" i="66"/>
  <c r="B39" i="66"/>
  <c r="J38" i="66"/>
  <c r="I38" i="66"/>
  <c r="H38" i="66"/>
  <c r="G38" i="66"/>
  <c r="F38" i="66"/>
  <c r="E38" i="66"/>
  <c r="D38" i="66"/>
  <c r="C38" i="66"/>
  <c r="B38" i="66"/>
  <c r="J37" i="66"/>
  <c r="I37" i="66"/>
  <c r="H37" i="66"/>
  <c r="G37" i="66"/>
  <c r="F37" i="66"/>
  <c r="E37" i="66"/>
  <c r="D37" i="66"/>
  <c r="C37" i="66"/>
  <c r="B37" i="66"/>
  <c r="J36" i="66"/>
  <c r="I36" i="66"/>
  <c r="H36" i="66"/>
  <c r="G36" i="66"/>
  <c r="F36" i="66"/>
  <c r="E36" i="66"/>
  <c r="D36" i="66"/>
  <c r="C36" i="66"/>
  <c r="B36" i="66"/>
  <c r="J35" i="66"/>
  <c r="I35" i="66"/>
  <c r="H35" i="66"/>
  <c r="G35" i="66"/>
  <c r="F35" i="66"/>
  <c r="E35" i="66"/>
  <c r="D35" i="66"/>
  <c r="C35" i="66"/>
  <c r="B35" i="66"/>
  <c r="J34" i="66"/>
  <c r="I34" i="66"/>
  <c r="H34" i="66"/>
  <c r="G34" i="66"/>
  <c r="F34" i="66"/>
  <c r="E34" i="66"/>
  <c r="D34" i="66"/>
  <c r="C34" i="66"/>
  <c r="B34" i="66"/>
  <c r="J33" i="66"/>
  <c r="I33" i="66"/>
  <c r="H33" i="66"/>
  <c r="G33" i="66"/>
  <c r="F33" i="66"/>
  <c r="E33" i="66"/>
  <c r="D33" i="66"/>
  <c r="C33" i="66"/>
  <c r="B33" i="66"/>
  <c r="J32" i="66"/>
  <c r="I32" i="66"/>
  <c r="H32" i="66"/>
  <c r="G32" i="66"/>
  <c r="F32" i="66"/>
  <c r="E32" i="66"/>
  <c r="D32" i="66"/>
  <c r="C32" i="66"/>
  <c r="B32" i="66"/>
  <c r="J31" i="66"/>
  <c r="I31" i="66"/>
  <c r="H31" i="66"/>
  <c r="G31" i="66"/>
  <c r="F31" i="66"/>
  <c r="E31" i="66"/>
  <c r="D31" i="66"/>
  <c r="C31" i="66"/>
  <c r="B31" i="66"/>
  <c r="J30" i="66"/>
  <c r="I30" i="66"/>
  <c r="H30" i="66"/>
  <c r="G30" i="66"/>
  <c r="F30" i="66"/>
  <c r="E30" i="66"/>
  <c r="D30" i="66"/>
  <c r="C30" i="66"/>
  <c r="B30" i="66"/>
  <c r="J29" i="66"/>
  <c r="I29" i="66"/>
  <c r="H29" i="66"/>
  <c r="G29" i="66"/>
  <c r="F29" i="66"/>
  <c r="E29" i="66"/>
  <c r="D29" i="66"/>
  <c r="C29" i="66"/>
  <c r="B29" i="66"/>
  <c r="J28" i="66"/>
  <c r="I28" i="66"/>
  <c r="H28" i="66"/>
  <c r="G28" i="66"/>
  <c r="F28" i="66"/>
  <c r="E28" i="66"/>
  <c r="D28" i="66"/>
  <c r="C28" i="66"/>
  <c r="B28" i="66"/>
  <c r="J27" i="66"/>
  <c r="I27" i="66"/>
  <c r="H27" i="66"/>
  <c r="G27" i="66"/>
  <c r="F27" i="66"/>
  <c r="E27" i="66"/>
  <c r="D27" i="66"/>
  <c r="C27" i="66"/>
  <c r="B27" i="66"/>
  <c r="J26" i="66"/>
  <c r="I26" i="66"/>
  <c r="H26" i="66"/>
  <c r="G26" i="66"/>
  <c r="F26" i="66"/>
  <c r="E26" i="66"/>
  <c r="D26" i="66"/>
  <c r="C26" i="66"/>
  <c r="B26" i="66"/>
  <c r="J25" i="66"/>
  <c r="I25" i="66"/>
  <c r="H25" i="66"/>
  <c r="G25" i="66"/>
  <c r="F25" i="66"/>
  <c r="E25" i="66"/>
  <c r="D25" i="66"/>
  <c r="C25" i="66"/>
  <c r="B25" i="66"/>
  <c r="J24" i="66"/>
  <c r="I24" i="66"/>
  <c r="H24" i="66"/>
  <c r="G24" i="66"/>
  <c r="F24" i="66"/>
  <c r="E24" i="66"/>
  <c r="D24" i="66"/>
  <c r="C24" i="66"/>
  <c r="B24" i="66"/>
  <c r="J23" i="66"/>
  <c r="I23" i="66"/>
  <c r="H23" i="66"/>
  <c r="G23" i="66"/>
  <c r="F23" i="66"/>
  <c r="E23" i="66"/>
  <c r="D23" i="66"/>
  <c r="C23" i="66"/>
  <c r="B23" i="66"/>
  <c r="J22" i="66"/>
  <c r="I22" i="66"/>
  <c r="H22" i="66"/>
  <c r="G22" i="66"/>
  <c r="F22" i="66"/>
  <c r="E22" i="66"/>
  <c r="D22" i="66"/>
  <c r="C22" i="66"/>
  <c r="B22" i="66"/>
  <c r="J21" i="66"/>
  <c r="I21" i="66"/>
  <c r="H21" i="66"/>
  <c r="G21" i="66"/>
  <c r="F21" i="66"/>
  <c r="E21" i="66"/>
  <c r="D21" i="66"/>
  <c r="C21" i="66"/>
  <c r="B21" i="66"/>
  <c r="J20" i="66"/>
  <c r="I20" i="66"/>
  <c r="H20" i="66"/>
  <c r="G20" i="66"/>
  <c r="F20" i="66"/>
  <c r="E20" i="66"/>
  <c r="D20" i="66"/>
  <c r="C20" i="66"/>
  <c r="B20" i="66"/>
  <c r="X19" i="66"/>
  <c r="J19" i="66"/>
  <c r="I19" i="66"/>
  <c r="H19" i="66"/>
  <c r="G19" i="66"/>
  <c r="F19" i="66"/>
  <c r="E19" i="66"/>
  <c r="D19" i="66"/>
  <c r="C19" i="66"/>
  <c r="B19" i="66"/>
  <c r="J18" i="66"/>
  <c r="I18" i="66"/>
  <c r="H18" i="66"/>
  <c r="G18" i="66"/>
  <c r="F18" i="66"/>
  <c r="E18" i="66"/>
  <c r="D18" i="66"/>
  <c r="C18" i="66"/>
  <c r="B18" i="66"/>
  <c r="J17" i="66"/>
  <c r="I17" i="66"/>
  <c r="H17" i="66"/>
  <c r="G17" i="66"/>
  <c r="F17" i="66"/>
  <c r="E17" i="66"/>
  <c r="D17" i="66"/>
  <c r="C17" i="66"/>
  <c r="B17" i="66"/>
  <c r="J16" i="66"/>
  <c r="I16" i="66"/>
  <c r="H16" i="66"/>
  <c r="G16" i="66"/>
  <c r="F16" i="66"/>
  <c r="E16" i="66"/>
  <c r="D16" i="66"/>
  <c r="C16" i="66"/>
  <c r="B16" i="66"/>
  <c r="J15" i="66"/>
  <c r="I15" i="66"/>
  <c r="H15" i="66"/>
  <c r="G15" i="66"/>
  <c r="F15" i="66"/>
  <c r="E15" i="66"/>
  <c r="D15" i="66"/>
  <c r="C15" i="66"/>
  <c r="B15" i="66"/>
  <c r="J14" i="66"/>
  <c r="I14" i="66"/>
  <c r="H14" i="66"/>
  <c r="G14" i="66"/>
  <c r="F14" i="66"/>
  <c r="E14" i="66"/>
  <c r="D14" i="66"/>
  <c r="C14" i="66"/>
  <c r="B14" i="66"/>
  <c r="X13" i="66"/>
  <c r="J13" i="66"/>
  <c r="I13" i="66"/>
  <c r="H13" i="66"/>
  <c r="G13" i="66"/>
  <c r="F13" i="66"/>
  <c r="E13" i="66"/>
  <c r="D13" i="66"/>
  <c r="C13" i="66"/>
  <c r="B13" i="66"/>
  <c r="J12" i="66"/>
  <c r="I12" i="66"/>
  <c r="H12" i="66"/>
  <c r="G12" i="66"/>
  <c r="F12" i="66"/>
  <c r="E12" i="66"/>
  <c r="D12" i="66"/>
  <c r="C12" i="66"/>
  <c r="B12" i="66"/>
  <c r="J11" i="66"/>
  <c r="I11" i="66"/>
  <c r="H11" i="66"/>
  <c r="G11" i="66"/>
  <c r="F11" i="66"/>
  <c r="E11" i="66"/>
  <c r="D11" i="66"/>
  <c r="C11" i="66"/>
  <c r="B11" i="66"/>
  <c r="J10" i="66"/>
  <c r="I10" i="66"/>
  <c r="H10" i="66"/>
  <c r="G10" i="66"/>
  <c r="F10" i="66"/>
  <c r="E10" i="66"/>
  <c r="D10" i="66"/>
  <c r="C10" i="66"/>
  <c r="B10" i="66"/>
  <c r="J9" i="66"/>
  <c r="I9" i="66"/>
  <c r="H9" i="66"/>
  <c r="G9" i="66"/>
  <c r="F9" i="66"/>
  <c r="E9" i="66"/>
  <c r="D9" i="66"/>
  <c r="C9" i="66"/>
  <c r="B9" i="66"/>
  <c r="X8" i="66"/>
  <c r="J8" i="66"/>
  <c r="I8" i="66"/>
  <c r="H8" i="66"/>
  <c r="G8" i="66"/>
  <c r="F8" i="66"/>
  <c r="E8" i="66"/>
  <c r="D8" i="66"/>
  <c r="C8" i="66"/>
  <c r="B8" i="66"/>
  <c r="U7" i="66"/>
  <c r="N7" i="66"/>
  <c r="M7" i="66"/>
  <c r="L7" i="66"/>
  <c r="J7" i="66"/>
  <c r="I7" i="66"/>
  <c r="H7" i="66"/>
  <c r="G7" i="66"/>
  <c r="F7" i="66"/>
  <c r="E7" i="66"/>
  <c r="D7" i="66"/>
  <c r="C7" i="66"/>
  <c r="B7" i="66"/>
  <c r="BP54" i="65" l="1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H30" i="63" s="1"/>
  <c r="CG27" i="63"/>
  <c r="CG30" i="63" s="1"/>
  <c r="CF27" i="63"/>
  <c r="CF30" i="63" s="1"/>
  <c r="CE27" i="63"/>
  <c r="CE30" i="63" s="1"/>
  <c r="CD27" i="63"/>
  <c r="CD30" i="63" s="1"/>
  <c r="CC27" i="63"/>
  <c r="CC30" i="63" s="1"/>
  <c r="CB27" i="63"/>
  <c r="CB30" i="63" s="1"/>
  <c r="CA27" i="63"/>
  <c r="CA30" i="63" s="1"/>
  <c r="BZ27" i="63"/>
  <c r="BZ30" i="63" s="1"/>
  <c r="BY27" i="63"/>
  <c r="BY30" i="63" s="1"/>
  <c r="BX27" i="63"/>
  <c r="BX30" i="63" s="1"/>
  <c r="BW27" i="63"/>
  <c r="BW30" i="63" s="1"/>
  <c r="BV27" i="63"/>
  <c r="BV30" i="63" s="1"/>
  <c r="BU27" i="63"/>
  <c r="BU30" i="63" s="1"/>
  <c r="BT27" i="63"/>
  <c r="BT30" i="63" s="1"/>
  <c r="BS27" i="63"/>
  <c r="BS30" i="63" s="1"/>
  <c r="BR27" i="63"/>
  <c r="BR30" i="63" s="1"/>
  <c r="BQ27" i="63"/>
  <c r="BQ30" i="63" s="1"/>
  <c r="BP27" i="63"/>
  <c r="BP30" i="63" s="1"/>
  <c r="BO27" i="63"/>
  <c r="BO30" i="63" s="1"/>
  <c r="BN27" i="63"/>
  <c r="BN30" i="63" s="1"/>
  <c r="BM27" i="63"/>
  <c r="BM30" i="63" s="1"/>
  <c r="BL27" i="63"/>
  <c r="BL30" i="63" s="1"/>
  <c r="BK27" i="63"/>
  <c r="BK30" i="63" s="1"/>
  <c r="BJ27" i="63"/>
  <c r="BJ30" i="63" s="1"/>
  <c r="BI27" i="63"/>
  <c r="BI30" i="63" s="1"/>
  <c r="BH27" i="63"/>
  <c r="BH30" i="63" s="1"/>
  <c r="BG27" i="63"/>
  <c r="BG30" i="63" s="1"/>
  <c r="BF27" i="63"/>
  <c r="BF30" i="63" s="1"/>
  <c r="BE27" i="63"/>
  <c r="BE30" i="63" s="1"/>
  <c r="BD27" i="63"/>
  <c r="BD30" i="63" s="1"/>
  <c r="BC27" i="63"/>
  <c r="BC30" i="63" s="1"/>
  <c r="BB27" i="63"/>
  <c r="BB30" i="63" s="1"/>
  <c r="BA27" i="63"/>
  <c r="BA30" i="63" s="1"/>
  <c r="AZ27" i="63"/>
  <c r="AZ30" i="63" s="1"/>
  <c r="AY27" i="63"/>
  <c r="AY30" i="63" s="1"/>
  <c r="AX27" i="63"/>
  <c r="AX30" i="63" s="1"/>
  <c r="AW27" i="63"/>
  <c r="AW30" i="63" s="1"/>
  <c r="AV27" i="63"/>
  <c r="AV30" i="63" s="1"/>
  <c r="AU27" i="63"/>
  <c r="AU30" i="63" s="1"/>
  <c r="AT27" i="63"/>
  <c r="AT30" i="63" s="1"/>
  <c r="AS27" i="63"/>
  <c r="AS30" i="63" s="1"/>
  <c r="AR27" i="63"/>
  <c r="AR30" i="63" s="1"/>
  <c r="AQ27" i="63"/>
  <c r="AQ30" i="63" s="1"/>
  <c r="AP27" i="63"/>
  <c r="AP30" i="63" s="1"/>
  <c r="AO27" i="63"/>
  <c r="AO30" i="63" s="1"/>
  <c r="AN27" i="63"/>
  <c r="AN30" i="63" s="1"/>
  <c r="AM27" i="63"/>
  <c r="AM30" i="63" s="1"/>
  <c r="AL27" i="63"/>
  <c r="AL30" i="63" s="1"/>
  <c r="AK27" i="63"/>
  <c r="AK30" i="63" s="1"/>
  <c r="AJ27" i="63"/>
  <c r="AJ30" i="63" s="1"/>
  <c r="AI27" i="63"/>
  <c r="AI30" i="63" s="1"/>
  <c r="AH27" i="63"/>
  <c r="AH30" i="63" s="1"/>
  <c r="AG27" i="63"/>
  <c r="AG30" i="63" s="1"/>
  <c r="AF27" i="63"/>
  <c r="AF30" i="63" s="1"/>
  <c r="AE27" i="63"/>
  <c r="AE30" i="63" s="1"/>
  <c r="AD27" i="63"/>
  <c r="AD30" i="63" s="1"/>
  <c r="AC27" i="63"/>
  <c r="AC30" i="63" s="1"/>
  <c r="AB27" i="63"/>
  <c r="AB30" i="63" s="1"/>
  <c r="AA27" i="63"/>
  <c r="AA30" i="63" s="1"/>
  <c r="Z27" i="63"/>
  <c r="Z30" i="63" s="1"/>
  <c r="Y27" i="63"/>
  <c r="Y30" i="63" s="1"/>
  <c r="X27" i="63"/>
  <c r="X30" i="63" s="1"/>
  <c r="W27" i="63"/>
  <c r="W30" i="63" s="1"/>
  <c r="V27" i="63"/>
  <c r="V30" i="63" s="1"/>
  <c r="U27" i="63"/>
  <c r="U30" i="63" s="1"/>
  <c r="T27" i="63"/>
  <c r="T30" i="63" s="1"/>
  <c r="S27" i="63"/>
  <c r="S30" i="63" s="1"/>
  <c r="R27" i="63"/>
  <c r="R30" i="63" s="1"/>
  <c r="Q27" i="63"/>
  <c r="Q30" i="63" s="1"/>
  <c r="P27" i="63"/>
  <c r="P30" i="63" s="1"/>
  <c r="O27" i="63"/>
  <c r="O30" i="63" s="1"/>
  <c r="N27" i="63"/>
  <c r="N30" i="63" s="1"/>
  <c r="M27" i="63"/>
  <c r="M30" i="63" s="1"/>
  <c r="L27" i="63"/>
  <c r="L30" i="63" s="1"/>
  <c r="K27" i="63"/>
  <c r="K30" i="63" s="1"/>
  <c r="J27" i="63"/>
  <c r="J30" i="63" s="1"/>
  <c r="I27" i="63"/>
  <c r="I30" i="63" s="1"/>
  <c r="H27" i="63"/>
  <c r="H30" i="63" s="1"/>
  <c r="G27" i="63"/>
  <c r="G30" i="63" s="1"/>
  <c r="F27" i="63"/>
  <c r="F30" i="63" s="1"/>
  <c r="E27" i="63"/>
  <c r="E30" i="63" s="1"/>
  <c r="D27" i="63"/>
  <c r="D30" i="63" s="1"/>
  <c r="C27" i="63"/>
  <c r="C30" i="63" s="1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H20" i="63" s="1"/>
  <c r="CG17" i="63"/>
  <c r="CG20" i="63" s="1"/>
  <c r="CF17" i="63"/>
  <c r="CF20" i="63" s="1"/>
  <c r="CE17" i="63"/>
  <c r="CE20" i="63" s="1"/>
  <c r="CD17" i="63"/>
  <c r="CD20" i="63" s="1"/>
  <c r="CC17" i="63"/>
  <c r="CC20" i="63" s="1"/>
  <c r="CB17" i="63"/>
  <c r="CB20" i="63" s="1"/>
  <c r="CA17" i="63"/>
  <c r="CA20" i="63" s="1"/>
  <c r="BZ17" i="63"/>
  <c r="BZ20" i="63" s="1"/>
  <c r="BY17" i="63"/>
  <c r="BY20" i="63" s="1"/>
  <c r="BX17" i="63"/>
  <c r="BX20" i="63" s="1"/>
  <c r="BW17" i="63"/>
  <c r="BW20" i="63" s="1"/>
  <c r="BV17" i="63"/>
  <c r="BV20" i="63" s="1"/>
  <c r="BU17" i="63"/>
  <c r="BU20" i="63" s="1"/>
  <c r="BT17" i="63"/>
  <c r="BT20" i="63" s="1"/>
  <c r="BS17" i="63"/>
  <c r="BS20" i="63" s="1"/>
  <c r="BR17" i="63"/>
  <c r="BR20" i="63" s="1"/>
  <c r="BQ17" i="63"/>
  <c r="BQ20" i="63" s="1"/>
  <c r="BP17" i="63"/>
  <c r="BP20" i="63" s="1"/>
  <c r="BO17" i="63"/>
  <c r="BO20" i="63" s="1"/>
  <c r="BN17" i="63"/>
  <c r="BN20" i="63" s="1"/>
  <c r="BM17" i="63"/>
  <c r="BM20" i="63" s="1"/>
  <c r="BL17" i="63"/>
  <c r="BL20" i="63" s="1"/>
  <c r="BK17" i="63"/>
  <c r="BK20" i="63" s="1"/>
  <c r="BJ17" i="63"/>
  <c r="BJ20" i="63" s="1"/>
  <c r="BI17" i="63"/>
  <c r="BI20" i="63" s="1"/>
  <c r="BH17" i="63"/>
  <c r="BH20" i="63" s="1"/>
  <c r="BG17" i="63"/>
  <c r="BG20" i="63" s="1"/>
  <c r="BF17" i="63"/>
  <c r="BF20" i="63" s="1"/>
  <c r="BE17" i="63"/>
  <c r="BE20" i="63" s="1"/>
  <c r="BD17" i="63"/>
  <c r="BD20" i="63" s="1"/>
  <c r="BC17" i="63"/>
  <c r="BC20" i="63" s="1"/>
  <c r="BB17" i="63"/>
  <c r="BB20" i="63" s="1"/>
  <c r="BA17" i="63"/>
  <c r="BA20" i="63" s="1"/>
  <c r="AZ17" i="63"/>
  <c r="AZ20" i="63" s="1"/>
  <c r="AY17" i="63"/>
  <c r="AY20" i="63" s="1"/>
  <c r="AX17" i="63"/>
  <c r="AX20" i="63" s="1"/>
  <c r="AW17" i="63"/>
  <c r="AW20" i="63" s="1"/>
  <c r="AV17" i="63"/>
  <c r="AV20" i="63" s="1"/>
  <c r="AU17" i="63"/>
  <c r="AU20" i="63" s="1"/>
  <c r="AT17" i="63"/>
  <c r="AT20" i="63" s="1"/>
  <c r="AS17" i="63"/>
  <c r="AS20" i="63" s="1"/>
  <c r="AR17" i="63"/>
  <c r="AR20" i="63" s="1"/>
  <c r="AQ17" i="63"/>
  <c r="AQ20" i="63" s="1"/>
  <c r="AP17" i="63"/>
  <c r="AP20" i="63" s="1"/>
  <c r="AO17" i="63"/>
  <c r="AO20" i="63" s="1"/>
  <c r="AN17" i="63"/>
  <c r="AN20" i="63" s="1"/>
  <c r="AM17" i="63"/>
  <c r="AM20" i="63" s="1"/>
  <c r="AL17" i="63"/>
  <c r="AL20" i="63" s="1"/>
  <c r="AK17" i="63"/>
  <c r="AK20" i="63" s="1"/>
  <c r="AJ17" i="63"/>
  <c r="AJ20" i="63" s="1"/>
  <c r="AI17" i="63"/>
  <c r="AI20" i="63" s="1"/>
  <c r="AH17" i="63"/>
  <c r="AH20" i="63" s="1"/>
  <c r="AG17" i="63"/>
  <c r="AG20" i="63" s="1"/>
  <c r="AF17" i="63"/>
  <c r="AF20" i="63" s="1"/>
  <c r="AE17" i="63"/>
  <c r="AE20" i="63" s="1"/>
  <c r="AD17" i="63"/>
  <c r="AD20" i="63" s="1"/>
  <c r="AC17" i="63"/>
  <c r="AC20" i="63" s="1"/>
  <c r="AB17" i="63"/>
  <c r="AB20" i="63" s="1"/>
  <c r="AA17" i="63"/>
  <c r="AA20" i="63" s="1"/>
  <c r="Z17" i="63"/>
  <c r="Z20" i="63" s="1"/>
  <c r="Y17" i="63"/>
  <c r="Y20" i="63" s="1"/>
  <c r="X17" i="63"/>
  <c r="X20" i="63" s="1"/>
  <c r="W17" i="63"/>
  <c r="W20" i="63" s="1"/>
  <c r="V17" i="63"/>
  <c r="V20" i="63" s="1"/>
  <c r="U17" i="63"/>
  <c r="U20" i="63" s="1"/>
  <c r="T17" i="63"/>
  <c r="T20" i="63" s="1"/>
  <c r="S17" i="63"/>
  <c r="S20" i="63" s="1"/>
  <c r="R17" i="63"/>
  <c r="R20" i="63" s="1"/>
  <c r="Q17" i="63"/>
  <c r="Q20" i="63" s="1"/>
  <c r="P17" i="63"/>
  <c r="P20" i="63" s="1"/>
  <c r="O17" i="63"/>
  <c r="O20" i="63" s="1"/>
  <c r="N17" i="63"/>
  <c r="N20" i="63" s="1"/>
  <c r="M17" i="63"/>
  <c r="M20" i="63" s="1"/>
  <c r="L17" i="63"/>
  <c r="L20" i="63" s="1"/>
  <c r="K17" i="63"/>
  <c r="K20" i="63" s="1"/>
  <c r="J17" i="63"/>
  <c r="J20" i="63" s="1"/>
  <c r="I17" i="63"/>
  <c r="I20" i="63" s="1"/>
  <c r="H17" i="63"/>
  <c r="H20" i="63" s="1"/>
  <c r="G17" i="63"/>
  <c r="G20" i="63" s="1"/>
  <c r="F17" i="63"/>
  <c r="F20" i="63" s="1"/>
  <c r="E17" i="63"/>
  <c r="E20" i="63" s="1"/>
  <c r="D17" i="63"/>
  <c r="D20" i="63" s="1"/>
  <c r="C17" i="63"/>
  <c r="C20" i="63" s="1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S11" i="61"/>
  <c r="Q9" i="61"/>
  <c r="R7" i="61"/>
  <c r="D23" i="62"/>
  <c r="E21" i="62" s="1"/>
  <c r="P6" i="61"/>
  <c r="X6" i="61" s="1"/>
  <c r="Q11" i="61"/>
  <c r="R9" i="61"/>
  <c r="S8" i="61"/>
  <c r="X8" i="61" s="1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O7" i="63" l="1"/>
  <c r="P7" i="63" l="1"/>
  <c r="Q7" i="63" l="1"/>
  <c r="R7" i="63" l="1"/>
  <c r="S7" i="63" l="1"/>
  <c r="T7" i="63" l="1"/>
  <c r="U7" i="63" l="1"/>
  <c r="V7" i="63" l="1"/>
  <c r="W7" i="63" l="1"/>
  <c r="X7" i="63" l="1"/>
  <c r="Y7" i="63" l="1"/>
  <c r="Z7" i="63" l="1"/>
  <c r="AA7" i="63" l="1"/>
  <c r="AB7" i="63" l="1"/>
  <c r="AC7" i="63" l="1"/>
  <c r="AD7" i="63" l="1"/>
  <c r="AE7" i="63" l="1"/>
  <c r="AF7" i="63" l="1"/>
  <c r="AG7" i="63" l="1"/>
  <c r="AH7" i="63" l="1"/>
  <c r="AI7" i="63" l="1"/>
  <c r="AJ7" i="63" l="1"/>
  <c r="AK7" i="63" l="1"/>
  <c r="AL7" i="63" l="1"/>
  <c r="AM7" i="63" l="1"/>
  <c r="AN7" i="63" l="1"/>
  <c r="AO7" i="63" l="1"/>
  <c r="AP7" i="63" l="1"/>
  <c r="AQ7" i="63" l="1"/>
  <c r="AR7" i="63" l="1"/>
  <c r="AS7" i="63" l="1"/>
  <c r="AT7" i="63" l="1"/>
  <c r="AU7" i="63" l="1"/>
  <c r="AV7" i="63" l="1"/>
  <c r="AW7" i="63" l="1"/>
  <c r="AX7" i="63" l="1"/>
  <c r="AY7" i="63" l="1"/>
  <c r="AZ7" i="63" l="1"/>
  <c r="BA7" i="63" l="1"/>
  <c r="BB7" i="63" l="1"/>
  <c r="BC7" i="63" l="1"/>
  <c r="BD7" i="63" l="1"/>
  <c r="BE7" i="63" l="1"/>
  <c r="BF7" i="63" l="1"/>
  <c r="BG7" i="63" l="1"/>
  <c r="BH7" i="63" l="1"/>
  <c r="BI7" i="63" l="1"/>
  <c r="BJ7" i="63" l="1"/>
  <c r="BK7" i="63" l="1"/>
  <c r="BL7" i="63" l="1"/>
  <c r="BM7" i="63" l="1"/>
  <c r="BN7" i="63" l="1"/>
  <c r="BO7" i="63" l="1"/>
  <c r="BP7" i="63" l="1"/>
  <c r="BQ7" i="63" l="1"/>
  <c r="BR7" i="63" l="1"/>
  <c r="BS7" i="63" l="1"/>
  <c r="BT7" i="63" l="1"/>
  <c r="BU7" i="63" l="1"/>
  <c r="BV7" i="63" l="1"/>
  <c r="BW7" i="63" l="1"/>
  <c r="BX7" i="63" l="1"/>
  <c r="BY7" i="63" l="1"/>
  <c r="BZ7" i="63" l="1"/>
  <c r="CA7" i="63" l="1"/>
  <c r="CB7" i="63" l="1"/>
  <c r="CC7" i="63" l="1"/>
  <c r="CD7" i="63" l="1"/>
  <c r="CE7" i="63" l="1"/>
  <c r="CF7" i="63" l="1"/>
  <c r="CG7" i="63" l="1"/>
  <c r="CH7" i="63" l="1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<sst xmlns="http://schemas.openxmlformats.org/spreadsheetml/2006/main" count="2604" uniqueCount="939">
  <si>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</si>
  <si>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</si>
  <si>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</si>
  <si>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</si>
  <si>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</si>
  <si>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</si>
  <si>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</si>
  <si>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</si>
  <si>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</si>
  <si>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</si>
  <si>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</si>
  <si>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</si>
  <si>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</si>
  <si>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</si>
  <si>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</si>
  <si>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</si>
  <si>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</si>
  <si>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</si>
  <si>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</si>
  <si>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</si>
  <si>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</si>
  <si>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</si>
  <si>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</si>
  <si>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</si>
  <si>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</si>
  <si>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</si>
  <si>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</si>
  <si>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</si>
  <si>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</si>
  <si>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</si>
  <si>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</si>
  <si>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</si>
  <si>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</si>
  <si>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</si>
  <si>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</si>
  <si>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</si>
  <si>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</si>
  <si>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</si>
  <si>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</si>
  <si>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</si>
  <si>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</si>
  <si>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</si>
  <si>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</si>
  <si>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</si>
  <si>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</si>
  <si>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</si>
  <si>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</si>
  <si>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</si>
  <si>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</si>
  <si>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</si>
  <si>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</si>
  <si>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</si>
  <si>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</si>
  <si>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</si>
  <si>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</si>
  <si>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</si>
  <si>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</si>
  <si>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</si>
  <si>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</si>
  <si>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</si>
  <si>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</si>
  <si>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</si>
  <si>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</si>
  <si>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</si>
  <si>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</si>
  <si>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</si>
  <si>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</si>
  <si>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</si>
  <si>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</si>
  <si>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</si>
  <si>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</si>
  <si>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</si>
  <si>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</si>
  <si>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</si>
  <si>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</si>
  <si>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</si>
  <si>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</si>
  <si>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</si>
  <si>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</si>
  <si>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</si>
  <si>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</si>
  <si>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</si>
  <si>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</si>
  <si>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</si>
  <si>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</si>
  <si>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</si>
  <si>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</si>
  <si>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</si>
  <si>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</si>
  <si>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</si>
  <si>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</si>
  <si>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</si>
  <si>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</si>
  <si>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</si>
  <si>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</si>
  <si>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</si>
  <si>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</si>
  <si>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</si>
  <si>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</si>
  <si>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</si>
  <si>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</si>
  <si>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</si>
  <si>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</si>
  <si>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</si>
  <si>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</si>
  <si>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</si>
  <si>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</si>
  <si>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</si>
  <si>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</si>
  <si>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</si>
  <si>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</si>
  <si>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</si>
  <si>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</si>
  <si>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</si>
  <si>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</si>
  <si>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</si>
  <si>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</si>
  <si>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</si>
  <si>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</si>
  <si>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</si>
  <si>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</si>
  <si>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</si>
  <si>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</si>
  <si>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</si>
  <si>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</si>
  <si>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</si>
  <si>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</si>
  <si>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</si>
  <si>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</si>
  <si>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</si>
  <si>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</si>
  <si>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</si>
  <si>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</si>
  <si>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</si>
  <si>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</si>
  <si>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</si>
  <si>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</si>
  <si>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</si>
  <si>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</si>
  <si>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</si>
  <si>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</si>
  <si>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</si>
  <si>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</si>
  <si>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</si>
  <si>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</si>
  <si>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</si>
  <si>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</si>
  <si>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</si>
  <si>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</si>
  <si>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</si>
  <si>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</si>
  <si>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</si>
  <si>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</si>
  <si>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</si>
  <si>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</si>
  <si>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</si>
  <si>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</si>
  <si>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</si>
  <si>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</si>
  <si>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</si>
  <si>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</si>
  <si>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</si>
  <si>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</si>
  <si>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</si>
  <si>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</si>
  <si>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</si>
  <si>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</si>
  <si>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</si>
  <si>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</si>
  <si>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</si>
  <si>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</si>
  <si>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</si>
  <si>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</si>
  <si>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</si>
  <si>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</si>
  <si>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</si>
  <si>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</si>
  <si>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</si>
  <si>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</si>
  <si>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</si>
  <si>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</si>
  <si>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</si>
  <si>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</si>
  <si>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</si>
  <si>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</si>
  <si>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</si>
  <si>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</si>
  <si>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</si>
  <si>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</si>
  <si>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</si>
  <si>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</si>
  <si>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</si>
  <si>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</si>
  <si>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</si>
  <si>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</si>
  <si>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</si>
  <si>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</si>
  <si>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</si>
  <si>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</si>
  <si>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</si>
  <si>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</si>
  <si>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</si>
  <si>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</si>
  <si>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</si>
  <si>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</si>
  <si>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</si>
  <si>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</si>
  <si>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</si>
  <si>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</si>
  <si>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</si>
  <si>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</si>
  <si>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</si>
  <si>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</si>
  <si>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</si>
  <si>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</si>
  <si>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</si>
  <si>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</si>
  <si>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</si>
  <si>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</si>
  <si>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</si>
  <si>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</si>
  <si>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</si>
  <si>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</si>
  <si>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</si>
  <si>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</si>
  <si>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</si>
  <si>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</si>
  <si>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</si>
  <si>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</si>
  <si>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</si>
  <si>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</si>
  <si>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</si>
  <si>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</si>
  <si>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</si>
  <si>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</si>
  <si>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</si>
  <si>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</si>
  <si>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</si>
  <si>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</si>
  <si>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</si>
  <si>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</si>
  <si>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</si>
  <si>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</si>
  <si>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</si>
  <si>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</si>
  <si>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</si>
  <si>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</si>
  <si>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</si>
  <si>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</si>
  <si>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</si>
  <si>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</si>
  <si>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</si>
  <si>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</si>
  <si>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</si>
  <si>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</si>
  <si>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</si>
  <si>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</si>
  <si>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</si>
  <si>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</si>
  <si>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</si>
  <si>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</si>
  <si>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</si>
  <si>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</si>
  <si>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</si>
  <si>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</si>
  <si>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</si>
  <si>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</si>
  <si>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</si>
  <si>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</si>
  <si>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</si>
  <si>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</si>
  <si>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</si>
  <si>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</si>
  <si>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</si>
  <si>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</si>
  <si>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</si>
  <si>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</si>
  <si>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</si>
  <si>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</si>
  <si>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</si>
  <si>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</si>
  <si>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</si>
  <si>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</si>
  <si>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</si>
  <si>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</si>
  <si>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</si>
  <si>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</si>
  <si>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</si>
  <si>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</si>
  <si>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</si>
  <si>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</si>
  <si>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</si>
  <si>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</si>
  <si>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</si>
  <si>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</si>
  <si>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</si>
  <si>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</si>
  <si>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</si>
  <si>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</si>
  <si>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</si>
  <si>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</si>
  <si>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</si>
  <si>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</si>
  <si>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</si>
  <si>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</si>
  <si>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</si>
  <si>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</si>
  <si>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</si>
  <si>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</si>
  <si>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</si>
  <si>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</si>
  <si>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</si>
  <si>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</si>
  <si>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</si>
  <si>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</si>
  <si>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</si>
  <si>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</si>
  <si>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</si>
  <si>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</si>
  <si>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</si>
  <si>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</si>
  <si>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</si>
  <si>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</si>
  <si>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</si>
  <si>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</si>
  <si>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</si>
  <si>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</si>
  <si>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</si>
  <si>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</si>
  <si>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</si>
  <si>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</si>
  <si>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</si>
  <si>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</si>
  <si>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</si>
  <si>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</si>
  <si>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</si>
  <si>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</si>
  <si>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</si>
  <si>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</si>
  <si>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</si>
  <si>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</si>
  <si>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</si>
  <si>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</si>
  <si>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</si>
  <si>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</si>
  <si>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</si>
  <si>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</si>
  <si>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</si>
  <si>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</si>
  <si>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</si>
  <si>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</si>
  <si>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</si>
  <si>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</si>
  <si>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</si>
  <si>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</si>
  <si>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</si>
  <si>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</si>
  <si>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</si>
  <si>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</si>
  <si>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</si>
  <si>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</si>
  <si>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</si>
  <si>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</si>
  <si>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</si>
  <si>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</si>
  <si>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</si>
  <si>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</si>
  <si>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</si>
  <si>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</si>
  <si>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</si>
  <si>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</si>
  <si>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</si>
  <si>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</si>
  <si>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</si>
  <si>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</si>
  <si>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</si>
  <si>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</si>
  <si>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</si>
  <si>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</si>
  <si>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</si>
  <si>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</si>
  <si>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</si>
  <si>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</si>
  <si>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</si>
  <si>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</si>
  <si>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</si>
  <si>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</si>
  <si>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</si>
  <si>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</si>
  <si>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</si>
  <si>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</si>
  <si>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</si>
  <si>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</si>
  <si>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</si>
  <si>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</si>
  <si>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</si>
  <si>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</si>
  <si>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</si>
  <si>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</si>
  <si>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</si>
  <si>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</si>
  <si>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</si>
  <si>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</si>
  <si>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</si>
  <si>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</si>
  <si>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</si>
  <si>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</si>
  <si>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</si>
  <si>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</si>
  <si>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</si>
  <si>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</si>
  <si>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</si>
  <si>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</si>
  <si>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</si>
  <si>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</si>
  <si>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</si>
  <si>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</si>
  <si>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</si>
  <si>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</si>
  <si>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</si>
  <si>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</si>
  <si>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</si>
  <si>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</si>
  <si>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</si>
  <si>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</si>
  <si>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</si>
  <si>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</si>
  <si>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</si>
  <si>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</si>
  <si>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</si>
  <si>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</si>
  <si>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</si>
  <si>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</si>
  <si>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</si>
  <si>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</si>
  <si>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</si>
  <si>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</si>
  <si>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</si>
  <si>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</si>
  <si>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</si>
  <si>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</si>
  <si>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</si>
  <si>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</si>
  <si>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</si>
  <si>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</si>
  <si>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</si>
  <si>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</si>
  <si>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</si>
  <si>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</si>
  <si>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</si>
  <si>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</si>
  <si>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</si>
  <si>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</si>
  <si>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</si>
  <si>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</si>
  <si>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</si>
  <si>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</si>
  <si>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</si>
  <si>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</si>
  <si>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</si>
  <si>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</si>
  <si>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</si>
  <si>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</si>
  <si>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</si>
  <si>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</si>
  <si>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</si>
  <si>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</si>
  <si>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</si>
  <si>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</si>
  <si>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</si>
  <si>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</si>
  <si>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</si>
  <si>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</si>
  <si>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</si>
  <si>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</si>
  <si>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</si>
  <si>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</si>
  <si>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</si>
  <si>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</si>
  <si>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</si>
  <si>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</si>
  <si>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</si>
  <si>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</si>
  <si>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</si>
  <si>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</si>
  <si>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</si>
  <si>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</si>
  <si>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</si>
  <si>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</si>
  <si>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</si>
  <si>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</si>
  <si>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</si>
  <si>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</si>
  <si>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</si>
  <si>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</si>
  <si>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</si>
  <si>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</si>
  <si>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</si>
  <si>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</si>
  <si>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</si>
  <si>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</si>
  <si>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</si>
  <si>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</si>
  <si>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</si>
  <si>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</si>
  <si>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</si>
  <si>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</si>
  <si>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</si>
  <si>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</si>
  <si>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</si>
  <si>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</si>
  <si>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</si>
  <si>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</si>
  <si>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</si>
  <si>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</si>
  <si>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</si>
  <si>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</si>
  <si>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</si>
  <si>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</si>
  <si>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</si>
  <si>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</si>
  <si>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</si>
  <si>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</si>
  <si>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</si>
  <si>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</si>
  <si>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</si>
  <si>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</si>
  <si>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</si>
  <si>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</si>
  <si>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</si>
  <si>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</si>
  <si>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</si>
  <si>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</si>
  <si>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</si>
  <si>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</si>
  <si>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</si>
  <si>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</si>
  <si>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</si>
  <si>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</si>
  <si>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</si>
  <si>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</si>
  <si>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</si>
  <si>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</si>
  <si>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</si>
  <si>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</si>
  <si>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</si>
  <si>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</si>
  <si>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</si>
  <si>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</si>
  <si>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</si>
  <si>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</si>
  <si>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</si>
  <si>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</si>
  <si>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</si>
  <si>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</si>
  <si>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</si>
  <si>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</si>
  <si>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</si>
  <si>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</si>
  <si>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</si>
  <si>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</si>
  <si>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</si>
  <si>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</si>
  <si>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</si>
  <si>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</si>
  <si>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</si>
  <si>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</si>
  <si>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</si>
  <si>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</si>
  <si>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</si>
  <si>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</si>
  <si>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</si>
  <si>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</si>
  <si>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</si>
  <si>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</si>
  <si>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</si>
  <si>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</si>
  <si>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</si>
  <si>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</si>
  <si>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</si>
  <si>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</si>
  <si>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</si>
  <si>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</si>
  <si>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</si>
  <si>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</si>
  <si>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</si>
  <si>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</si>
  <si>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</si>
  <si>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</si>
  <si>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</si>
  <si>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</si>
  <si>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</si>
  <si>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</si>
  <si>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</si>
  <si>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</si>
  <si>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</si>
  <si>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</si>
  <si>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</si>
  <si>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</si>
  <si>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</si>
  <si>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</si>
  <si>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</si>
  <si>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</si>
  <si>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</si>
  <si>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</si>
  <si>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</si>
  <si>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</si>
  <si>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</si>
  <si>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</si>
  <si>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</si>
  <si>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</si>
  <si>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</si>
  <si>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</si>
  <si>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</si>
  <si>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</si>
  <si>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</si>
  <si>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</si>
  <si>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</si>
  <si>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</si>
  <si>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</si>
  <si>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</si>
  <si>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</si>
  <si>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 xml:space="preserve">Authored By:  </t>
  </si>
  <si>
    <t>Yilmaz Uygun</t>
  </si>
  <si>
    <t>Level Symbol</t>
  </si>
  <si>
    <t>Units of Measure</t>
  </si>
  <si>
    <t>BOM Levels</t>
  </si>
  <si>
    <t>Revision</t>
  </si>
  <si>
    <t>Make/Buy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</si>
  <si>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</si>
  <si>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</si>
  <si>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</si>
  <si>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</si>
  <si>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</si>
  <si>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</si>
  <si>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</si>
  <si>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</si>
  <si>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</si>
  <si>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</si>
  <si>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</si>
  <si>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</si>
  <si>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</si>
  <si>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</si>
  <si>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</si>
  <si>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</si>
  <si>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</si>
  <si>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</si>
  <si>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</si>
  <si>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</si>
  <si>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</si>
  <si>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</si>
  <si>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</si>
  <si>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</si>
  <si>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</si>
  <si>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</si>
  <si>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</si>
  <si>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</si>
  <si>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</si>
  <si>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</si>
  <si>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</si>
  <si>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</si>
  <si>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</si>
  <si>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</si>
  <si>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</si>
  <si>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</si>
  <si>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</si>
  <si>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</si>
  <si>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</si>
  <si>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</si>
  <si>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</si>
  <si>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</si>
  <si>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</si>
  <si>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>make</t>
  </si>
  <si>
    <t>GAL</t>
  </si>
  <si>
    <t>F</t>
  </si>
  <si>
    <t>Turbine</t>
  </si>
  <si>
    <t>IN</t>
  </si>
  <si>
    <t>G</t>
  </si>
  <si>
    <t>Axis</t>
  </si>
  <si>
    <t>IN²</t>
  </si>
  <si>
    <t>H</t>
  </si>
  <si>
    <t>Shaft</t>
  </si>
  <si>
    <t>Composite carbonfiber</t>
  </si>
  <si>
    <t>L</t>
  </si>
  <si>
    <t>J</t>
  </si>
  <si>
    <t>Bearing</t>
  </si>
  <si>
    <t>Steel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</si>
  <si>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</si>
  <si>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</si>
  <si>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</si>
  <si>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</si>
  <si>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</si>
  <si>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</si>
  <si>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</si>
  <si>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</si>
  <si>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</si>
  <si>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</si>
  <si>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</si>
  <si>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</si>
  <si>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</si>
  <si>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</si>
  <si>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</si>
  <si>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</si>
  <si>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</si>
  <si>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</si>
  <si>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</si>
  <si>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</si>
  <si>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</si>
  <si>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</si>
  <si>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</si>
  <si>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</si>
  <si>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</si>
  <si>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</si>
  <si>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</si>
  <si>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</si>
  <si>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</si>
  <si>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</si>
  <si>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</si>
  <si>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</si>
  <si>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</si>
  <si>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</si>
  <si>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</si>
  <si>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</si>
  <si>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</si>
  <si>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</si>
  <si>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</si>
  <si>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</si>
  <si>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</si>
  <si>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</si>
  <si>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</si>
  <si>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</si>
  <si>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</si>
  <si>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</si>
  <si>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</si>
  <si>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</si>
  <si>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</si>
  <si>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</si>
  <si>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</si>
  <si>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</si>
  <si>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</si>
  <si>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</si>
  <si>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</si>
  <si>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</si>
  <si>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</si>
  <si>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</si>
  <si>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</si>
  <si>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</si>
  <si>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</si>
  <si>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</si>
  <si>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</si>
  <si>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</si>
  <si>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</si>
  <si>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</si>
  <si>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</si>
  <si>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</si>
  <si>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</si>
  <si>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</si>
  <si>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</si>
  <si>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</si>
  <si>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</si>
  <si>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</si>
  <si>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</si>
  <si>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</si>
  <si>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</si>
  <si>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</si>
  <si>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</si>
  <si>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</si>
  <si>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</si>
  <si>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</si>
  <si>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</si>
  <si>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</si>
  <si>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</si>
  <si>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</si>
  <si>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</si>
  <si>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</si>
  <si>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</si>
  <si>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</si>
  <si>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</si>
  <si>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</si>
  <si>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</si>
  <si>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</si>
  <si>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</si>
  <si>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</si>
  <si>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</si>
  <si>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</si>
  <si>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</si>
  <si>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</si>
  <si>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</si>
  <si>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</si>
  <si>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</si>
  <si>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</si>
  <si>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</si>
  <si>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</si>
  <si>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</si>
  <si>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</si>
  <si>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</si>
  <si>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</si>
  <si>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</si>
  <si>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</si>
  <si>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</si>
  <si>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</si>
  <si>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</si>
  <si>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</si>
  <si>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</si>
  <si>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</si>
  <si>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</si>
  <si>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</si>
  <si>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</si>
  <si>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</si>
  <si>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</si>
  <si>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</si>
  <si>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</si>
  <si>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</si>
  <si>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</si>
  <si>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</si>
  <si>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</si>
  <si>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</si>
  <si>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</si>
  <si>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</si>
  <si>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</si>
  <si>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</si>
  <si>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</si>
  <si>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</si>
  <si>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</si>
  <si>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</si>
  <si>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</si>
  <si>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</si>
  <si>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</si>
  <si>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</si>
  <si>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</si>
  <si>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</si>
  <si>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</si>
  <si>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</si>
  <si>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</si>
  <si>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</si>
  <si>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</si>
  <si>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</si>
  <si>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</si>
  <si>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</si>
  <si>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</si>
  <si>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</si>
  <si>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</si>
  <si>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</si>
  <si>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</si>
  <si>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</si>
  <si>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</si>
  <si>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</si>
  <si>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</si>
  <si>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</si>
  <si>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</si>
  <si>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</si>
  <si>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</si>
  <si>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</si>
  <si>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</si>
  <si>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</si>
  <si>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</si>
  <si>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</si>
  <si>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</si>
  <si>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</si>
  <si>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</si>
  <si>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</si>
  <si>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</si>
  <si>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</si>
  <si>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</si>
  <si>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</si>
  <si>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</si>
  <si>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</si>
  <si>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</si>
  <si>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</si>
  <si>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</si>
  <si>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</si>
  <si>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</si>
  <si>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</si>
  <si>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</si>
  <si>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</si>
  <si>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</si>
  <si>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</si>
  <si>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</si>
  <si>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</si>
  <si>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</si>
  <si>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</si>
  <si>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</si>
  <si>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</si>
  <si>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</si>
  <si>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</si>
  <si>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</si>
  <si>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</si>
  <si>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</si>
  <si>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</si>
  <si>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</si>
  <si>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</si>
  <si>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</si>
  <si>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</si>
  <si>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</si>
  <si>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</si>
  <si>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</si>
  <si>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</si>
  <si>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</si>
  <si>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</si>
  <si>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</si>
  <si>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</si>
  <si>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</si>
  <si>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</si>
  <si>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</si>
  <si>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</si>
  <si>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</si>
  <si>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</si>
  <si>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</si>
  <si>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</si>
  <si>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</si>
  <si>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</si>
  <si>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</si>
  <si>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</si>
  <si>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</si>
  <si>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</si>
  <si>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</si>
  <si>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</si>
  <si>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</si>
  <si>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</si>
  <si>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</si>
  <si>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</si>
  <si>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</si>
  <si>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</si>
  <si>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</si>
  <si>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</si>
  <si>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</si>
  <si>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</si>
  <si>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</si>
  <si>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</si>
  <si>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</si>
  <si>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</si>
  <si>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Current Year</t>
  </si>
  <si>
    <t>Unsorted</t>
  </si>
  <si>
    <t>Sorted</t>
  </si>
  <si>
    <t xml:space="preserve">Assembly Part No:  </t>
  </si>
  <si>
    <t xml:space="preserve">Assembly Name:  </t>
  </si>
  <si>
    <t>James Smith</t>
  </si>
  <si>
    <t>I-1001</t>
  </si>
  <si>
    <t>Stainless Steel X12Cr13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</si>
</sst>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407]"/>
    <numFmt numFmtId="165" formatCode="0.000%"/>
  </numFmts>
  <fonts count="29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darkUp"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Dot">
        <color rgb="FFFF0000"/>
      </left>
      <right/>
      <top/>
      <bottom/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 style="thick">
        <color auto="1"/>
      </top>
      <bottom/>
      <diagonal/>
    </border>
    <border>
      <left style="mediumDashDot">
        <color rgb="FFFF0000"/>
      </left>
      <right style="mediumDashed">
        <color rgb="FFFF0000"/>
      </right>
      <top/>
      <bottom/>
      <diagonal/>
    </border>
    <border>
      <left style="thick">
        <color auto="1"/>
      </left>
      <right/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 style="mediumDashDot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31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36" xfId="0" applyBorder="1"/>
    <xf numFmtId="0" fontId="7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5" borderId="37" xfId="0" applyFont="1" applyFill="1" applyBorder="1"/>
    <xf numFmtId="0" fontId="7" fillId="5" borderId="38" xfId="0" applyFont="1" applyFill="1" applyBorder="1"/>
    <xf numFmtId="0" fontId="7" fillId="5" borderId="38" xfId="0" applyFont="1" applyFill="1" applyBorder="1" applyAlignment="1">
      <alignment horizontal="center"/>
    </xf>
    <xf numFmtId="0" fontId="7" fillId="5" borderId="39" xfId="0" applyFont="1" applyFill="1" applyBorder="1"/>
    <xf numFmtId="14" fontId="0" fillId="0" borderId="0" xfId="0" applyNumberFormat="1" applyAlignment="1">
      <alignment horizontal="left"/>
    </xf>
    <xf numFmtId="0" fontId="9" fillId="0" borderId="4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6" borderId="51" xfId="0" applyFill="1" applyBorder="1" applyAlignment="1">
      <alignment horizontal="center"/>
    </xf>
    <xf numFmtId="0" fontId="7" fillId="5" borderId="5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5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7" xfId="0" applyBorder="1" applyAlignment="1">
      <alignment horizontal="center" wrapText="1"/>
    </xf>
    <xf numFmtId="0" fontId="0" fillId="0" borderId="57" xfId="0" applyBorder="1" applyAlignment="1">
      <alignment wrapText="1"/>
    </xf>
    <xf numFmtId="164" fontId="0" fillId="0" borderId="57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wrapText="1"/>
    </xf>
    <xf numFmtId="164" fontId="0" fillId="0" borderId="21" xfId="0" applyNumberFormat="1" applyBorder="1" applyAlignment="1">
      <alignment horizontal="center" wrapText="1"/>
    </xf>
    <xf numFmtId="0" fontId="0" fillId="0" borderId="58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12" fillId="7" borderId="0" xfId="2" applyFont="1" applyFill="1"/>
    <xf numFmtId="0" fontId="10" fillId="7" borderId="0" xfId="2" applyFill="1"/>
    <xf numFmtId="0" fontId="13" fillId="7" borderId="0" xfId="2" applyFont="1" applyFill="1"/>
    <xf numFmtId="0" fontId="12" fillId="7" borderId="59" xfId="2" applyFont="1" applyFill="1" applyBorder="1"/>
    <xf numFmtId="0" fontId="12" fillId="7" borderId="60" xfId="2" applyFont="1" applyFill="1" applyBorder="1"/>
    <xf numFmtId="0" fontId="14" fillId="7" borderId="0" xfId="2" applyFont="1" applyFill="1"/>
    <xf numFmtId="0" fontId="15" fillId="7" borderId="0" xfId="2" applyFont="1" applyFill="1"/>
    <xf numFmtId="0" fontId="15" fillId="7" borderId="59" xfId="2" applyFont="1" applyFill="1" applyBorder="1" applyAlignment="1">
      <alignment horizontal="center" vertical="center"/>
    </xf>
    <xf numFmtId="0" fontId="15" fillId="7" borderId="60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14" fillId="7" borderId="0" xfId="2" applyFont="1" applyFill="1" applyAlignment="1">
      <alignment vertical="center"/>
    </xf>
    <xf numFmtId="0" fontId="10" fillId="7" borderId="0" xfId="2" applyFill="1" applyAlignment="1">
      <alignment horizontal="center" vertical="center"/>
    </xf>
    <xf numFmtId="0" fontId="15" fillId="7" borderId="59" xfId="2" applyFont="1" applyFill="1" applyBorder="1"/>
    <xf numFmtId="0" fontId="15" fillId="7" borderId="60" xfId="2" applyFont="1" applyFill="1" applyBorder="1"/>
    <xf numFmtId="0" fontId="14" fillId="7" borderId="0" xfId="2" applyFont="1" applyFill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4" fillId="7" borderId="59" xfId="2" applyFont="1" applyFill="1" applyBorder="1"/>
    <xf numFmtId="0" fontId="14" fillId="7" borderId="60" xfId="2" applyFont="1" applyFill="1" applyBorder="1"/>
    <xf numFmtId="0" fontId="18" fillId="8" borderId="68" xfId="2" applyFont="1" applyFill="1" applyBorder="1"/>
    <xf numFmtId="0" fontId="18" fillId="8" borderId="62" xfId="2" applyFont="1" applyFill="1" applyBorder="1" applyAlignment="1">
      <alignment horizontal="center" vertical="center" textRotation="90" wrapText="1"/>
    </xf>
    <xf numFmtId="0" fontId="18" fillId="8" borderId="63" xfId="2" applyFont="1" applyFill="1" applyBorder="1" applyAlignment="1">
      <alignment horizontal="center" vertical="center" wrapText="1"/>
    </xf>
    <xf numFmtId="0" fontId="18" fillId="8" borderId="69" xfId="2" applyFont="1" applyFill="1" applyBorder="1"/>
    <xf numFmtId="0" fontId="10" fillId="8" borderId="1" xfId="2" applyFill="1" applyBorder="1" applyAlignment="1">
      <alignment horizontal="center" vertical="center"/>
    </xf>
    <xf numFmtId="0" fontId="21" fillId="9" borderId="1" xfId="2" applyFont="1" applyFill="1" applyBorder="1" applyAlignment="1">
      <alignment horizontal="left" vertical="center"/>
    </xf>
    <xf numFmtId="0" fontId="23" fillId="7" borderId="1" xfId="2" applyFont="1" applyFill="1" applyBorder="1" applyAlignment="1">
      <alignment horizontal="center" vertical="center"/>
    </xf>
    <xf numFmtId="0" fontId="18" fillId="7" borderId="0" xfId="2" applyFont="1" applyFill="1"/>
    <xf numFmtId="9" fontId="18" fillId="7" borderId="0" xfId="3" applyFont="1" applyFill="1"/>
    <xf numFmtId="0" fontId="4" fillId="0" borderId="0" xfId="2" applyFont="1"/>
    <xf numFmtId="0" fontId="6" fillId="0" borderId="0" xfId="2" applyFont="1"/>
    <xf numFmtId="0" fontId="6" fillId="2" borderId="1" xfId="2" applyFont="1" applyFill="1" applyBorder="1"/>
    <xf numFmtId="0" fontId="6" fillId="0" borderId="1" xfId="2" applyFont="1" applyBorder="1"/>
    <xf numFmtId="2" fontId="6" fillId="0" borderId="1" xfId="2" applyNumberFormat="1" applyFont="1" applyBorder="1"/>
    <xf numFmtId="0" fontId="6" fillId="0" borderId="7" xfId="2" applyFont="1" applyBorder="1"/>
    <xf numFmtId="0" fontId="6" fillId="2" borderId="7" xfId="2" applyFont="1" applyFill="1" applyBorder="1"/>
    <xf numFmtId="0" fontId="1" fillId="2" borderId="0" xfId="2" applyFont="1" applyFill="1"/>
    <xf numFmtId="0" fontId="1" fillId="2" borderId="1" xfId="2" applyFont="1" applyFill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2" fontId="10" fillId="0" borderId="1" xfId="2" applyNumberFormat="1" applyBorder="1" applyAlignment="1">
      <alignment horizontal="center" vertical="center"/>
    </xf>
    <xf numFmtId="0" fontId="1" fillId="10" borderId="35" xfId="0" applyFont="1" applyFill="1" applyBorder="1" applyAlignment="1">
      <alignment horizontal="center" vertical="center" wrapText="1" readingOrder="1"/>
    </xf>
    <xf numFmtId="0" fontId="1" fillId="2" borderId="70" xfId="0" applyFont="1" applyFill="1" applyBorder="1" applyAlignment="1">
      <alignment horizontal="center" vertical="center" wrapText="1" readingOrder="1"/>
    </xf>
    <xf numFmtId="0" fontId="1" fillId="10" borderId="10" xfId="0" applyFont="1" applyFill="1" applyBorder="1" applyAlignment="1">
      <alignment horizontal="center" vertical="center" wrapText="1" readingOrder="1"/>
    </xf>
    <xf numFmtId="0" fontId="1" fillId="10" borderId="9" xfId="0" applyFont="1" applyFill="1" applyBorder="1" applyAlignment="1">
      <alignment horizontal="center" vertical="center" wrapText="1" readingOrder="1"/>
    </xf>
    <xf numFmtId="0" fontId="1" fillId="1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10" borderId="70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10" borderId="35" xfId="0" applyFont="1" applyFill="1" applyBorder="1" applyAlignment="1">
      <alignment horizontal="center" vertical="center" wrapText="1" readingOrder="1"/>
    </xf>
    <xf numFmtId="0" fontId="5" fillId="0" borderId="71" xfId="0" applyFont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10" borderId="2" xfId="0" applyFont="1" applyFill="1" applyBorder="1" applyAlignment="1">
      <alignment horizontal="center" vertical="center" wrapText="1" readingOrder="1"/>
    </xf>
    <xf numFmtId="0" fontId="2" fillId="10" borderId="3" xfId="0" applyFont="1" applyFill="1" applyBorder="1" applyAlignment="1">
      <alignment horizontal="center" vertical="center" wrapText="1" readingOrder="1"/>
    </xf>
    <xf numFmtId="0" fontId="2" fillId="10" borderId="23" xfId="0" applyFont="1" applyFill="1" applyBorder="1" applyAlignment="1">
      <alignment horizontal="center" vertical="center" wrapText="1" readingOrder="1"/>
    </xf>
    <xf numFmtId="0" fontId="2" fillId="10" borderId="24" xfId="0" applyFont="1" applyFill="1" applyBorder="1" applyAlignment="1">
      <alignment horizontal="center" vertical="center" wrapText="1" readingOrder="1"/>
    </xf>
    <xf numFmtId="0" fontId="2" fillId="10" borderId="25" xfId="0" applyFont="1" applyFill="1" applyBorder="1" applyAlignment="1">
      <alignment horizontal="center" vertical="center" wrapText="1" readingOrder="1"/>
    </xf>
    <xf numFmtId="0" fontId="2" fillId="10" borderId="33" xfId="0" applyFont="1" applyFill="1" applyBorder="1" applyAlignment="1">
      <alignment horizontal="center" vertical="center" wrapText="1" readingOrder="1"/>
    </xf>
    <xf numFmtId="0" fontId="2" fillId="10" borderId="34" xfId="0" applyFont="1" applyFill="1" applyBorder="1" applyAlignment="1">
      <alignment horizontal="center" vertical="center" wrapText="1" readingOrder="1"/>
    </xf>
    <xf numFmtId="0" fontId="2" fillId="10" borderId="5" xfId="0" applyFont="1" applyFill="1" applyBorder="1" applyAlignment="1">
      <alignment horizontal="center" vertical="center" wrapText="1" readingOrder="1"/>
    </xf>
    <xf numFmtId="0" fontId="2" fillId="10" borderId="22" xfId="0" applyFont="1" applyFill="1" applyBorder="1" applyAlignment="1">
      <alignment horizontal="center" vertical="center" wrapText="1" readingOrder="1"/>
    </xf>
    <xf numFmtId="0" fontId="2" fillId="10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5" fillId="7" borderId="0" xfId="2" applyFont="1" applyFill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right" vertical="center" wrapText="1"/>
    </xf>
    <xf numFmtId="4" fontId="27" fillId="0" borderId="1" xfId="0" applyNumberFormat="1" applyFont="1" applyBorder="1" applyAlignment="1">
      <alignment horizontal="right" vertical="center" wrapText="1"/>
    </xf>
    <xf numFmtId="10" fontId="27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5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11" borderId="1" xfId="0" applyNumberFormat="1" applyFill="1" applyBorder="1"/>
    <xf numFmtId="3" fontId="0" fillId="11" borderId="1" xfId="0" applyNumberFormat="1" applyFill="1" applyBorder="1" applyAlignment="1">
      <alignment horizontal="right" vertical="center"/>
    </xf>
    <xf numFmtId="0" fontId="28" fillId="12" borderId="4" xfId="0" applyFont="1" applyFill="1" applyBorder="1" applyAlignment="1">
      <alignment horizontal="center" vertical="center" wrapText="1"/>
    </xf>
    <xf numFmtId="0" fontId="28" fillId="12" borderId="1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23" xfId="0" applyFont="1" applyBorder="1" applyAlignment="1">
      <alignment horizontal="center" vertical="center" wrapText="1" readingOrder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2" fillId="10" borderId="26" xfId="0" applyFont="1" applyFill="1" applyBorder="1" applyAlignment="1">
      <alignment horizontal="center" vertical="center" wrapText="1" readingOrder="1"/>
    </xf>
    <xf numFmtId="0" fontId="2" fillId="0" borderId="72" xfId="0" applyFont="1" applyBorder="1" applyAlignment="1">
      <alignment horizontal="center" vertical="center" wrapText="1" readingOrder="1"/>
    </xf>
    <xf numFmtId="0" fontId="5" fillId="0" borderId="52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10" borderId="23" xfId="0" applyFont="1" applyFill="1" applyBorder="1" applyAlignment="1">
      <alignment horizontal="center" vertical="center" wrapText="1" readingOrder="1"/>
    </xf>
    <xf numFmtId="0" fontId="1" fillId="10" borderId="24" xfId="0" applyFont="1" applyFill="1" applyBorder="1" applyAlignment="1">
      <alignment horizontal="center" vertical="center" wrapText="1" readingOrder="1"/>
    </xf>
    <xf numFmtId="0" fontId="1" fillId="10" borderId="25" xfId="0" applyFont="1" applyFill="1" applyBorder="1" applyAlignment="1">
      <alignment horizontal="center" vertical="center" wrapText="1" readingOrder="1"/>
    </xf>
    <xf numFmtId="0" fontId="1" fillId="10" borderId="34" xfId="0" applyFont="1" applyFill="1" applyBorder="1" applyAlignment="1">
      <alignment horizontal="center" vertical="center" wrapText="1" readingOrder="1"/>
    </xf>
    <xf numFmtId="0" fontId="8" fillId="0" borderId="0" xfId="1" applyAlignment="1" applyProtection="1"/>
    <xf numFmtId="0" fontId="1" fillId="2" borderId="1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5" fillId="7" borderId="0" xfId="2" applyFont="1" applyFill="1" applyAlignment="1">
      <alignment horizontal="center" vertical="center"/>
    </xf>
    <xf numFmtId="0" fontId="16" fillId="7" borderId="4" xfId="2" applyFont="1" applyFill="1" applyBorder="1" applyAlignment="1">
      <alignment horizontal="center" vertical="center"/>
    </xf>
    <xf numFmtId="0" fontId="16" fillId="7" borderId="61" xfId="2" applyFont="1" applyFill="1" applyBorder="1" applyAlignment="1">
      <alignment horizontal="center" vertical="center"/>
    </xf>
    <xf numFmtId="0" fontId="16" fillId="7" borderId="62" xfId="2" applyFont="1" applyFill="1" applyBorder="1" applyAlignment="1">
      <alignment horizontal="center" vertical="center"/>
    </xf>
    <xf numFmtId="0" fontId="16" fillId="7" borderId="63" xfId="2" applyFont="1" applyFill="1" applyBorder="1" applyAlignment="1">
      <alignment horizontal="center" vertical="center"/>
    </xf>
    <xf numFmtId="0" fontId="16" fillId="7" borderId="8" xfId="2" applyFont="1" applyFill="1" applyBorder="1" applyAlignment="1">
      <alignment horizontal="center" vertical="center"/>
    </xf>
    <xf numFmtId="0" fontId="16" fillId="7" borderId="64" xfId="2" applyFont="1" applyFill="1" applyBorder="1" applyAlignment="1">
      <alignment horizontal="center" vertical="center"/>
    </xf>
    <xf numFmtId="0" fontId="10" fillId="7" borderId="65" xfId="2" applyFill="1" applyBorder="1" applyAlignment="1">
      <alignment horizontal="right" vertical="center"/>
    </xf>
    <xf numFmtId="0" fontId="10" fillId="7" borderId="0" xfId="2" applyFill="1" applyAlignment="1">
      <alignment horizontal="right" vertical="center"/>
    </xf>
    <xf numFmtId="0" fontId="15" fillId="7" borderId="66" xfId="2" applyFont="1" applyFill="1" applyBorder="1" applyAlignment="1">
      <alignment horizontal="center" vertical="center"/>
    </xf>
    <xf numFmtId="0" fontId="10" fillId="7" borderId="63" xfId="2" applyFill="1" applyBorder="1" applyAlignment="1">
      <alignment horizontal="right" vertical="center"/>
    </xf>
    <xf numFmtId="0" fontId="10" fillId="7" borderId="8" xfId="2" applyFill="1" applyBorder="1" applyAlignment="1">
      <alignment horizontal="right" vertical="center"/>
    </xf>
    <xf numFmtId="0" fontId="15" fillId="7" borderId="64" xfId="2" applyFont="1" applyFill="1" applyBorder="1" applyAlignment="1">
      <alignment horizontal="center" vertical="center"/>
    </xf>
    <xf numFmtId="0" fontId="17" fillId="7" borderId="66" xfId="2" applyFont="1" applyFill="1" applyBorder="1" applyAlignment="1">
      <alignment horizontal="center" vertical="center"/>
    </xf>
    <xf numFmtId="0" fontId="17" fillId="7" borderId="64" xfId="2" applyFont="1" applyFill="1" applyBorder="1" applyAlignment="1">
      <alignment horizontal="center" vertical="center"/>
    </xf>
    <xf numFmtId="0" fontId="18" fillId="8" borderId="1" xfId="2" applyFont="1" applyFill="1" applyBorder="1" applyAlignment="1">
      <alignment horizontal="right" vertical="center"/>
    </xf>
    <xf numFmtId="0" fontId="10" fillId="8" borderId="4" xfId="2" applyFill="1" applyBorder="1" applyAlignment="1">
      <alignment horizontal="center" vertical="center"/>
    </xf>
    <xf numFmtId="0" fontId="10" fillId="8" borderId="61" xfId="2" applyFill="1" applyBorder="1" applyAlignment="1">
      <alignment horizontal="center" vertical="center"/>
    </xf>
    <xf numFmtId="0" fontId="10" fillId="8" borderId="62" xfId="2" applyFill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19" fillId="0" borderId="61" xfId="2" applyFont="1" applyBorder="1" applyAlignment="1">
      <alignment horizontal="center" vertical="center"/>
    </xf>
    <xf numFmtId="0" fontId="19" fillId="0" borderId="62" xfId="2" applyFont="1" applyBorder="1" applyAlignment="1">
      <alignment horizontal="center" vertical="center"/>
    </xf>
    <xf numFmtId="0" fontId="10" fillId="8" borderId="7" xfId="2" applyFill="1" applyBorder="1" applyAlignment="1">
      <alignment horizontal="center" vertical="center" wrapText="1"/>
    </xf>
    <xf numFmtId="0" fontId="10" fillId="8" borderId="67" xfId="2" applyFill="1" applyBorder="1" applyAlignment="1">
      <alignment horizontal="center" vertical="center" wrapText="1"/>
    </xf>
    <xf numFmtId="0" fontId="10" fillId="8" borderId="16" xfId="2" applyFill="1" applyBorder="1" applyAlignment="1">
      <alignment horizontal="center" vertical="center" wrapText="1"/>
    </xf>
    <xf numFmtId="0" fontId="18" fillId="8" borderId="1" xfId="2" applyFont="1" applyFill="1" applyBorder="1" applyAlignment="1">
      <alignment horizontal="center" textRotation="90"/>
    </xf>
    <xf numFmtId="0" fontId="18" fillId="8" borderId="1" xfId="2" applyFont="1" applyFill="1" applyBorder="1" applyAlignment="1">
      <alignment horizontal="center" textRotation="90" wrapText="1"/>
    </xf>
    <xf numFmtId="0" fontId="10" fillId="0" borderId="4" xfId="2" applyBorder="1" applyAlignment="1">
      <alignment horizontal="center" vertical="center" textRotation="90"/>
    </xf>
    <xf numFmtId="0" fontId="10" fillId="0" borderId="61" xfId="2" applyBorder="1" applyAlignment="1">
      <alignment horizontal="center" vertical="center" textRotation="90"/>
    </xf>
    <xf numFmtId="0" fontId="10" fillId="0" borderId="62" xfId="2" applyBorder="1" applyAlignment="1">
      <alignment horizontal="center" vertical="center" textRotation="90"/>
    </xf>
    <xf numFmtId="0" fontId="10" fillId="0" borderId="63" xfId="2" applyBorder="1" applyAlignment="1">
      <alignment horizontal="center" vertical="center" textRotation="90"/>
    </xf>
    <xf numFmtId="0" fontId="10" fillId="0" borderId="8" xfId="2" applyBorder="1" applyAlignment="1">
      <alignment horizontal="center" vertical="center" textRotation="90"/>
    </xf>
    <xf numFmtId="0" fontId="10" fillId="0" borderId="64" xfId="2" applyBorder="1" applyAlignment="1">
      <alignment horizontal="center" vertical="center" textRotation="90"/>
    </xf>
    <xf numFmtId="0" fontId="11" fillId="8" borderId="61" xfId="2" applyFont="1" applyFill="1" applyBorder="1" applyAlignment="1">
      <alignment horizontal="center" wrapText="1"/>
    </xf>
    <xf numFmtId="0" fontId="11" fillId="8" borderId="8" xfId="2" applyFont="1" applyFill="1" applyBorder="1" applyAlignment="1">
      <alignment horizontal="center"/>
    </xf>
    <xf numFmtId="0" fontId="11" fillId="8" borderId="62" xfId="2" applyFont="1" applyFill="1" applyBorder="1" applyAlignment="1">
      <alignment horizontal="center" wrapText="1"/>
    </xf>
    <xf numFmtId="0" fontId="11" fillId="8" borderId="64" xfId="2" applyFont="1" applyFill="1" applyBorder="1" applyAlignment="1">
      <alignment horizontal="center"/>
    </xf>
    <xf numFmtId="0" fontId="18" fillId="8" borderId="9" xfId="2" applyFont="1" applyFill="1" applyBorder="1" applyAlignment="1">
      <alignment horizontal="center" textRotation="90"/>
    </xf>
    <xf numFmtId="0" fontId="18" fillId="8" borderId="26" xfId="2" applyFont="1" applyFill="1" applyBorder="1" applyAlignment="1">
      <alignment horizontal="center" textRotation="90"/>
    </xf>
    <xf numFmtId="0" fontId="10" fillId="0" borderId="1" xfId="2" applyBorder="1" applyAlignment="1">
      <alignment horizontal="center" vertical="center"/>
    </xf>
    <xf numFmtId="0" fontId="22" fillId="0" borderId="7" xfId="2" applyFont="1" applyBorder="1" applyAlignment="1">
      <alignment horizontal="center" vertical="center"/>
    </xf>
    <xf numFmtId="0" fontId="22" fillId="0" borderId="67" xfId="2" applyFont="1" applyBorder="1" applyAlignment="1">
      <alignment horizontal="center" vertical="center"/>
    </xf>
    <xf numFmtId="0" fontId="22" fillId="0" borderId="16" xfId="2" applyFont="1" applyBorder="1" applyAlignment="1">
      <alignment horizontal="center" vertical="center"/>
    </xf>
    <xf numFmtId="0" fontId="10" fillId="7" borderId="1" xfId="2" applyFill="1" applyBorder="1" applyAlignment="1">
      <alignment horizontal="center" textRotation="90"/>
    </xf>
    <xf numFmtId="0" fontId="11" fillId="8" borderId="4" xfId="2" applyFont="1" applyFill="1" applyBorder="1" applyAlignment="1">
      <alignment horizontal="center" wrapText="1"/>
    </xf>
    <xf numFmtId="0" fontId="11" fillId="8" borderId="63" xfId="2" applyFont="1" applyFill="1" applyBorder="1" applyAlignment="1">
      <alignment horizontal="center"/>
    </xf>
    <xf numFmtId="0" fontId="10" fillId="7" borderId="65" xfId="2" applyFill="1" applyBorder="1" applyAlignment="1">
      <alignment horizontal="center"/>
    </xf>
    <xf numFmtId="0" fontId="10" fillId="0" borderId="7" xfId="2" applyBorder="1" applyAlignment="1">
      <alignment horizontal="center" vertical="center" textRotation="90" wrapText="1"/>
    </xf>
    <xf numFmtId="0" fontId="10" fillId="0" borderId="67" xfId="2" applyBorder="1" applyAlignment="1">
      <alignment horizontal="center" vertical="center" textRotation="90" wrapText="1"/>
    </xf>
    <xf numFmtId="0" fontId="10" fillId="0" borderId="16" xfId="2" applyBorder="1" applyAlignment="1">
      <alignment horizontal="center" vertical="center" textRotation="90" wrapText="1"/>
    </xf>
    <xf numFmtId="1" fontId="18" fillId="0" borderId="7" xfId="2" applyNumberFormat="1" applyFont="1" applyBorder="1" applyAlignment="1">
      <alignment horizontal="center" vertical="center"/>
    </xf>
    <xf numFmtId="1" fontId="18" fillId="0" borderId="67" xfId="2" applyNumberFormat="1" applyFont="1" applyBorder="1" applyAlignment="1">
      <alignment horizontal="center" vertical="center"/>
    </xf>
    <xf numFmtId="1" fontId="18" fillId="0" borderId="16" xfId="2" applyNumberFormat="1" applyFont="1" applyBorder="1" applyAlignment="1">
      <alignment horizontal="center" vertical="center"/>
    </xf>
    <xf numFmtId="9" fontId="10" fillId="0" borderId="7" xfId="2" applyNumberFormat="1" applyBorder="1" applyAlignment="1">
      <alignment horizontal="center" vertical="center" textRotation="90" wrapText="1"/>
    </xf>
    <xf numFmtId="0" fontId="10" fillId="8" borderId="1" xfId="2" applyFill="1" applyBorder="1" applyAlignment="1">
      <alignment horizontal="right" vertical="center"/>
    </xf>
    <xf numFmtId="0" fontId="18" fillId="9" borderId="7" xfId="2" applyFont="1" applyFill="1" applyBorder="1" applyAlignment="1">
      <alignment horizontal="center" vertical="center"/>
    </xf>
    <xf numFmtId="0" fontId="18" fillId="9" borderId="67" xfId="2" applyFont="1" applyFill="1" applyBorder="1" applyAlignment="1">
      <alignment horizontal="center" vertical="center"/>
    </xf>
    <xf numFmtId="0" fontId="18" fillId="9" borderId="16" xfId="2" applyFont="1" applyFill="1" applyBorder="1" applyAlignment="1">
      <alignment horizontal="center" vertical="center"/>
    </xf>
    <xf numFmtId="9" fontId="18" fillId="8" borderId="1" xfId="3" applyFont="1" applyFill="1" applyBorder="1" applyAlignment="1">
      <alignment horizontal="right" vertical="center"/>
    </xf>
    <xf numFmtId="9" fontId="18" fillId="9" borderId="7" xfId="3" applyFont="1" applyFill="1" applyBorder="1" applyAlignment="1">
      <alignment horizontal="center" vertical="center"/>
    </xf>
    <xf numFmtId="9" fontId="18" fillId="9" borderId="67" xfId="3" applyFont="1" applyFill="1" applyBorder="1" applyAlignment="1">
      <alignment horizontal="center" vertical="center"/>
    </xf>
    <xf numFmtId="9" fontId="18" fillId="9" borderId="16" xfId="3" applyFont="1" applyFill="1" applyBorder="1" applyAlignment="1">
      <alignment horizontal="center" vertical="center"/>
    </xf>
    <xf numFmtId="0" fontId="24" fillId="9" borderId="7" xfId="2" applyFont="1" applyFill="1" applyBorder="1" applyAlignment="1">
      <alignment horizontal="center" textRotation="90"/>
    </xf>
    <xf numFmtId="0" fontId="24" fillId="9" borderId="67" xfId="2" applyFont="1" applyFill="1" applyBorder="1" applyAlignment="1">
      <alignment horizontal="center" textRotation="90"/>
    </xf>
    <xf numFmtId="0" fontId="24" fillId="9" borderId="16" xfId="2" applyFont="1" applyFill="1" applyBorder="1" applyAlignment="1">
      <alignment horizontal="center" textRotation="90"/>
    </xf>
    <xf numFmtId="0" fontId="7" fillId="5" borderId="49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5" borderId="5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10" borderId="5" xfId="0" applyFont="1" applyFill="1" applyBorder="1" applyAlignment="1">
      <alignment horizontal="center" vertical="center" wrapText="1" readingOrder="1"/>
    </xf>
    <xf numFmtId="0" fontId="1" fillId="10" borderId="22" xfId="0" applyFont="1" applyFill="1" applyBorder="1" applyAlignment="1">
      <alignment horizontal="center" vertical="center" wrapText="1" readingOrder="1"/>
    </xf>
    <xf numFmtId="0" fontId="1" fillId="10" borderId="6" xfId="0" applyFont="1" applyFill="1" applyBorder="1" applyAlignment="1">
      <alignment horizontal="center" vertical="center" wrapText="1" readingOrder="1"/>
    </xf>
  </cellXfs>
  <cellStyles count="4">
    <cellStyle name="Hyperlink" xfId="1" builtinId="8"/>
    <cellStyle name="Normal" xfId="0" builtinId="0"/>
    <cellStyle name="Normal 2" xfId="2" xr:uid="{58F7976B-1E5A-9043-B195-5532D66B1549}"/>
    <cellStyle name="Per cent 2" xfId="3" xr:uid="{2DC9D4FF-02EC-7245-BAAE-2C68B353EA7A}"/>
  </cellStyles>
  <dxfs count="29"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#,##0.00\ [$€-407]"/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0">
                  <c:v>0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2.0313083217052708E-2"/>
          <c:y val="1.4193960179006931E-2"/>
          <c:w val="0.37723923431881812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755A-9A26-C642-AFAD-3958A93DEB71}" name="Table43" displayName="Table43" ref="A6:X62" totalsRowShown="0" headerRowDxfId="26" dataDxfId="24" headerRowBorderDxfId="25">
  <autoFilter ref="A6:X62" xr:uid="{7763755A-9A26-C642-AFAD-3958A93DEB71}"/>
  <tableColumns count="24">
    <tableColumn id="1" xr3:uid="{96CAF952-9D7A-214E-B0E0-36105896E2AB}" name="LVL" dataDxfId="23"/>
    <tableColumn id="2" xr3:uid="{A507A480-A68F-774B-B595-982F497C3153}" name="0" dataDxfId="22">
      <calculatedColumnFormula>IF($A7=0, $AB$2,"")</calculatedColumnFormula>
    </tableColumn>
    <tableColumn id="3" xr3:uid="{78368C84-AD8D-3041-BB02-36BE1CE21974}" name="1" dataDxfId="21">
      <calculatedColumnFormula>IF($A7=1, $AB$2,"")</calculatedColumnFormula>
    </tableColumn>
    <tableColumn id="4" xr3:uid="{78F9E2AB-06F2-5B49-B67A-CBEC347108AA}" name="2" dataDxfId="20">
      <calculatedColumnFormula>IF($A7=3, $AB$2,"")</calculatedColumnFormula>
    </tableColumn>
    <tableColumn id="5" xr3:uid="{675C7F67-12BD-D447-9814-B41B8555A27D}" name="3" dataDxfId="19">
      <calculatedColumnFormula>IF($A7=4, $AB$2,"")</calculatedColumnFormula>
    </tableColumn>
    <tableColumn id="6" xr3:uid="{19F373B7-E606-684C-9B1F-458CB29C47A1}" name="4" dataDxfId="18">
      <calculatedColumnFormula>IF($A7=5, $AB$2,"")</calculatedColumnFormula>
    </tableColumn>
    <tableColumn id="7" xr3:uid="{CEAF24F3-14EE-0A48-9CCB-D072A144A05C}" name="5" dataDxfId="17">
      <calculatedColumnFormula>IF($A7=6, $AB$2,"")</calculatedColumnFormula>
    </tableColumn>
    <tableColumn id="8" xr3:uid="{E5479718-3015-1846-A304-30691272644A}" name="6" dataDxfId="16">
      <calculatedColumnFormula>IF($A7=7, $AB$2,"")</calculatedColumnFormula>
    </tableColumn>
    <tableColumn id="9" xr3:uid="{AA1CF733-9FFB-E845-8262-53E2E7B6F646}" name="7" dataDxfId="15">
      <calculatedColumnFormula>IF($A7=8, $AB$2,"")</calculatedColumnFormula>
    </tableColumn>
    <tableColumn id="10" xr3:uid="{31040A9F-B425-7C45-A742-F0F221DF59E8}" name="8" dataDxfId="14">
      <calculatedColumnFormula>IF($A7=9, $AB$2,"")</calculatedColumnFormula>
    </tableColumn>
    <tableColumn id="11" xr3:uid="{4194231B-E0D8-AB42-806F-6965663A3D3C}" name="BOM ID" dataDxfId="13"/>
    <tableColumn id="12" xr3:uid="{E2E26E50-6A90-3848-BE8A-18A3286E0B5A}" name="PART NO" dataDxfId="12"/>
    <tableColumn id="13" xr3:uid="{414FF234-ECDE-4B44-B590-BA9CE2B32EB2}" name="NAME / DESCRIPTION" dataDxfId="11"/>
    <tableColumn id="14" xr3:uid="{20CEB52D-81A7-B74A-8BDB-F4E924EB6B96}" name="REV" dataDxfId="10"/>
    <tableColumn id="15" xr3:uid="{DB81106F-358E-4746-8584-1F4A3E6E7896}" name="QTY" dataDxfId="9"/>
    <tableColumn id="16" xr3:uid="{9EA45750-240A-4142-93EC-2287ABF4A484}" name="UOM" dataDxfId="8"/>
    <tableColumn id="17" xr3:uid="{A52D88B2-DA44-4040-897A-447501D7ACF7}" name="REF DES" dataDxfId="7"/>
    <tableColumn id="19" xr3:uid="{630DAA25-AA92-7048-AE2C-D97A6F8F841E}" name="M/B" dataDxfId="6"/>
    <tableColumn id="25" xr3:uid="{9DA4BDBE-9E02-F14A-8540-1D9EFB6195BA}" name="SUPPLIER" dataDxfId="5"/>
    <tableColumn id="26" xr3:uid="{2BC0F727-78E8-AC44-8A83-0BB8036C4CCA}" name="SUPPLIER P/N" dataDxfId="4"/>
    <tableColumn id="27" xr3:uid="{7A29D018-228E-1E41-A393-9625C4537AD2}" name="COST" dataDxfId="3"/>
    <tableColumn id="28" xr3:uid="{79EDCFAF-0747-9645-AF12-EC42F6C48CDF}" name="MATERIAL" dataDxfId="2"/>
    <tableColumn id="29" xr3:uid="{DEB8BBA7-67F1-FD43-B9B4-B498796E5763}" name="FINISH" dataDxfId="1"/>
    <tableColumn id="18" xr3:uid="{D0419168-8DF6-4E49-BADC-B5110402D70F}" name="NOTE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24" t="s">
        <v>137</v>
      </c>
      <c r="D1" s="224"/>
      <c r="E1" s="224"/>
      <c r="F1" s="224"/>
      <c r="G1" s="224"/>
      <c r="H1" s="224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25" t="s">
        <v>139</v>
      </c>
      <c r="E2" s="226"/>
      <c r="F2" s="225" t="s">
        <v>85</v>
      </c>
      <c r="G2" s="226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27" t="s">
        <v>89</v>
      </c>
      <c r="E3" s="228"/>
      <c r="F3" s="225" t="s">
        <v>90</v>
      </c>
      <c r="G3" s="226"/>
      <c r="H3" s="4" t="s">
        <v>91</v>
      </c>
    </row>
    <row r="4" spans="1:8" ht="31" customHeight="1" x14ac:dyDescent="0.2">
      <c r="A4" s="4">
        <v>3</v>
      </c>
      <c r="B4" s="18" t="s">
        <v>92</v>
      </c>
      <c r="C4" s="227" t="s">
        <v>93</v>
      </c>
      <c r="D4" s="228"/>
      <c r="E4" s="225" t="s">
        <v>94</v>
      </c>
      <c r="F4" s="226"/>
      <c r="G4" s="225" t="s">
        <v>95</v>
      </c>
      <c r="H4" s="226"/>
    </row>
    <row r="5" spans="1:8" ht="31" customHeight="1" x14ac:dyDescent="0.2">
      <c r="A5" s="4">
        <v>4</v>
      </c>
      <c r="B5" s="18" t="s">
        <v>96</v>
      </c>
      <c r="C5" s="36" t="s">
        <v>97</v>
      </c>
      <c r="D5" s="225" t="s">
        <v>98</v>
      </c>
      <c r="E5" s="226"/>
      <c r="F5" s="225" t="s">
        <v>99</v>
      </c>
      <c r="G5" s="226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27" t="s">
        <v>98</v>
      </c>
      <c r="D6" s="228"/>
      <c r="E6" s="225" t="s">
        <v>102</v>
      </c>
      <c r="F6" s="226"/>
      <c r="G6" s="225" t="s">
        <v>103</v>
      </c>
      <c r="H6" s="226"/>
    </row>
    <row r="7" spans="1:8" ht="31" customHeight="1" x14ac:dyDescent="0.2">
      <c r="A7" s="4">
        <v>6</v>
      </c>
      <c r="B7" s="18" t="s">
        <v>104</v>
      </c>
      <c r="C7" s="227" t="s">
        <v>105</v>
      </c>
      <c r="D7" s="228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27" t="s">
        <v>110</v>
      </c>
      <c r="E8" s="228"/>
      <c r="F8" s="225" t="s">
        <v>111</v>
      </c>
      <c r="G8" s="226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27" t="s">
        <v>115</v>
      </c>
      <c r="E9" s="228"/>
      <c r="F9" s="225" t="s">
        <v>116</v>
      </c>
      <c r="G9" s="226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27" t="s">
        <v>120</v>
      </c>
      <c r="E10" s="228"/>
      <c r="F10" s="225" t="s">
        <v>121</v>
      </c>
      <c r="G10" s="226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27" t="s">
        <v>125</v>
      </c>
      <c r="E11" s="228"/>
      <c r="F11" s="225" t="s">
        <v>126</v>
      </c>
      <c r="G11" s="226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27" t="s">
        <v>129</v>
      </c>
      <c r="D12" s="228"/>
      <c r="E12" s="225" t="s">
        <v>130</v>
      </c>
      <c r="F12" s="226"/>
      <c r="G12" s="225" t="s">
        <v>131</v>
      </c>
      <c r="H12" s="226"/>
    </row>
    <row r="13" spans="1:8" ht="31" customHeight="1" x14ac:dyDescent="0.2">
      <c r="A13" s="4">
        <v>12</v>
      </c>
      <c r="B13" s="18" t="s">
        <v>132</v>
      </c>
      <c r="C13" s="227" t="s">
        <v>133</v>
      </c>
      <c r="D13" s="228"/>
      <c r="E13" s="225" t="s">
        <v>134</v>
      </c>
      <c r="F13" s="226"/>
      <c r="G13" s="225" t="s">
        <v>135</v>
      </c>
      <c r="H13" s="226"/>
    </row>
  </sheetData>
  <mergeCells count="28"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E1" workbookViewId="0">
      <selection activeCell="Y4" sqref="Y4"/>
    </sheetView>
  </sheetViews>
  <sheetFormatPr baseColWidth="10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83" t="s">
        <v>83</v>
      </c>
      <c r="B1" s="183" t="s">
        <v>140</v>
      </c>
      <c r="D1" s="229" t="s">
        <v>142</v>
      </c>
      <c r="E1" s="230"/>
      <c r="F1" s="230"/>
      <c r="G1" s="230"/>
      <c r="H1" s="230"/>
      <c r="I1" s="230"/>
      <c r="J1" s="230"/>
      <c r="K1" s="230"/>
      <c r="L1" s="230"/>
      <c r="M1" s="23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891</v>
      </c>
      <c r="B2" s="3" t="s">
        <v>10</v>
      </c>
      <c r="D2" s="31"/>
      <c r="E2" s="21"/>
      <c r="F2" s="21"/>
      <c r="G2" s="21"/>
      <c r="H2" s="232" t="s">
        <v>1</v>
      </c>
      <c r="I2" s="233"/>
      <c r="J2" s="232" t="s">
        <v>2</v>
      </c>
      <c r="K2" s="233"/>
      <c r="L2" s="232" t="s">
        <v>3</v>
      </c>
      <c r="M2" s="233"/>
      <c r="O2" s="234" t="s">
        <v>141</v>
      </c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892</v>
      </c>
      <c r="Y3" s="16" t="s">
        <v>893</v>
      </c>
      <c r="Z3" s="16" t="s">
        <v>894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85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85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895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85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85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85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85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85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85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75" workbookViewId="0">
      <selection activeCell="F1" sqref="F1"/>
    </sheetView>
  </sheetViews>
  <sheetFormatPr baseColWidth="10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86">
        <v>0</v>
      </c>
      <c r="B2" s="32"/>
      <c r="C2" s="32"/>
      <c r="D2" s="32"/>
      <c r="E2" s="32"/>
      <c r="F2" s="32">
        <v>0</v>
      </c>
    </row>
    <row r="3" spans="1:6" ht="17" x14ac:dyDescent="0.2">
      <c r="A3" s="187" t="s">
        <v>149</v>
      </c>
      <c r="B3" s="188">
        <v>50</v>
      </c>
      <c r="C3" s="188">
        <v>9000</v>
      </c>
      <c r="D3" s="187">
        <f t="shared" ref="D3:D22" si="0">B3*C3</f>
        <v>450000</v>
      </c>
      <c r="E3" s="189">
        <f t="shared" ref="E3:E22" si="1">D3/$D$23</f>
        <v>0.57531257051574214</v>
      </c>
      <c r="F3" s="189">
        <f>E3+F2</f>
        <v>0.57531257051574214</v>
      </c>
    </row>
    <row r="4" spans="1:6" ht="17" x14ac:dyDescent="0.2">
      <c r="A4" s="187" t="s">
        <v>150</v>
      </c>
      <c r="B4" s="188">
        <v>1200</v>
      </c>
      <c r="C4" s="188">
        <v>105</v>
      </c>
      <c r="D4" s="187">
        <f t="shared" si="0"/>
        <v>126000</v>
      </c>
      <c r="E4" s="189">
        <f t="shared" si="1"/>
        <v>0.1610875197444078</v>
      </c>
      <c r="F4" s="189">
        <f t="shared" ref="F4:F22" si="2">E4+F3</f>
        <v>0.73640009026014996</v>
      </c>
    </row>
    <row r="5" spans="1:6" ht="17" x14ac:dyDescent="0.2">
      <c r="A5" s="187" t="s">
        <v>151</v>
      </c>
      <c r="B5" s="188">
        <v>9500</v>
      </c>
      <c r="C5" s="188">
        <v>7</v>
      </c>
      <c r="D5" s="187">
        <f t="shared" si="0"/>
        <v>66500</v>
      </c>
      <c r="E5" s="189">
        <f t="shared" si="1"/>
        <v>8.5018413198437448E-2</v>
      </c>
      <c r="F5" s="189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84"/>
      <c r="E24" s="184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18" zoomScaleNormal="80" workbookViewId="0">
      <selection activeCell="B30" sqref="B30:CH30"/>
    </sheetView>
  </sheetViews>
  <sheetFormatPr baseColWidth="10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76" customFormat="1" ht="17" thickBot="1" x14ac:dyDescent="0.25">
      <c r="A1" s="175"/>
      <c r="B1" s="190" t="s">
        <v>896</v>
      </c>
      <c r="C1" s="191">
        <v>41640</v>
      </c>
      <c r="D1" s="191">
        <v>41671</v>
      </c>
      <c r="E1" s="191">
        <v>41699</v>
      </c>
      <c r="F1" s="191">
        <v>41730</v>
      </c>
      <c r="G1" s="191">
        <v>41760</v>
      </c>
      <c r="H1" s="191">
        <v>41791</v>
      </c>
      <c r="I1" s="191">
        <v>41821</v>
      </c>
      <c r="J1" s="191">
        <v>41852</v>
      </c>
      <c r="K1" s="191">
        <v>41883</v>
      </c>
      <c r="L1" s="191">
        <v>41913</v>
      </c>
      <c r="M1" s="191">
        <v>41944</v>
      </c>
      <c r="N1" s="191">
        <v>41974</v>
      </c>
      <c r="O1" s="191">
        <v>42005</v>
      </c>
      <c r="P1" s="191">
        <v>42036</v>
      </c>
      <c r="Q1" s="191">
        <v>42064</v>
      </c>
      <c r="R1" s="191">
        <v>42095</v>
      </c>
      <c r="S1" s="191">
        <v>42125</v>
      </c>
      <c r="T1" s="191">
        <v>42156</v>
      </c>
      <c r="U1" s="191">
        <v>42186</v>
      </c>
      <c r="V1" s="191">
        <v>42217</v>
      </c>
      <c r="W1" s="191">
        <v>42248</v>
      </c>
      <c r="X1" s="191">
        <v>42278</v>
      </c>
      <c r="Y1" s="191">
        <v>42309</v>
      </c>
      <c r="Z1" s="191">
        <v>42339</v>
      </c>
      <c r="AA1" s="191">
        <v>42370</v>
      </c>
      <c r="AB1" s="191">
        <v>42401</v>
      </c>
      <c r="AC1" s="191">
        <v>42430</v>
      </c>
      <c r="AD1" s="191">
        <v>42461</v>
      </c>
      <c r="AE1" s="191">
        <v>42491</v>
      </c>
      <c r="AF1" s="191">
        <v>42522</v>
      </c>
      <c r="AG1" s="191">
        <v>42552</v>
      </c>
      <c r="AH1" s="191">
        <v>42583</v>
      </c>
      <c r="AI1" s="191">
        <v>42614</v>
      </c>
      <c r="AJ1" s="191">
        <v>42644</v>
      </c>
      <c r="AK1" s="191">
        <v>42675</v>
      </c>
      <c r="AL1" s="191">
        <v>42705</v>
      </c>
      <c r="AM1" s="191">
        <v>42736</v>
      </c>
      <c r="AN1" s="191">
        <v>42767</v>
      </c>
      <c r="AO1" s="191">
        <v>42795</v>
      </c>
      <c r="AP1" s="191">
        <v>42826</v>
      </c>
      <c r="AQ1" s="191">
        <v>42856</v>
      </c>
      <c r="AR1" s="191">
        <v>42887</v>
      </c>
      <c r="AS1" s="191">
        <v>42917</v>
      </c>
      <c r="AT1" s="191">
        <v>42948</v>
      </c>
      <c r="AU1" s="191">
        <v>42979</v>
      </c>
      <c r="AV1" s="191">
        <v>43009</v>
      </c>
      <c r="AW1" s="191">
        <v>43040</v>
      </c>
      <c r="AX1" s="191">
        <v>43070</v>
      </c>
      <c r="AY1" s="191">
        <v>43101</v>
      </c>
      <c r="AZ1" s="191">
        <v>43132</v>
      </c>
      <c r="BA1" s="191">
        <v>43160</v>
      </c>
      <c r="BB1" s="191">
        <v>43191</v>
      </c>
      <c r="BC1" s="191">
        <v>43221</v>
      </c>
      <c r="BD1" s="191">
        <v>43252</v>
      </c>
      <c r="BE1" s="191">
        <v>43282</v>
      </c>
      <c r="BF1" s="191">
        <v>43313</v>
      </c>
      <c r="BG1" s="191">
        <v>43344</v>
      </c>
      <c r="BH1" s="191">
        <v>43374</v>
      </c>
      <c r="BI1" s="191">
        <v>43405</v>
      </c>
      <c r="BJ1" s="191">
        <v>43435</v>
      </c>
      <c r="BK1" s="191">
        <v>43466</v>
      </c>
      <c r="BL1" s="191">
        <v>43497</v>
      </c>
      <c r="BM1" s="191">
        <v>43525</v>
      </c>
      <c r="BN1" s="191">
        <v>43556</v>
      </c>
      <c r="BO1" s="191">
        <v>43586</v>
      </c>
      <c r="BP1" s="191">
        <v>43617</v>
      </c>
      <c r="BQ1" s="191">
        <v>43647</v>
      </c>
      <c r="BR1" s="191">
        <v>43678</v>
      </c>
      <c r="BS1" s="191">
        <v>43709</v>
      </c>
      <c r="BT1" s="191">
        <v>43739</v>
      </c>
      <c r="BU1" s="191">
        <v>43770</v>
      </c>
      <c r="BV1" s="191">
        <v>43800</v>
      </c>
      <c r="BW1" s="191">
        <v>43831</v>
      </c>
      <c r="BX1" s="191">
        <v>43862</v>
      </c>
      <c r="BY1" s="191">
        <v>43891</v>
      </c>
      <c r="BZ1" s="191">
        <v>43922</v>
      </c>
      <c r="CA1" s="191">
        <v>43952</v>
      </c>
      <c r="CB1" s="191">
        <v>43983</v>
      </c>
      <c r="CC1" s="191">
        <v>44013</v>
      </c>
      <c r="CD1" s="191">
        <v>44044</v>
      </c>
      <c r="CE1" s="191">
        <v>44075</v>
      </c>
      <c r="CF1" s="191">
        <v>44105</v>
      </c>
      <c r="CG1" s="191">
        <v>44136</v>
      </c>
      <c r="CH1" s="191">
        <v>44166</v>
      </c>
    </row>
    <row r="2" spans="1:86" s="66" customFormat="1" x14ac:dyDescent="0.2">
      <c r="A2" s="192" t="s">
        <v>897</v>
      </c>
      <c r="B2" s="193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  <c r="BM2" s="194"/>
      <c r="BN2" s="194"/>
      <c r="BO2" s="194"/>
      <c r="BP2" s="194"/>
      <c r="BQ2" s="194"/>
      <c r="BR2" s="194"/>
      <c r="BS2" s="194"/>
      <c r="BT2" s="194"/>
      <c r="BU2" s="194"/>
      <c r="BV2" s="194"/>
      <c r="BW2" s="194"/>
      <c r="BX2" s="194"/>
      <c r="BY2" s="194"/>
      <c r="BZ2" s="194"/>
      <c r="CA2" s="194"/>
      <c r="CB2" s="194"/>
      <c r="CC2" s="194"/>
      <c r="CD2" s="194"/>
      <c r="CE2" s="194"/>
      <c r="CF2" s="194"/>
      <c r="CG2" s="194"/>
      <c r="CH2" s="195"/>
    </row>
    <row r="3" spans="1:86" x14ac:dyDescent="0.2">
      <c r="A3" s="10" t="s">
        <v>898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899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900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901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902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903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904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77" t="s">
        <v>905</v>
      </c>
      <c r="B10" s="178">
        <f>B8-($B$5*B6)-B7-B3</f>
        <v>-4556598</v>
      </c>
      <c r="C10" s="178">
        <f t="shared" ref="C10:BN10" si="6">C8-($B$5*C6)-C7-C3</f>
        <v>-199310.36</v>
      </c>
      <c r="D10" s="178">
        <f t="shared" si="6"/>
        <v>-202850.6</v>
      </c>
      <c r="E10" s="178">
        <f t="shared" si="6"/>
        <v>-205953.61</v>
      </c>
      <c r="F10" s="178">
        <f t="shared" si="6"/>
        <v>-207414.12</v>
      </c>
      <c r="G10" s="178">
        <f t="shared" si="6"/>
        <v>-206256.772</v>
      </c>
      <c r="H10" s="178">
        <f t="shared" si="6"/>
        <v>-200529.25064000001</v>
      </c>
      <c r="I10" s="178">
        <f t="shared" si="6"/>
        <v>-184198.90385280002</v>
      </c>
      <c r="J10" s="178">
        <f t="shared" si="6"/>
        <v>-147555.03352985601</v>
      </c>
      <c r="K10" s="178">
        <f t="shared" si="6"/>
        <v>-70082.616200453136</v>
      </c>
      <c r="L10" s="178">
        <f t="shared" si="6"/>
        <v>89939.766275537811</v>
      </c>
      <c r="M10" s="178">
        <f t="shared" si="6"/>
        <v>414290.0860010485</v>
      </c>
      <c r="N10" s="178">
        <f t="shared" si="6"/>
        <v>1067560.5483210695</v>
      </c>
      <c r="O10" s="178">
        <f t="shared" si="6"/>
        <v>1438785.6710874906</v>
      </c>
      <c r="P10" s="178">
        <f t="shared" si="6"/>
        <v>1831347.6339092406</v>
      </c>
      <c r="Q10" s="178">
        <f t="shared" si="6"/>
        <v>2197716.7573874253</v>
      </c>
      <c r="R10" s="178">
        <f t="shared" si="6"/>
        <v>2537258.8423351739</v>
      </c>
      <c r="S10" s="178">
        <f t="shared" si="6"/>
        <v>2689975.3389818775</v>
      </c>
      <c r="T10" s="178">
        <f t="shared" si="6"/>
        <v>2849250.6861615148</v>
      </c>
      <c r="U10" s="178">
        <f t="shared" si="6"/>
        <v>2947900.3004847453</v>
      </c>
      <c r="V10" s="178">
        <f t="shared" si="6"/>
        <v>3045633.31549444</v>
      </c>
      <c r="W10" s="178">
        <f t="shared" si="6"/>
        <v>3123597.3308043284</v>
      </c>
      <c r="X10" s="178">
        <f t="shared" si="6"/>
        <v>3203398.7812204156</v>
      </c>
      <c r="Y10" s="178">
        <f t="shared" si="6"/>
        <v>3277851.5858448241</v>
      </c>
      <c r="Z10" s="178">
        <f t="shared" si="6"/>
        <v>3378619.3371617203</v>
      </c>
      <c r="AA10" s="178">
        <f t="shared" si="6"/>
        <v>3463976.3901049546</v>
      </c>
      <c r="AB10" s="178">
        <f t="shared" si="6"/>
        <v>3522598.6811070535</v>
      </c>
      <c r="AC10" s="178">
        <f t="shared" si="6"/>
        <v>3618045.5071291947</v>
      </c>
      <c r="AD10" s="178">
        <f t="shared" si="6"/>
        <v>3723245.9246717785</v>
      </c>
      <c r="AE10" s="178">
        <f t="shared" si="6"/>
        <v>3829174.5187652144</v>
      </c>
      <c r="AF10" s="178">
        <f t="shared" si="6"/>
        <v>3882553.9219405181</v>
      </c>
      <c r="AG10" s="178">
        <f t="shared" si="6"/>
        <v>3983609.0831793295</v>
      </c>
      <c r="AH10" s="178">
        <f t="shared" si="6"/>
        <v>4046362.0968429148</v>
      </c>
      <c r="AI10" s="178">
        <f t="shared" si="6"/>
        <v>4142992.4415797736</v>
      </c>
      <c r="AJ10" s="178">
        <f t="shared" si="6"/>
        <v>4241428.95921137</v>
      </c>
      <c r="AK10" s="178">
        <f t="shared" si="6"/>
        <v>4345864.0035955971</v>
      </c>
      <c r="AL10" s="178">
        <f t="shared" si="6"/>
        <v>4438766.2094675088</v>
      </c>
      <c r="AM10" s="178">
        <f t="shared" si="6"/>
        <v>4532201.2012568591</v>
      </c>
      <c r="AN10" s="178">
        <f t="shared" si="6"/>
        <v>4600649.1618819954</v>
      </c>
      <c r="AO10" s="178">
        <f t="shared" si="6"/>
        <v>4653417.0315196365</v>
      </c>
      <c r="AP10" s="178">
        <f t="shared" si="6"/>
        <v>4694466.9763500281</v>
      </c>
      <c r="AQ10" s="178">
        <f t="shared" si="6"/>
        <v>4728565.6772770286</v>
      </c>
      <c r="AR10" s="178">
        <f t="shared" si="6"/>
        <v>4715308.3286225703</v>
      </c>
      <c r="AS10" s="178">
        <f t="shared" si="6"/>
        <v>4702506.5067950217</v>
      </c>
      <c r="AT10" s="178">
        <f t="shared" si="6"/>
        <v>4694294.5189309213</v>
      </c>
      <c r="AU10" s="178">
        <f t="shared" si="6"/>
        <v>4685381.5215095403</v>
      </c>
      <c r="AV10" s="178">
        <f t="shared" si="6"/>
        <v>4674327.0889397301</v>
      </c>
      <c r="AW10" s="178">
        <f t="shared" si="6"/>
        <v>4664345.7921185251</v>
      </c>
      <c r="AX10" s="178">
        <f t="shared" si="6"/>
        <v>4654629.2269608956</v>
      </c>
      <c r="AY10" s="178">
        <f t="shared" si="6"/>
        <v>4644943.6129001137</v>
      </c>
      <c r="AZ10" s="178">
        <f t="shared" si="6"/>
        <v>4634250.5113581158</v>
      </c>
      <c r="BA10" s="178">
        <f t="shared" si="6"/>
        <v>4622775.7441852782</v>
      </c>
      <c r="BB10" s="178">
        <f t="shared" si="6"/>
        <v>4610515.1720689842</v>
      </c>
      <c r="BC10" s="178">
        <f t="shared" si="6"/>
        <v>4598728.9129103636</v>
      </c>
      <c r="BD10" s="178">
        <f t="shared" si="6"/>
        <v>4586780.4901685705</v>
      </c>
      <c r="BE10" s="178">
        <f t="shared" si="6"/>
        <v>4575125.2711719424</v>
      </c>
      <c r="BF10" s="178">
        <f t="shared" si="6"/>
        <v>4562551.9053953812</v>
      </c>
      <c r="BG10" s="178">
        <f t="shared" si="6"/>
        <v>4550205.2227032883</v>
      </c>
      <c r="BH10" s="178">
        <f t="shared" si="6"/>
        <v>4536471.4015573543</v>
      </c>
      <c r="BI10" s="178">
        <f t="shared" si="6"/>
        <v>4524161.7171885017</v>
      </c>
      <c r="BJ10" s="178">
        <f t="shared" si="6"/>
        <v>4512064.449732272</v>
      </c>
      <c r="BK10" s="178">
        <f t="shared" si="6"/>
        <v>4499255.1323269168</v>
      </c>
      <c r="BL10" s="178">
        <f t="shared" si="6"/>
        <v>4484694.2591734556</v>
      </c>
      <c r="BM10" s="178">
        <f t="shared" si="6"/>
        <v>4470503.0735569242</v>
      </c>
      <c r="BN10" s="178">
        <f t="shared" si="6"/>
        <v>4457251.0258280626</v>
      </c>
      <c r="BO10" s="178">
        <f t="shared" ref="BO10:CH10" si="7">BO8-($B$5*BO6)-BO7-BO3</f>
        <v>4442116.7313446244</v>
      </c>
      <c r="BP10" s="178">
        <f t="shared" si="7"/>
        <v>4428313.0483715162</v>
      </c>
      <c r="BQ10" s="178">
        <f t="shared" si="7"/>
        <v>4413708.015938947</v>
      </c>
      <c r="BR10" s="178">
        <f t="shared" si="7"/>
        <v>4389445.5716577256</v>
      </c>
      <c r="BS10" s="178">
        <f t="shared" si="7"/>
        <v>4357991.1294908812</v>
      </c>
      <c r="BT10" s="178">
        <f t="shared" si="7"/>
        <v>4323246.7374806982</v>
      </c>
      <c r="BU10" s="178">
        <f t="shared" si="7"/>
        <v>4280378.8854303118</v>
      </c>
      <c r="BV10" s="178">
        <f t="shared" si="7"/>
        <v>4256104.9725389183</v>
      </c>
      <c r="BW10" s="178">
        <f t="shared" si="7"/>
        <v>4210994.3049896965</v>
      </c>
      <c r="BX10" s="178">
        <f t="shared" si="7"/>
        <v>4159695.3334894902</v>
      </c>
      <c r="BY10" s="178">
        <f t="shared" si="7"/>
        <v>4061053.0107592796</v>
      </c>
      <c r="BZ10" s="178">
        <f t="shared" si="7"/>
        <v>3904716.0789744658</v>
      </c>
      <c r="CA10" s="178">
        <f t="shared" si="7"/>
        <v>3712343.937153955</v>
      </c>
      <c r="CB10" s="178">
        <f t="shared" si="7"/>
        <v>3393012.1184970341</v>
      </c>
      <c r="CC10" s="178">
        <f t="shared" si="7"/>
        <v>2835221.7576669748</v>
      </c>
      <c r="CD10" s="178">
        <f t="shared" si="7"/>
        <v>2242754.2680203142</v>
      </c>
      <c r="CE10" s="178">
        <f t="shared" si="7"/>
        <v>1540374.0687807202</v>
      </c>
      <c r="CF10" s="178">
        <f t="shared" si="7"/>
        <v>544227.13215633482</v>
      </c>
      <c r="CG10" s="178">
        <f t="shared" si="7"/>
        <v>-345588.04960053856</v>
      </c>
      <c r="CH10" s="178">
        <f t="shared" si="7"/>
        <v>-446335.67719254934</v>
      </c>
    </row>
    <row r="11" spans="1:86" ht="17" thickBot="1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  <c r="BW11" s="196"/>
      <c r="BX11" s="196"/>
      <c r="BY11" s="196"/>
      <c r="BZ11" s="196"/>
      <c r="CA11" s="196"/>
      <c r="CB11" s="196"/>
      <c r="CC11" s="196"/>
      <c r="CD11" s="196"/>
      <c r="CE11" s="196"/>
      <c r="CF11" s="196"/>
      <c r="CG11" s="196"/>
      <c r="CH11" s="196"/>
    </row>
    <row r="12" spans="1:86" x14ac:dyDescent="0.2">
      <c r="A12" s="192" t="s">
        <v>906</v>
      </c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8"/>
    </row>
    <row r="13" spans="1:86" x14ac:dyDescent="0.2">
      <c r="A13" s="10" t="s">
        <v>907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908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909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910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911</v>
      </c>
      <c r="B17" s="3">
        <v>670</v>
      </c>
      <c r="C17" s="3">
        <f ca="1">RANDBETWEEN(600, 750)</f>
        <v>621</v>
      </c>
      <c r="D17" s="3">
        <f t="shared" ref="D17:BO17" ca="1" si="8">RANDBETWEEN(600, 750)</f>
        <v>658</v>
      </c>
      <c r="E17" s="3">
        <f t="shared" ca="1" si="8"/>
        <v>643</v>
      </c>
      <c r="F17" s="3">
        <f t="shared" ca="1" si="8"/>
        <v>656</v>
      </c>
      <c r="G17" s="3">
        <f t="shared" ca="1" si="8"/>
        <v>643</v>
      </c>
      <c r="H17" s="3">
        <f t="shared" ca="1" si="8"/>
        <v>699</v>
      </c>
      <c r="I17" s="3">
        <f t="shared" ca="1" si="8"/>
        <v>675</v>
      </c>
      <c r="J17" s="3">
        <f t="shared" ca="1" si="8"/>
        <v>735</v>
      </c>
      <c r="K17" s="3">
        <f t="shared" ca="1" si="8"/>
        <v>659</v>
      </c>
      <c r="L17" s="3">
        <f t="shared" ca="1" si="8"/>
        <v>658</v>
      </c>
      <c r="M17" s="3">
        <f t="shared" ca="1" si="8"/>
        <v>685</v>
      </c>
      <c r="N17" s="3">
        <f t="shared" ca="1" si="8"/>
        <v>680</v>
      </c>
      <c r="O17" s="3">
        <f t="shared" ca="1" si="8"/>
        <v>681</v>
      </c>
      <c r="P17" s="3">
        <f t="shared" ca="1" si="8"/>
        <v>700</v>
      </c>
      <c r="Q17" s="3">
        <f t="shared" ca="1" si="8"/>
        <v>717</v>
      </c>
      <c r="R17" s="3">
        <f t="shared" ca="1" si="8"/>
        <v>680</v>
      </c>
      <c r="S17" s="3">
        <f t="shared" ca="1" si="8"/>
        <v>625</v>
      </c>
      <c r="T17" s="3">
        <f t="shared" ca="1" si="8"/>
        <v>634</v>
      </c>
      <c r="U17" s="3">
        <f t="shared" ca="1" si="8"/>
        <v>622</v>
      </c>
      <c r="V17" s="3">
        <f t="shared" ca="1" si="8"/>
        <v>643</v>
      </c>
      <c r="W17" s="3">
        <f t="shared" ca="1" si="8"/>
        <v>651</v>
      </c>
      <c r="X17" s="3">
        <f t="shared" ca="1" si="8"/>
        <v>615</v>
      </c>
      <c r="Y17" s="3">
        <f t="shared" ca="1" si="8"/>
        <v>602</v>
      </c>
      <c r="Z17" s="3">
        <f t="shared" ca="1" si="8"/>
        <v>697</v>
      </c>
      <c r="AA17" s="3">
        <f t="shared" ca="1" si="8"/>
        <v>671</v>
      </c>
      <c r="AB17" s="3">
        <f t="shared" ca="1" si="8"/>
        <v>646</v>
      </c>
      <c r="AC17" s="3">
        <f t="shared" ca="1" si="8"/>
        <v>680</v>
      </c>
      <c r="AD17" s="3">
        <f t="shared" ca="1" si="8"/>
        <v>733</v>
      </c>
      <c r="AE17" s="3">
        <f t="shared" ca="1" si="8"/>
        <v>690</v>
      </c>
      <c r="AF17" s="3">
        <f t="shared" ca="1" si="8"/>
        <v>724</v>
      </c>
      <c r="AG17" s="3">
        <f t="shared" ca="1" si="8"/>
        <v>702</v>
      </c>
      <c r="AH17" s="3">
        <f t="shared" ca="1" si="8"/>
        <v>661</v>
      </c>
      <c r="AI17" s="3">
        <f t="shared" ca="1" si="8"/>
        <v>708</v>
      </c>
      <c r="AJ17" s="3">
        <f t="shared" ca="1" si="8"/>
        <v>680</v>
      </c>
      <c r="AK17" s="3">
        <f t="shared" ca="1" si="8"/>
        <v>616</v>
      </c>
      <c r="AL17" s="3">
        <f t="shared" ca="1" si="8"/>
        <v>703</v>
      </c>
      <c r="AM17" s="3">
        <f t="shared" ca="1" si="8"/>
        <v>679</v>
      </c>
      <c r="AN17" s="3">
        <f t="shared" ca="1" si="8"/>
        <v>625</v>
      </c>
      <c r="AO17" s="3">
        <f t="shared" ca="1" si="8"/>
        <v>714</v>
      </c>
      <c r="AP17" s="3">
        <f t="shared" ca="1" si="8"/>
        <v>732</v>
      </c>
      <c r="AQ17" s="3">
        <f t="shared" ca="1" si="8"/>
        <v>659</v>
      </c>
      <c r="AR17" s="3">
        <f t="shared" ca="1" si="8"/>
        <v>750</v>
      </c>
      <c r="AS17" s="3">
        <f t="shared" ca="1" si="8"/>
        <v>668</v>
      </c>
      <c r="AT17" s="3">
        <f t="shared" ca="1" si="8"/>
        <v>673</v>
      </c>
      <c r="AU17" s="3">
        <f t="shared" ca="1" si="8"/>
        <v>647</v>
      </c>
      <c r="AV17" s="3">
        <f t="shared" ca="1" si="8"/>
        <v>728</v>
      </c>
      <c r="AW17" s="3">
        <f t="shared" ca="1" si="8"/>
        <v>674</v>
      </c>
      <c r="AX17" s="3">
        <f t="shared" ca="1" si="8"/>
        <v>611</v>
      </c>
      <c r="AY17" s="3">
        <f t="shared" ca="1" si="8"/>
        <v>688</v>
      </c>
      <c r="AZ17" s="3">
        <f t="shared" ca="1" si="8"/>
        <v>661</v>
      </c>
      <c r="BA17" s="3">
        <f t="shared" ca="1" si="8"/>
        <v>709</v>
      </c>
      <c r="BB17" s="3">
        <f t="shared" ca="1" si="8"/>
        <v>732</v>
      </c>
      <c r="BC17" s="3">
        <f t="shared" ca="1" si="8"/>
        <v>645</v>
      </c>
      <c r="BD17" s="3">
        <f t="shared" ca="1" si="8"/>
        <v>659</v>
      </c>
      <c r="BE17" s="3">
        <f t="shared" ca="1" si="8"/>
        <v>726</v>
      </c>
      <c r="BF17" s="3">
        <f t="shared" ca="1" si="8"/>
        <v>703</v>
      </c>
      <c r="BG17" s="3">
        <f t="shared" ca="1" si="8"/>
        <v>741</v>
      </c>
      <c r="BH17" s="3">
        <f t="shared" ca="1" si="8"/>
        <v>667</v>
      </c>
      <c r="BI17" s="3">
        <f t="shared" ca="1" si="8"/>
        <v>624</v>
      </c>
      <c r="BJ17" s="3">
        <f t="shared" ca="1" si="8"/>
        <v>698</v>
      </c>
      <c r="BK17" s="3">
        <f t="shared" ca="1" si="8"/>
        <v>633</v>
      </c>
      <c r="BL17" s="3">
        <f t="shared" ca="1" si="8"/>
        <v>715</v>
      </c>
      <c r="BM17" s="3">
        <f t="shared" ca="1" si="8"/>
        <v>646</v>
      </c>
      <c r="BN17" s="3">
        <f t="shared" ca="1" si="8"/>
        <v>637</v>
      </c>
      <c r="BO17" s="3">
        <f t="shared" ca="1" si="8"/>
        <v>615</v>
      </c>
      <c r="BP17" s="3">
        <f t="shared" ref="BP17:CH17" ca="1" si="9">RANDBETWEEN(600, 750)</f>
        <v>618</v>
      </c>
      <c r="BQ17" s="3">
        <f t="shared" ca="1" si="9"/>
        <v>665</v>
      </c>
      <c r="BR17" s="3">
        <f t="shared" ca="1" si="9"/>
        <v>668</v>
      </c>
      <c r="BS17" s="3">
        <f t="shared" ca="1" si="9"/>
        <v>724</v>
      </c>
      <c r="BT17" s="3">
        <f t="shared" ca="1" si="9"/>
        <v>650</v>
      </c>
      <c r="BU17" s="3">
        <f t="shared" ca="1" si="9"/>
        <v>658</v>
      </c>
      <c r="BV17" s="3">
        <f t="shared" ca="1" si="9"/>
        <v>605</v>
      </c>
      <c r="BW17" s="3">
        <f t="shared" ca="1" si="9"/>
        <v>727</v>
      </c>
      <c r="BX17" s="3">
        <f t="shared" ca="1" si="9"/>
        <v>737</v>
      </c>
      <c r="BY17" s="3">
        <f t="shared" ca="1" si="9"/>
        <v>616</v>
      </c>
      <c r="BZ17" s="3">
        <f t="shared" ca="1" si="9"/>
        <v>653</v>
      </c>
      <c r="CA17" s="3">
        <f t="shared" ca="1" si="9"/>
        <v>679</v>
      </c>
      <c r="CB17" s="3">
        <f t="shared" ca="1" si="9"/>
        <v>677</v>
      </c>
      <c r="CC17" s="3">
        <f t="shared" ca="1" si="9"/>
        <v>712</v>
      </c>
      <c r="CD17" s="3">
        <f t="shared" ca="1" si="9"/>
        <v>750</v>
      </c>
      <c r="CE17" s="3">
        <f t="shared" ca="1" si="9"/>
        <v>673</v>
      </c>
      <c r="CF17" s="3">
        <f t="shared" ca="1" si="9"/>
        <v>725</v>
      </c>
      <c r="CG17" s="3">
        <f t="shared" ca="1" si="9"/>
        <v>619</v>
      </c>
      <c r="CH17" s="11">
        <f t="shared" ca="1" si="9"/>
        <v>617</v>
      </c>
    </row>
    <row r="18" spans="1:86" x14ac:dyDescent="0.2">
      <c r="A18" s="10" t="s">
        <v>912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913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7" thickBot="1" x14ac:dyDescent="0.25">
      <c r="A20" s="177" t="s">
        <v>914</v>
      </c>
      <c r="B20" s="178">
        <f>B18-($B$15*B16)-B17-B13</f>
        <v>-24435</v>
      </c>
      <c r="C20" s="178">
        <f t="shared" ref="C20:BN20" ca="1" si="14">C18-($B$15*C16)-C17-C13</f>
        <v>-506.15999999999997</v>
      </c>
      <c r="D20" s="178">
        <f t="shared" ca="1" si="14"/>
        <v>-313.47999999999996</v>
      </c>
      <c r="E20" s="178">
        <f t="shared" ca="1" si="14"/>
        <v>-241.05999999999995</v>
      </c>
      <c r="F20" s="178">
        <f t="shared" ca="1" si="14"/>
        <v>-196.64</v>
      </c>
      <c r="G20" s="178">
        <f t="shared" ca="1" si="14"/>
        <v>-97.509999999999991</v>
      </c>
      <c r="H20" s="178">
        <f t="shared" ca="1" si="14"/>
        <v>-67.379999999999882</v>
      </c>
      <c r="I20" s="178">
        <f t="shared" ca="1" si="14"/>
        <v>71.460000000000036</v>
      </c>
      <c r="J20" s="178">
        <f t="shared" ca="1" si="14"/>
        <v>155.01</v>
      </c>
      <c r="K20" s="178">
        <f t="shared" ca="1" si="14"/>
        <v>403.27</v>
      </c>
      <c r="L20" s="178">
        <f t="shared" ca="1" si="14"/>
        <v>605.24000000000024</v>
      </c>
      <c r="M20" s="178">
        <f t="shared" ca="1" si="14"/>
        <v>807.92000000000007</v>
      </c>
      <c r="N20" s="178">
        <f t="shared" ca="1" si="14"/>
        <v>1100.02</v>
      </c>
      <c r="O20" s="178">
        <f t="shared" ca="1" si="14"/>
        <v>1443.54</v>
      </c>
      <c r="P20" s="178">
        <f t="shared" ca="1" si="14"/>
        <v>1826.4800000000005</v>
      </c>
      <c r="Q20" s="178">
        <f t="shared" ca="1" si="14"/>
        <v>1838.19</v>
      </c>
      <c r="R20" s="178">
        <f t="shared" ca="1" si="14"/>
        <v>1990.0300000000002</v>
      </c>
      <c r="S20" s="178">
        <f t="shared" ca="1" si="14"/>
        <v>2159.87</v>
      </c>
      <c r="T20" s="178">
        <f t="shared" ca="1" si="14"/>
        <v>2007.3200000000002</v>
      </c>
      <c r="U20" s="178">
        <f t="shared" ca="1" si="14"/>
        <v>2076.7400000000002</v>
      </c>
      <c r="V20" s="178">
        <f t="shared" ca="1" si="14"/>
        <v>1969.6100000000001</v>
      </c>
      <c r="W20" s="178">
        <f t="shared" ca="1" si="14"/>
        <v>1818.0600000000004</v>
      </c>
      <c r="X20" s="178">
        <f t="shared" ca="1" si="14"/>
        <v>1394.7</v>
      </c>
      <c r="Y20" s="178">
        <f t="shared" ca="1" si="14"/>
        <v>1063.18</v>
      </c>
      <c r="Z20" s="178">
        <f t="shared" ca="1" si="14"/>
        <v>652.37000000000012</v>
      </c>
      <c r="AA20" s="178">
        <f t="shared" ca="1" si="14"/>
        <v>190.29999999999995</v>
      </c>
      <c r="AB20" s="178">
        <f t="shared" ca="1" si="14"/>
        <v>-71.799999999999955</v>
      </c>
      <c r="AC20" s="178">
        <f t="shared" ca="1" si="14"/>
        <v>-565.16</v>
      </c>
      <c r="AD20" s="178">
        <f t="shared" ca="1" si="14"/>
        <v>-733</v>
      </c>
      <c r="AE20" s="178">
        <f t="shared" ca="1" si="14"/>
        <v>-690</v>
      </c>
      <c r="AF20" s="178">
        <f t="shared" ca="1" si="14"/>
        <v>-724</v>
      </c>
      <c r="AG20" s="178">
        <f t="shared" ca="1" si="14"/>
        <v>-702</v>
      </c>
      <c r="AH20" s="178">
        <f t="shared" ca="1" si="14"/>
        <v>-661</v>
      </c>
      <c r="AI20" s="178">
        <f t="shared" ca="1" si="14"/>
        <v>-708</v>
      </c>
      <c r="AJ20" s="178">
        <f t="shared" ca="1" si="14"/>
        <v>-680</v>
      </c>
      <c r="AK20" s="178">
        <f t="shared" ca="1" si="14"/>
        <v>-616</v>
      </c>
      <c r="AL20" s="178">
        <f t="shared" ca="1" si="14"/>
        <v>-703</v>
      </c>
      <c r="AM20" s="178">
        <f t="shared" ca="1" si="14"/>
        <v>-679</v>
      </c>
      <c r="AN20" s="178">
        <f t="shared" ca="1" si="14"/>
        <v>-625</v>
      </c>
      <c r="AO20" s="178">
        <f t="shared" ca="1" si="14"/>
        <v>-714</v>
      </c>
      <c r="AP20" s="178">
        <f t="shared" ca="1" si="14"/>
        <v>-732</v>
      </c>
      <c r="AQ20" s="178">
        <f t="shared" ca="1" si="14"/>
        <v>-659</v>
      </c>
      <c r="AR20" s="178">
        <f t="shared" ca="1" si="14"/>
        <v>-750</v>
      </c>
      <c r="AS20" s="178">
        <f t="shared" ca="1" si="14"/>
        <v>-668</v>
      </c>
      <c r="AT20" s="178">
        <f t="shared" ca="1" si="14"/>
        <v>-673</v>
      </c>
      <c r="AU20" s="178">
        <f t="shared" ca="1" si="14"/>
        <v>-647</v>
      </c>
      <c r="AV20" s="178">
        <f t="shared" ca="1" si="14"/>
        <v>-728</v>
      </c>
      <c r="AW20" s="178">
        <f t="shared" ca="1" si="14"/>
        <v>-674</v>
      </c>
      <c r="AX20" s="178">
        <f t="shared" ca="1" si="14"/>
        <v>-611</v>
      </c>
      <c r="AY20" s="178">
        <f t="shared" ca="1" si="14"/>
        <v>-688</v>
      </c>
      <c r="AZ20" s="178">
        <f t="shared" ca="1" si="14"/>
        <v>-661</v>
      </c>
      <c r="BA20" s="178">
        <f t="shared" ca="1" si="14"/>
        <v>-709</v>
      </c>
      <c r="BB20" s="178">
        <f t="shared" ca="1" si="14"/>
        <v>-732</v>
      </c>
      <c r="BC20" s="178">
        <f t="shared" ca="1" si="14"/>
        <v>-645</v>
      </c>
      <c r="BD20" s="178">
        <f t="shared" ca="1" si="14"/>
        <v>-659</v>
      </c>
      <c r="BE20" s="178">
        <f t="shared" ca="1" si="14"/>
        <v>-726</v>
      </c>
      <c r="BF20" s="178">
        <f t="shared" ca="1" si="14"/>
        <v>-703</v>
      </c>
      <c r="BG20" s="178">
        <f t="shared" ca="1" si="14"/>
        <v>-741</v>
      </c>
      <c r="BH20" s="178">
        <f t="shared" ca="1" si="14"/>
        <v>-667</v>
      </c>
      <c r="BI20" s="178">
        <f t="shared" ca="1" si="14"/>
        <v>-624</v>
      </c>
      <c r="BJ20" s="178">
        <f t="shared" ca="1" si="14"/>
        <v>-698</v>
      </c>
      <c r="BK20" s="178">
        <f t="shared" ca="1" si="14"/>
        <v>-633</v>
      </c>
      <c r="BL20" s="178">
        <f t="shared" ca="1" si="14"/>
        <v>-715</v>
      </c>
      <c r="BM20" s="178">
        <f t="shared" ca="1" si="14"/>
        <v>-646</v>
      </c>
      <c r="BN20" s="178">
        <f t="shared" ca="1" si="14"/>
        <v>-637</v>
      </c>
      <c r="BO20" s="178">
        <f t="shared" ref="BO20:CH20" ca="1" si="15">BO18-($B$15*BO16)-BO17-BO13</f>
        <v>-615</v>
      </c>
      <c r="BP20" s="178">
        <f t="shared" ca="1" si="15"/>
        <v>-618</v>
      </c>
      <c r="BQ20" s="178">
        <f t="shared" ca="1" si="15"/>
        <v>-665</v>
      </c>
      <c r="BR20" s="178">
        <f t="shared" ca="1" si="15"/>
        <v>-668</v>
      </c>
      <c r="BS20" s="178">
        <f t="shared" ca="1" si="15"/>
        <v>-724</v>
      </c>
      <c r="BT20" s="178">
        <f t="shared" ca="1" si="15"/>
        <v>-650</v>
      </c>
      <c r="BU20" s="178">
        <f t="shared" ca="1" si="15"/>
        <v>-658</v>
      </c>
      <c r="BV20" s="178">
        <f t="shared" ca="1" si="15"/>
        <v>-605</v>
      </c>
      <c r="BW20" s="178">
        <f t="shared" ca="1" si="15"/>
        <v>-727</v>
      </c>
      <c r="BX20" s="178">
        <f t="shared" ca="1" si="15"/>
        <v>-737</v>
      </c>
      <c r="BY20" s="178">
        <f t="shared" ca="1" si="15"/>
        <v>-616</v>
      </c>
      <c r="BZ20" s="178">
        <f t="shared" ca="1" si="15"/>
        <v>-653</v>
      </c>
      <c r="CA20" s="178">
        <f t="shared" ca="1" si="15"/>
        <v>-679</v>
      </c>
      <c r="CB20" s="178">
        <f t="shared" ca="1" si="15"/>
        <v>-677</v>
      </c>
      <c r="CC20" s="178">
        <f t="shared" ca="1" si="15"/>
        <v>-712</v>
      </c>
      <c r="CD20" s="178">
        <f t="shared" ca="1" si="15"/>
        <v>-750</v>
      </c>
      <c r="CE20" s="178">
        <f t="shared" ca="1" si="15"/>
        <v>-673</v>
      </c>
      <c r="CF20" s="178">
        <f t="shared" ca="1" si="15"/>
        <v>-725</v>
      </c>
      <c r="CG20" s="178">
        <f t="shared" ca="1" si="15"/>
        <v>-619</v>
      </c>
      <c r="CH20" s="178">
        <f t="shared" ca="1" si="15"/>
        <v>-617</v>
      </c>
    </row>
    <row r="21" spans="1:86" ht="17" thickBot="1" x14ac:dyDescent="0.2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</row>
    <row r="22" spans="1:86" x14ac:dyDescent="0.2">
      <c r="A22" s="192" t="s">
        <v>915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8"/>
    </row>
    <row r="23" spans="1:86" x14ac:dyDescent="0.2">
      <c r="A23" s="10" t="s">
        <v>916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917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918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919</v>
      </c>
      <c r="B26" s="3">
        <v>0</v>
      </c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920</v>
      </c>
      <c r="B27" s="3">
        <v>450</v>
      </c>
      <c r="C27" s="3">
        <f ca="1">RANDBETWEEN(350, 490)</f>
        <v>363</v>
      </c>
      <c r="D27" s="3">
        <f t="shared" ref="D27:BO27" ca="1" si="16">RANDBETWEEN(350, 490)</f>
        <v>445</v>
      </c>
      <c r="E27" s="3">
        <f t="shared" ca="1" si="16"/>
        <v>464</v>
      </c>
      <c r="F27" s="3">
        <f t="shared" ca="1" si="16"/>
        <v>420</v>
      </c>
      <c r="G27" s="3">
        <f t="shared" ca="1" si="16"/>
        <v>451</v>
      </c>
      <c r="H27" s="3">
        <f t="shared" ca="1" si="16"/>
        <v>486</v>
      </c>
      <c r="I27" s="3">
        <f t="shared" ca="1" si="16"/>
        <v>385</v>
      </c>
      <c r="J27" s="3">
        <f t="shared" ca="1" si="16"/>
        <v>466</v>
      </c>
      <c r="K27" s="3">
        <f t="shared" ca="1" si="16"/>
        <v>472</v>
      </c>
      <c r="L27" s="3">
        <f t="shared" ca="1" si="16"/>
        <v>470</v>
      </c>
      <c r="M27" s="3">
        <f t="shared" ca="1" si="16"/>
        <v>440</v>
      </c>
      <c r="N27" s="3">
        <f t="shared" ca="1" si="16"/>
        <v>361</v>
      </c>
      <c r="O27" s="3">
        <f t="shared" ca="1" si="16"/>
        <v>388</v>
      </c>
      <c r="P27" s="3">
        <f t="shared" ca="1" si="16"/>
        <v>474</v>
      </c>
      <c r="Q27" s="3">
        <f t="shared" ca="1" si="16"/>
        <v>355</v>
      </c>
      <c r="R27" s="3">
        <f t="shared" ca="1" si="16"/>
        <v>388</v>
      </c>
      <c r="S27" s="3">
        <f t="shared" ca="1" si="16"/>
        <v>479</v>
      </c>
      <c r="T27" s="3">
        <f t="shared" ca="1" si="16"/>
        <v>465</v>
      </c>
      <c r="U27" s="3">
        <f t="shared" ca="1" si="16"/>
        <v>467</v>
      </c>
      <c r="V27" s="3">
        <f t="shared" ca="1" si="16"/>
        <v>478</v>
      </c>
      <c r="W27" s="3">
        <f t="shared" ca="1" si="16"/>
        <v>489</v>
      </c>
      <c r="X27" s="3">
        <f t="shared" ca="1" si="16"/>
        <v>439</v>
      </c>
      <c r="Y27" s="3">
        <f t="shared" ca="1" si="16"/>
        <v>371</v>
      </c>
      <c r="Z27" s="3">
        <f t="shared" ca="1" si="16"/>
        <v>401</v>
      </c>
      <c r="AA27" s="3">
        <f t="shared" ca="1" si="16"/>
        <v>410</v>
      </c>
      <c r="AB27" s="3">
        <f t="shared" ca="1" si="16"/>
        <v>396</v>
      </c>
      <c r="AC27" s="3">
        <f t="shared" ca="1" si="16"/>
        <v>374</v>
      </c>
      <c r="AD27" s="3">
        <f t="shared" ca="1" si="16"/>
        <v>483</v>
      </c>
      <c r="AE27" s="3">
        <f t="shared" ca="1" si="16"/>
        <v>393</v>
      </c>
      <c r="AF27" s="3">
        <f t="shared" ca="1" si="16"/>
        <v>444</v>
      </c>
      <c r="AG27" s="3">
        <f t="shared" ca="1" si="16"/>
        <v>360</v>
      </c>
      <c r="AH27" s="3">
        <f t="shared" ca="1" si="16"/>
        <v>457</v>
      </c>
      <c r="AI27" s="3">
        <f t="shared" ca="1" si="16"/>
        <v>381</v>
      </c>
      <c r="AJ27" s="3">
        <f t="shared" ca="1" si="16"/>
        <v>408</v>
      </c>
      <c r="AK27" s="3">
        <f t="shared" ca="1" si="16"/>
        <v>415</v>
      </c>
      <c r="AL27" s="3">
        <f t="shared" ca="1" si="16"/>
        <v>398</v>
      </c>
      <c r="AM27" s="3">
        <f t="shared" ca="1" si="16"/>
        <v>409</v>
      </c>
      <c r="AN27" s="3">
        <f t="shared" ca="1" si="16"/>
        <v>478</v>
      </c>
      <c r="AO27" s="3">
        <f t="shared" ca="1" si="16"/>
        <v>382</v>
      </c>
      <c r="AP27" s="3">
        <f t="shared" ca="1" si="16"/>
        <v>392</v>
      </c>
      <c r="AQ27" s="3">
        <f t="shared" ca="1" si="16"/>
        <v>458</v>
      </c>
      <c r="AR27" s="3">
        <f t="shared" ca="1" si="16"/>
        <v>361</v>
      </c>
      <c r="AS27" s="3">
        <f t="shared" ca="1" si="16"/>
        <v>455</v>
      </c>
      <c r="AT27" s="3">
        <f t="shared" ca="1" si="16"/>
        <v>408</v>
      </c>
      <c r="AU27" s="3">
        <f t="shared" ca="1" si="16"/>
        <v>413</v>
      </c>
      <c r="AV27" s="3">
        <f t="shared" ca="1" si="16"/>
        <v>378</v>
      </c>
      <c r="AW27" s="3">
        <f t="shared" ca="1" si="16"/>
        <v>429</v>
      </c>
      <c r="AX27" s="3">
        <f t="shared" ca="1" si="16"/>
        <v>394</v>
      </c>
      <c r="AY27" s="3">
        <f t="shared" ca="1" si="16"/>
        <v>357</v>
      </c>
      <c r="AZ27" s="3">
        <f t="shared" ca="1" si="16"/>
        <v>473</v>
      </c>
      <c r="BA27" s="3">
        <f t="shared" ca="1" si="16"/>
        <v>355</v>
      </c>
      <c r="BB27" s="3">
        <f t="shared" ca="1" si="16"/>
        <v>413</v>
      </c>
      <c r="BC27" s="3">
        <f t="shared" ca="1" si="16"/>
        <v>406</v>
      </c>
      <c r="BD27" s="3">
        <f t="shared" ca="1" si="16"/>
        <v>436</v>
      </c>
      <c r="BE27" s="3">
        <f t="shared" ca="1" si="16"/>
        <v>449</v>
      </c>
      <c r="BF27" s="3">
        <f t="shared" ca="1" si="16"/>
        <v>390</v>
      </c>
      <c r="BG27" s="3">
        <f t="shared" ca="1" si="16"/>
        <v>403</v>
      </c>
      <c r="BH27" s="3">
        <f t="shared" ca="1" si="16"/>
        <v>422</v>
      </c>
      <c r="BI27" s="3">
        <f t="shared" ca="1" si="16"/>
        <v>451</v>
      </c>
      <c r="BJ27" s="3">
        <f t="shared" ca="1" si="16"/>
        <v>416</v>
      </c>
      <c r="BK27" s="3">
        <f t="shared" ca="1" si="16"/>
        <v>458</v>
      </c>
      <c r="BL27" s="3">
        <f t="shared" ca="1" si="16"/>
        <v>392</v>
      </c>
      <c r="BM27" s="3">
        <f t="shared" ca="1" si="16"/>
        <v>456</v>
      </c>
      <c r="BN27" s="3">
        <f t="shared" ca="1" si="16"/>
        <v>418</v>
      </c>
      <c r="BO27" s="3">
        <f t="shared" ca="1" si="16"/>
        <v>351</v>
      </c>
      <c r="BP27" s="3">
        <f t="shared" ref="BP27:CH27" ca="1" si="17">RANDBETWEEN(350, 490)</f>
        <v>371</v>
      </c>
      <c r="BQ27" s="3">
        <f t="shared" ca="1" si="17"/>
        <v>377</v>
      </c>
      <c r="BR27" s="3">
        <f t="shared" ca="1" si="17"/>
        <v>401</v>
      </c>
      <c r="BS27" s="3">
        <f t="shared" ca="1" si="17"/>
        <v>372</v>
      </c>
      <c r="BT27" s="3">
        <f t="shared" ca="1" si="17"/>
        <v>461</v>
      </c>
      <c r="BU27" s="3">
        <f t="shared" ca="1" si="17"/>
        <v>379</v>
      </c>
      <c r="BV27" s="3">
        <f t="shared" ca="1" si="17"/>
        <v>442</v>
      </c>
      <c r="BW27" s="3">
        <f t="shared" ca="1" si="17"/>
        <v>432</v>
      </c>
      <c r="BX27" s="3">
        <f t="shared" ca="1" si="17"/>
        <v>464</v>
      </c>
      <c r="BY27" s="3">
        <f t="shared" ca="1" si="17"/>
        <v>475</v>
      </c>
      <c r="BZ27" s="3">
        <f t="shared" ca="1" si="17"/>
        <v>475</v>
      </c>
      <c r="CA27" s="3">
        <f t="shared" ca="1" si="17"/>
        <v>357</v>
      </c>
      <c r="CB27" s="3">
        <f t="shared" ca="1" si="17"/>
        <v>361</v>
      </c>
      <c r="CC27" s="3">
        <f t="shared" ca="1" si="17"/>
        <v>369</v>
      </c>
      <c r="CD27" s="3">
        <f t="shared" ca="1" si="17"/>
        <v>490</v>
      </c>
      <c r="CE27" s="3">
        <f t="shared" ca="1" si="17"/>
        <v>386</v>
      </c>
      <c r="CF27" s="3">
        <f t="shared" ca="1" si="17"/>
        <v>369</v>
      </c>
      <c r="CG27" s="3">
        <f t="shared" ca="1" si="17"/>
        <v>449</v>
      </c>
      <c r="CH27" s="11">
        <f t="shared" ca="1" si="17"/>
        <v>361</v>
      </c>
    </row>
    <row r="28" spans="1:86" x14ac:dyDescent="0.2">
      <c r="A28" s="10" t="s">
        <v>921</v>
      </c>
      <c r="B28" s="3">
        <f>B26*$B$24</f>
        <v>0</v>
      </c>
      <c r="C28" s="3">
        <f>C26*$B$24</f>
        <v>199.5</v>
      </c>
      <c r="D28" s="3">
        <f t="shared" ref="D28:BO28" si="18">D26*$B$24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 x14ac:dyDescent="0.2">
      <c r="A29" s="10" t="s">
        <v>922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7" thickBot="1" x14ac:dyDescent="0.25">
      <c r="A30" s="177" t="s">
        <v>923</v>
      </c>
      <c r="B30" s="178">
        <f>B28-(B26*$B$25)-B27-B23</f>
        <v>-4357048</v>
      </c>
      <c r="C30" s="178">
        <f t="shared" ref="C30:BN30" ca="1" si="22">C28-(C26*$B$25)-C27-C23</f>
        <v>-209.9</v>
      </c>
      <c r="D30" s="178">
        <f t="shared" ca="1" si="22"/>
        <v>-276.59000000000003</v>
      </c>
      <c r="E30" s="178">
        <f t="shared" ca="1" si="22"/>
        <v>-280.28000000000003</v>
      </c>
      <c r="F30" s="178">
        <f t="shared" ca="1" si="22"/>
        <v>-220.97000000000003</v>
      </c>
      <c r="G30" s="178">
        <f t="shared" ca="1" si="22"/>
        <v>-236.65999999999997</v>
      </c>
      <c r="H30" s="178">
        <f t="shared" ca="1" si="22"/>
        <v>-256.35000000000002</v>
      </c>
      <c r="I30" s="178">
        <f t="shared" ca="1" si="22"/>
        <v>-140.04000000000002</v>
      </c>
      <c r="J30" s="178">
        <f t="shared" ca="1" si="22"/>
        <v>-205.73000000000002</v>
      </c>
      <c r="K30" s="178">
        <f t="shared" ca="1" si="22"/>
        <v>-196.42000000000002</v>
      </c>
      <c r="L30" s="178">
        <f t="shared" ca="1" si="22"/>
        <v>-179.11</v>
      </c>
      <c r="M30" s="178">
        <f t="shared" ca="1" si="22"/>
        <v>-133.80000000000001</v>
      </c>
      <c r="N30" s="178">
        <f t="shared" ca="1" si="22"/>
        <v>-24.180000000000007</v>
      </c>
      <c r="O30" s="178">
        <f t="shared" ca="1" si="22"/>
        <v>-20.560000000000059</v>
      </c>
      <c r="P30" s="178">
        <f t="shared" ca="1" si="22"/>
        <v>-75.940000000000055</v>
      </c>
      <c r="Q30" s="178">
        <f t="shared" ca="1" si="22"/>
        <v>73.680000000000064</v>
      </c>
      <c r="R30" s="178">
        <f t="shared" ca="1" si="22"/>
        <v>71.300000000000011</v>
      </c>
      <c r="S30" s="178">
        <f t="shared" ca="1" si="22"/>
        <v>26.230000000000018</v>
      </c>
      <c r="T30" s="178">
        <f t="shared" ca="1" si="22"/>
        <v>86.159999999999968</v>
      </c>
      <c r="U30" s="178">
        <f t="shared" ca="1" si="22"/>
        <v>130.08999999999992</v>
      </c>
      <c r="V30" s="178">
        <f t="shared" ca="1" si="22"/>
        <v>165.01999999999998</v>
      </c>
      <c r="W30" s="178">
        <f t="shared" ca="1" si="22"/>
        <v>215.26</v>
      </c>
      <c r="X30" s="178">
        <f t="shared" ca="1" si="22"/>
        <v>326.5</v>
      </c>
      <c r="Y30" s="178">
        <f t="shared" ca="1" si="22"/>
        <v>471.04999999999995</v>
      </c>
      <c r="Z30" s="178">
        <f t="shared" ca="1" si="22"/>
        <v>517.6</v>
      </c>
      <c r="AA30" s="178">
        <f t="shared" ca="1" si="22"/>
        <v>600.46</v>
      </c>
      <c r="AB30" s="178">
        <f t="shared" ca="1" si="22"/>
        <v>706.31999999999994</v>
      </c>
      <c r="AC30" s="178">
        <f t="shared" ca="1" si="22"/>
        <v>835.49</v>
      </c>
      <c r="AD30" s="178">
        <f t="shared" ca="1" si="22"/>
        <v>833.66000000000008</v>
      </c>
      <c r="AE30" s="178">
        <f t="shared" ca="1" si="22"/>
        <v>1046.1399999999999</v>
      </c>
      <c r="AF30" s="178">
        <f t="shared" ca="1" si="22"/>
        <v>1132.9299999999998</v>
      </c>
      <c r="AG30" s="178">
        <f t="shared" ca="1" si="22"/>
        <v>1370.03</v>
      </c>
      <c r="AH30" s="178">
        <f t="shared" ca="1" si="22"/>
        <v>1441.4399999999996</v>
      </c>
      <c r="AI30" s="178">
        <f t="shared" ca="1" si="22"/>
        <v>1701.1599999999999</v>
      </c>
      <c r="AJ30" s="178">
        <f t="shared" ca="1" si="22"/>
        <v>1873.1899999999996</v>
      </c>
      <c r="AK30" s="178">
        <f t="shared" ca="1" si="22"/>
        <v>2080.5299999999997</v>
      </c>
      <c r="AL30" s="178">
        <f t="shared" ca="1" si="22"/>
        <v>2342.4899999999998</v>
      </c>
      <c r="AM30" s="178">
        <f t="shared" ca="1" si="22"/>
        <v>2591.7599999999998</v>
      </c>
      <c r="AN30" s="178">
        <f t="shared" ca="1" si="22"/>
        <v>2813.65</v>
      </c>
      <c r="AO30" s="178">
        <f t="shared" ca="1" si="22"/>
        <v>3231.16</v>
      </c>
      <c r="AP30" s="178">
        <f t="shared" ca="1" si="22"/>
        <v>3573.29</v>
      </c>
      <c r="AQ30" s="178">
        <f t="shared" ca="1" si="22"/>
        <v>3890.04</v>
      </c>
      <c r="AR30" s="178">
        <f t="shared" ca="1" si="22"/>
        <v>4415.7199999999993</v>
      </c>
      <c r="AS30" s="178">
        <f t="shared" ca="1" si="22"/>
        <v>4796.33</v>
      </c>
      <c r="AT30" s="178">
        <f t="shared" ca="1" si="22"/>
        <v>5363.87</v>
      </c>
      <c r="AU30" s="178">
        <f t="shared" ca="1" si="22"/>
        <v>5925.3399999999992</v>
      </c>
      <c r="AV30" s="178">
        <f t="shared" ca="1" si="22"/>
        <v>6588.05</v>
      </c>
      <c r="AW30" s="178">
        <f t="shared" ca="1" si="22"/>
        <v>7226</v>
      </c>
      <c r="AX30" s="178">
        <f t="shared" ca="1" si="22"/>
        <v>8026.5</v>
      </c>
      <c r="AY30" s="178">
        <f t="shared" ca="1" si="22"/>
        <v>8905.5499999999993</v>
      </c>
      <c r="AZ30" s="178">
        <f t="shared" ca="1" si="22"/>
        <v>9708.15</v>
      </c>
      <c r="BA30" s="178">
        <f t="shared" ca="1" si="22"/>
        <v>9979.25</v>
      </c>
      <c r="BB30" s="178">
        <f t="shared" ca="1" si="22"/>
        <v>10104.969999999999</v>
      </c>
      <c r="BC30" s="178">
        <f t="shared" ca="1" si="22"/>
        <v>10280.380000000001</v>
      </c>
      <c r="BD30" s="178">
        <f t="shared" ca="1" si="22"/>
        <v>10495.34</v>
      </c>
      <c r="BE30" s="178">
        <f t="shared" ca="1" si="22"/>
        <v>10727.3</v>
      </c>
      <c r="BF30" s="178">
        <f t="shared" ca="1" si="22"/>
        <v>11077.189999999999</v>
      </c>
      <c r="BG30" s="178">
        <f t="shared" ca="1" si="22"/>
        <v>10849.85</v>
      </c>
      <c r="BH30" s="178">
        <f t="shared" ca="1" si="22"/>
        <v>10539.96</v>
      </c>
      <c r="BI30" s="178">
        <f t="shared" ca="1" si="22"/>
        <v>10296.619999999999</v>
      </c>
      <c r="BJ30" s="178">
        <f t="shared" ca="1" si="22"/>
        <v>10025.42</v>
      </c>
      <c r="BK30" s="178">
        <f t="shared" ca="1" si="22"/>
        <v>9677.2199999999993</v>
      </c>
      <c r="BL30" s="178">
        <f t="shared" ca="1" si="22"/>
        <v>9452.33</v>
      </c>
      <c r="BM30" s="178">
        <f t="shared" ca="1" si="22"/>
        <v>9219.92</v>
      </c>
      <c r="BN30" s="178">
        <f t="shared" ca="1" si="22"/>
        <v>9028.27</v>
      </c>
      <c r="BO30" s="178">
        <f t="shared" ref="BO30:CH30" ca="1" si="23">BO28-(BO26*$B$25)-BO27-BO23</f>
        <v>8835</v>
      </c>
      <c r="BP30" s="178">
        <f t="shared" ca="1" si="23"/>
        <v>8646.59</v>
      </c>
      <c r="BQ30" s="178">
        <f t="shared" ca="1" si="23"/>
        <v>8334.39</v>
      </c>
      <c r="BR30" s="178">
        <f t="shared" ca="1" si="23"/>
        <v>8126.67</v>
      </c>
      <c r="BS30" s="178">
        <f t="shared" ca="1" si="23"/>
        <v>7864.7800000000007</v>
      </c>
      <c r="BT30" s="178">
        <f t="shared" ca="1" si="23"/>
        <v>7515.5099999999984</v>
      </c>
      <c r="BU30" s="178">
        <f t="shared" ca="1" si="23"/>
        <v>7444.4099999999989</v>
      </c>
      <c r="BV30" s="178">
        <f t="shared" ca="1" si="23"/>
        <v>7121.1399999999994</v>
      </c>
      <c r="BW30" s="178">
        <f t="shared" ca="1" si="23"/>
        <v>6947.42</v>
      </c>
      <c r="BX30" s="178">
        <f t="shared" ca="1" si="23"/>
        <v>6701.08</v>
      </c>
      <c r="BY30" s="178">
        <f t="shared" ca="1" si="23"/>
        <v>6475.74</v>
      </c>
      <c r="BZ30" s="178">
        <f t="shared" ca="1" si="23"/>
        <v>6230.7800000000007</v>
      </c>
      <c r="CA30" s="178">
        <f t="shared" ca="1" si="23"/>
        <v>6180.37</v>
      </c>
      <c r="CB30" s="178">
        <f t="shared" ca="1" si="23"/>
        <v>5916.1</v>
      </c>
      <c r="CC30" s="178">
        <f t="shared" ca="1" si="23"/>
        <v>5693.76</v>
      </c>
      <c r="CD30" s="178">
        <f t="shared" ca="1" si="23"/>
        <v>5312.49</v>
      </c>
      <c r="CE30" s="178">
        <f t="shared" ca="1" si="23"/>
        <v>5140.91</v>
      </c>
      <c r="CF30" s="178">
        <f t="shared" ca="1" si="23"/>
        <v>5004.8099999999995</v>
      </c>
      <c r="CG30" s="178">
        <f t="shared" ca="1" si="23"/>
        <v>4725.78</v>
      </c>
      <c r="CH30" s="178">
        <f t="shared" ca="1" si="23"/>
        <v>4568.82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Y4" sqref="Y4"/>
    </sheetView>
  </sheetViews>
  <sheetFormatPr baseColWidth="10" defaultRowHeight="16" x14ac:dyDescent="0.2"/>
  <cols>
    <col min="1" max="1" width="22.1640625" style="137" customWidth="1"/>
    <col min="2" max="11" width="21.33203125" style="137" customWidth="1"/>
    <col min="12" max="16384" width="10.83203125" style="137"/>
  </cols>
  <sheetData>
    <row r="1" spans="1:11" x14ac:dyDescent="0.2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x14ac:dyDescent="0.2">
      <c r="A2" s="143"/>
      <c r="B2" s="144" t="str">
        <f>A3</f>
        <v>Style</v>
      </c>
      <c r="C2" s="144" t="str">
        <f>A4</f>
        <v>Lightweight</v>
      </c>
      <c r="D2" s="144" t="str">
        <f>A5</f>
        <v>Durable</v>
      </c>
      <c r="E2" s="144" t="str">
        <f>A6</f>
        <v>Simple locking system</v>
      </c>
      <c r="F2" s="144" t="str">
        <f>A7</f>
        <v>Short charging time</v>
      </c>
      <c r="G2" s="144" t="str">
        <f>A8</f>
        <v>Easy-to-replace parts</v>
      </c>
      <c r="H2" s="144" t="s">
        <v>827</v>
      </c>
      <c r="I2" s="144" t="s">
        <v>764</v>
      </c>
      <c r="J2" s="144" t="s">
        <v>169</v>
      </c>
      <c r="K2" s="144" t="s">
        <v>765</v>
      </c>
    </row>
    <row r="3" spans="1:11" x14ac:dyDescent="0.2">
      <c r="A3" s="144" t="s">
        <v>766</v>
      </c>
      <c r="B3" s="138"/>
      <c r="C3" s="139">
        <f t="array" ref="C3:G3">TRANSPOSE(B4:B8)*(-1)</f>
        <v>1</v>
      </c>
      <c r="D3" s="139">
        <v>0</v>
      </c>
      <c r="E3" s="139">
        <v>1</v>
      </c>
      <c r="F3" s="139">
        <v>-1</v>
      </c>
      <c r="G3" s="139">
        <v>0</v>
      </c>
      <c r="H3" s="145" t="s">
        <v>827</v>
      </c>
      <c r="I3" s="139">
        <f>SUM(B3:G3)</f>
        <v>1</v>
      </c>
      <c r="J3" s="139" cm="1">
        <f t="array" ref="J3">I3+(ROUNDUP(MAX(ABS($I$3:$I$8)), -1))</f>
        <v>11</v>
      </c>
      <c r="K3" s="140">
        <f>J3/$J$9</f>
        <v>0.18333333333333332</v>
      </c>
    </row>
    <row r="4" spans="1:11" x14ac:dyDescent="0.2">
      <c r="A4" s="144" t="s">
        <v>767</v>
      </c>
      <c r="B4" s="139">
        <v>-1</v>
      </c>
      <c r="C4" s="138"/>
      <c r="D4" s="139">
        <f t="array" ref="D4:G4">TRANSPOSE(C5:C8)*(-1)</f>
        <v>-1</v>
      </c>
      <c r="E4" s="139">
        <v>0</v>
      </c>
      <c r="F4" s="139">
        <v>-1</v>
      </c>
      <c r="G4" s="141">
        <v>0</v>
      </c>
      <c r="H4" s="146" t="s">
        <v>827</v>
      </c>
      <c r="I4" s="139">
        <f t="shared" ref="I4:I8" si="0">SUM(B4:G4)</f>
        <v>-3</v>
      </c>
      <c r="J4" s="139" cm="1">
        <f t="array" ref="J4">I4+(ROUNDUP(MAX(ABS($I$3:$I$8)), -1))</f>
        <v>7</v>
      </c>
      <c r="K4" s="140">
        <f t="shared" ref="K4:K8" si="1">J4/$J$9</f>
        <v>0.11666666666666667</v>
      </c>
    </row>
    <row r="5" spans="1:11" x14ac:dyDescent="0.2">
      <c r="A5" s="144" t="s">
        <v>768</v>
      </c>
      <c r="B5" s="139">
        <v>0</v>
      </c>
      <c r="C5" s="139">
        <v>1</v>
      </c>
      <c r="D5" s="138"/>
      <c r="E5" s="139">
        <f t="array" ref="E5:G5">TRANSPOSE(D6:D8)*(-1)</f>
        <v>1</v>
      </c>
      <c r="F5" s="139">
        <v>0</v>
      </c>
      <c r="G5" s="141">
        <v>-1</v>
      </c>
      <c r="H5" s="146" t="s">
        <v>827</v>
      </c>
      <c r="I5" s="139">
        <f t="shared" si="0"/>
        <v>1</v>
      </c>
      <c r="J5" s="139" cm="1">
        <f t="array" ref="J5">I5+(ROUNDUP(MAX(ABS($I$3:$I$8)), -1))</f>
        <v>11</v>
      </c>
      <c r="K5" s="140">
        <f t="shared" si="1"/>
        <v>0.18333333333333332</v>
      </c>
    </row>
    <row r="6" spans="1:11" x14ac:dyDescent="0.2">
      <c r="A6" s="144" t="s">
        <v>769</v>
      </c>
      <c r="B6" s="139">
        <v>-1</v>
      </c>
      <c r="C6" s="139">
        <v>0</v>
      </c>
      <c r="D6" s="139">
        <v>-1</v>
      </c>
      <c r="E6" s="138"/>
      <c r="F6" s="139">
        <f t="array" ref="F6:G6">TRANSPOSE(E7:E8)*(-1)</f>
        <v>-1</v>
      </c>
      <c r="G6" s="141">
        <v>-1</v>
      </c>
      <c r="H6" s="146" t="s">
        <v>827</v>
      </c>
      <c r="I6" s="139">
        <f t="shared" si="0"/>
        <v>-4</v>
      </c>
      <c r="J6" s="139" cm="1">
        <f t="array" ref="J6">I6+(ROUNDUP(MAX(ABS($I$3:$I$8)), -1))</f>
        <v>6</v>
      </c>
      <c r="K6" s="140">
        <f t="shared" si="1"/>
        <v>0.1</v>
      </c>
    </row>
    <row r="7" spans="1:11" x14ac:dyDescent="0.2">
      <c r="A7" s="144" t="s">
        <v>770</v>
      </c>
      <c r="B7" s="139">
        <v>1</v>
      </c>
      <c r="C7" s="139">
        <v>1</v>
      </c>
      <c r="D7" s="139">
        <v>0</v>
      </c>
      <c r="E7" s="139">
        <v>1</v>
      </c>
      <c r="F7" s="138"/>
      <c r="G7" s="141">
        <f t="array" ref="G7">TRANSPOSE(F8)*(-1)</f>
        <v>1</v>
      </c>
      <c r="H7" s="146" t="s">
        <v>827</v>
      </c>
      <c r="I7" s="139">
        <f t="shared" si="0"/>
        <v>4</v>
      </c>
      <c r="J7" s="139" cm="1">
        <f t="array" ref="J7">I7+(ROUNDUP(MAX(ABS($I$3:$I$8)), -1))</f>
        <v>14</v>
      </c>
      <c r="K7" s="140">
        <f t="shared" si="1"/>
        <v>0.23333333333333334</v>
      </c>
    </row>
    <row r="8" spans="1:11" x14ac:dyDescent="0.2">
      <c r="A8" s="144" t="s">
        <v>771</v>
      </c>
      <c r="B8" s="139">
        <v>0</v>
      </c>
      <c r="C8" s="139">
        <v>0</v>
      </c>
      <c r="D8" s="139">
        <v>1</v>
      </c>
      <c r="E8" s="139">
        <v>1</v>
      </c>
      <c r="F8" s="139">
        <v>-1</v>
      </c>
      <c r="G8" s="142"/>
      <c r="H8" s="146" t="s">
        <v>827</v>
      </c>
      <c r="I8" s="139">
        <f t="shared" si="0"/>
        <v>1</v>
      </c>
      <c r="J8" s="139" cm="1">
        <f t="array" ref="J8">I8+(ROUNDUP(MAX(ABS($I$3:$I$8)), -1))</f>
        <v>11</v>
      </c>
      <c r="K8" s="140">
        <f t="shared" si="1"/>
        <v>0.18333333333333332</v>
      </c>
    </row>
    <row r="9" spans="1:11" x14ac:dyDescent="0.2">
      <c r="A9" s="1" t="s">
        <v>815</v>
      </c>
      <c r="B9" s="145" t="s">
        <v>827</v>
      </c>
      <c r="C9" s="145" t="s">
        <v>827</v>
      </c>
      <c r="D9" s="145" t="s">
        <v>827</v>
      </c>
      <c r="E9" s="145" t="s">
        <v>827</v>
      </c>
      <c r="F9" s="145" t="s">
        <v>827</v>
      </c>
      <c r="G9" s="145" t="s">
        <v>827</v>
      </c>
      <c r="H9" s="145" t="s">
        <v>827</v>
      </c>
      <c r="J9" s="139">
        <f>SUM(J3:J8)</f>
        <v>60</v>
      </c>
      <c r="K9" s="140"/>
    </row>
    <row r="10" spans="1:11" x14ac:dyDescent="0.2">
      <c r="A10" s="1" t="s">
        <v>816</v>
      </c>
      <c r="B10" s="145" t="s">
        <v>827</v>
      </c>
      <c r="C10" s="145" t="s">
        <v>827</v>
      </c>
      <c r="D10" s="145" t="s">
        <v>827</v>
      </c>
      <c r="E10" s="145" t="s">
        <v>827</v>
      </c>
      <c r="F10" s="145" t="s">
        <v>827</v>
      </c>
      <c r="G10" s="145" t="s">
        <v>827</v>
      </c>
      <c r="H10" s="145" t="s">
        <v>827</v>
      </c>
    </row>
    <row r="11" spans="1:11" x14ac:dyDescent="0.2">
      <c r="A11" s="1" t="s">
        <v>817</v>
      </c>
      <c r="B11" s="145" t="s">
        <v>827</v>
      </c>
      <c r="C11" s="145" t="s">
        <v>827</v>
      </c>
      <c r="D11" s="145" t="s">
        <v>827</v>
      </c>
      <c r="E11" s="145" t="s">
        <v>827</v>
      </c>
      <c r="F11" s="145" t="s">
        <v>827</v>
      </c>
      <c r="G11" s="145" t="s">
        <v>827</v>
      </c>
      <c r="H11" s="145" t="s">
        <v>827</v>
      </c>
    </row>
    <row r="12" spans="1:11" x14ac:dyDescent="0.2">
      <c r="A12" s="1" t="s">
        <v>818</v>
      </c>
      <c r="B12" s="145" t="s">
        <v>827</v>
      </c>
      <c r="C12" s="145" t="s">
        <v>827</v>
      </c>
      <c r="D12" s="145" t="s">
        <v>827</v>
      </c>
      <c r="E12" s="145" t="s">
        <v>827</v>
      </c>
      <c r="F12" s="145" t="s">
        <v>827</v>
      </c>
      <c r="G12" s="145" t="s">
        <v>827</v>
      </c>
      <c r="H12" s="145" t="s">
        <v>827</v>
      </c>
    </row>
    <row r="13" spans="1:11" x14ac:dyDescent="0.2">
      <c r="A13" s="1" t="s">
        <v>819</v>
      </c>
      <c r="B13" s="145" t="s">
        <v>827</v>
      </c>
      <c r="C13" s="145" t="s">
        <v>827</v>
      </c>
      <c r="D13" s="145" t="s">
        <v>827</v>
      </c>
      <c r="E13" s="145" t="s">
        <v>827</v>
      </c>
      <c r="F13" s="145" t="s">
        <v>827</v>
      </c>
      <c r="G13" s="145" t="s">
        <v>827</v>
      </c>
      <c r="H13" s="145" t="s">
        <v>827</v>
      </c>
    </row>
    <row r="14" spans="1:11" x14ac:dyDescent="0.2">
      <c r="A14" s="1" t="s">
        <v>820</v>
      </c>
      <c r="B14" s="145" t="s">
        <v>827</v>
      </c>
      <c r="C14" s="145" t="s">
        <v>827</v>
      </c>
      <c r="D14" s="145" t="s">
        <v>827</v>
      </c>
      <c r="E14" s="145" t="s">
        <v>827</v>
      </c>
      <c r="F14" s="145" t="s">
        <v>827</v>
      </c>
      <c r="G14" s="145" t="s">
        <v>827</v>
      </c>
      <c r="H14" s="145" t="s">
        <v>827</v>
      </c>
    </row>
    <row r="15" spans="1:11" x14ac:dyDescent="0.2">
      <c r="A15" s="1" t="s">
        <v>821</v>
      </c>
      <c r="B15" s="145" t="s">
        <v>827</v>
      </c>
      <c r="C15" s="145" t="s">
        <v>827</v>
      </c>
      <c r="D15" s="145" t="s">
        <v>827</v>
      </c>
      <c r="E15" s="145" t="s">
        <v>827</v>
      </c>
      <c r="F15" s="145" t="s">
        <v>827</v>
      </c>
      <c r="G15" s="145" t="s">
        <v>827</v>
      </c>
      <c r="H15" s="145" t="s">
        <v>827</v>
      </c>
    </row>
    <row r="16" spans="1:11" x14ac:dyDescent="0.2">
      <c r="A16" s="1" t="s">
        <v>822</v>
      </c>
      <c r="B16" s="145" t="s">
        <v>827</v>
      </c>
      <c r="C16" s="145" t="s">
        <v>827</v>
      </c>
      <c r="D16" s="145" t="s">
        <v>827</v>
      </c>
      <c r="E16" s="145" t="s">
        <v>827</v>
      </c>
      <c r="F16" s="145" t="s">
        <v>827</v>
      </c>
      <c r="G16" s="145" t="s">
        <v>827</v>
      </c>
      <c r="H16" s="145" t="s">
        <v>827</v>
      </c>
    </row>
    <row r="17" spans="1:8" x14ac:dyDescent="0.2">
      <c r="A17" s="1" t="s">
        <v>823</v>
      </c>
      <c r="B17" s="145" t="s">
        <v>827</v>
      </c>
      <c r="C17" s="145" t="s">
        <v>827</v>
      </c>
      <c r="D17" s="145" t="s">
        <v>827</v>
      </c>
      <c r="E17" s="145" t="s">
        <v>827</v>
      </c>
      <c r="F17" s="145" t="s">
        <v>827</v>
      </c>
      <c r="G17" s="145" t="s">
        <v>827</v>
      </c>
      <c r="H17" s="145" t="s">
        <v>827</v>
      </c>
    </row>
    <row r="18" spans="1:8" x14ac:dyDescent="0.2">
      <c r="A18" s="1" t="s">
        <v>824</v>
      </c>
      <c r="B18" s="145" t="s">
        <v>827</v>
      </c>
      <c r="C18" s="145" t="s">
        <v>827</v>
      </c>
      <c r="D18" s="145" t="s">
        <v>827</v>
      </c>
      <c r="E18" s="145" t="s">
        <v>827</v>
      </c>
      <c r="F18" s="145" t="s">
        <v>827</v>
      </c>
      <c r="G18" s="145" t="s">
        <v>827</v>
      </c>
      <c r="H18" s="145" t="s">
        <v>827</v>
      </c>
    </row>
    <row r="22" spans="1:8" x14ac:dyDescent="0.2">
      <c r="C22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="75" zoomScaleNormal="85" workbookViewId="0">
      <selection activeCell="H55" sqref="H55:K55"/>
    </sheetView>
  </sheetViews>
  <sheetFormatPr baseColWidth="10" defaultColWidth="9.1640625" defaultRowHeight="16" x14ac:dyDescent="0.25"/>
  <cols>
    <col min="1" max="1" width="9.1640625" style="110"/>
    <col min="2" max="2" width="5" style="110" customWidth="1"/>
    <col min="3" max="3" width="14.33203125" style="110" customWidth="1"/>
    <col min="4" max="5" width="5" style="110" customWidth="1"/>
    <col min="6" max="7" width="17.83203125" style="110" customWidth="1"/>
    <col min="8" max="71" width="1.6640625" style="110" customWidth="1"/>
    <col min="72" max="74" width="5" style="110" customWidth="1"/>
    <col min="75" max="75" width="5" style="111" customWidth="1"/>
    <col min="76" max="76" width="5" style="110" customWidth="1"/>
    <col min="77" max="82" width="9" style="110" customWidth="1"/>
    <col min="83" max="83" width="5" style="110" customWidth="1"/>
    <col min="84" max="16384" width="9.1640625" style="110"/>
  </cols>
  <sheetData>
    <row r="1" spans="2:71" ht="10" customHeight="1" x14ac:dyDescent="0.25"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12"/>
      <c r="AN1" s="113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</row>
    <row r="2" spans="2:71" ht="10" customHeight="1" x14ac:dyDescent="0.25">
      <c r="H2" s="114"/>
      <c r="I2" s="114"/>
      <c r="J2" s="115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16"/>
      <c r="AM2" s="235"/>
      <c r="AN2" s="235"/>
      <c r="AO2" s="117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15"/>
      <c r="BR2" s="114"/>
      <c r="BS2" s="114"/>
    </row>
    <row r="3" spans="2:71" ht="10" customHeight="1" x14ac:dyDescent="0.25">
      <c r="H3" s="114"/>
      <c r="I3" s="114"/>
      <c r="J3" s="115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16"/>
      <c r="AL3" s="117"/>
      <c r="AM3" s="235"/>
      <c r="AN3" s="235"/>
      <c r="AO3" s="116"/>
      <c r="AP3" s="117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  <c r="BP3" s="181"/>
      <c r="BQ3" s="115"/>
      <c r="BR3" s="114"/>
      <c r="BS3" s="114"/>
    </row>
    <row r="4" spans="2:71" ht="10" customHeight="1" x14ac:dyDescent="0.25">
      <c r="H4" s="114"/>
      <c r="I4" s="114"/>
      <c r="J4" s="115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16"/>
      <c r="AK4" s="235"/>
      <c r="AL4" s="235"/>
      <c r="AM4" s="117"/>
      <c r="AN4" s="116"/>
      <c r="AO4" s="235"/>
      <c r="AP4" s="235"/>
      <c r="AQ4" s="117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15"/>
      <c r="BR4" s="114"/>
      <c r="BS4" s="114"/>
    </row>
    <row r="5" spans="2:71" ht="10" customHeight="1" x14ac:dyDescent="0.25">
      <c r="B5" s="236" t="s">
        <v>772</v>
      </c>
      <c r="C5" s="237"/>
      <c r="D5" s="238"/>
      <c r="H5" s="114"/>
      <c r="I5" s="114"/>
      <c r="J5" s="115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16"/>
      <c r="AJ5" s="117"/>
      <c r="AK5" s="235"/>
      <c r="AL5" s="235"/>
      <c r="AM5" s="116"/>
      <c r="AN5" s="117"/>
      <c r="AO5" s="235"/>
      <c r="AP5" s="235"/>
      <c r="AQ5" s="116"/>
      <c r="AR5" s="117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15"/>
      <c r="BR5" s="114"/>
      <c r="BS5" s="114"/>
    </row>
    <row r="6" spans="2:71" ht="10" customHeight="1" x14ac:dyDescent="0.25">
      <c r="B6" s="239"/>
      <c r="C6" s="240"/>
      <c r="D6" s="241"/>
      <c r="H6" s="114"/>
      <c r="I6" s="114"/>
      <c r="J6" s="115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16"/>
      <c r="AI6" s="235"/>
      <c r="AJ6" s="235"/>
      <c r="AK6" s="117"/>
      <c r="AL6" s="116"/>
      <c r="AM6" s="235"/>
      <c r="AN6" s="235"/>
      <c r="AO6" s="117"/>
      <c r="AP6" s="116"/>
      <c r="AQ6" s="235"/>
      <c r="AR6" s="235"/>
      <c r="AS6" s="117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15"/>
      <c r="BR6" s="114"/>
      <c r="BS6" s="114"/>
    </row>
    <row r="7" spans="2:71" ht="10" customHeight="1" x14ac:dyDescent="0.25">
      <c r="B7" s="242" t="s">
        <v>773</v>
      </c>
      <c r="C7" s="243"/>
      <c r="D7" s="244" t="s">
        <v>774</v>
      </c>
      <c r="H7" s="114"/>
      <c r="I7" s="114"/>
      <c r="J7" s="115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16"/>
      <c r="AH7" s="117"/>
      <c r="AI7" s="235"/>
      <c r="AJ7" s="235"/>
      <c r="AK7" s="116"/>
      <c r="AL7" s="117"/>
      <c r="AM7" s="235"/>
      <c r="AN7" s="235"/>
      <c r="AO7" s="116"/>
      <c r="AP7" s="117"/>
      <c r="AQ7" s="235"/>
      <c r="AR7" s="235"/>
      <c r="AS7" s="116"/>
      <c r="AT7" s="117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15"/>
      <c r="BR7" s="114"/>
      <c r="BS7" s="114"/>
    </row>
    <row r="8" spans="2:71" ht="10" customHeight="1" x14ac:dyDescent="0.25">
      <c r="B8" s="242"/>
      <c r="C8" s="243"/>
      <c r="D8" s="244"/>
      <c r="H8" s="114"/>
      <c r="I8" s="114"/>
      <c r="J8" s="115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16"/>
      <c r="AG8" s="235"/>
      <c r="AH8" s="235"/>
      <c r="AI8" s="117"/>
      <c r="AJ8" s="116"/>
      <c r="AK8" s="235"/>
      <c r="AL8" s="235"/>
      <c r="AM8" s="117"/>
      <c r="AN8" s="116"/>
      <c r="AO8" s="235"/>
      <c r="AP8" s="235"/>
      <c r="AQ8" s="117"/>
      <c r="AR8" s="116"/>
      <c r="AS8" s="235"/>
      <c r="AT8" s="235"/>
      <c r="AU8" s="117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15"/>
      <c r="BR8" s="114"/>
      <c r="BS8" s="114"/>
    </row>
    <row r="9" spans="2:71" ht="10" customHeight="1" x14ac:dyDescent="0.25">
      <c r="B9" s="242" t="s">
        <v>775</v>
      </c>
      <c r="C9" s="243"/>
      <c r="D9" s="244" t="s">
        <v>776</v>
      </c>
      <c r="H9" s="114"/>
      <c r="I9" s="114"/>
      <c r="J9" s="115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16"/>
      <c r="AF9" s="117"/>
      <c r="AG9" s="235"/>
      <c r="AH9" s="235"/>
      <c r="AI9" s="116"/>
      <c r="AJ9" s="117"/>
      <c r="AK9" s="235"/>
      <c r="AL9" s="235"/>
      <c r="AM9" s="116"/>
      <c r="AN9" s="117"/>
      <c r="AO9" s="235"/>
      <c r="AP9" s="235"/>
      <c r="AQ9" s="116"/>
      <c r="AR9" s="117"/>
      <c r="AS9" s="235"/>
      <c r="AT9" s="235"/>
      <c r="AU9" s="116"/>
      <c r="AV9" s="117"/>
      <c r="AW9" s="181"/>
      <c r="AX9" s="181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K9" s="181"/>
      <c r="BL9" s="181"/>
      <c r="BM9" s="181"/>
      <c r="BN9" s="181"/>
      <c r="BO9" s="181"/>
      <c r="BP9" s="181"/>
      <c r="BQ9" s="115"/>
      <c r="BR9" s="114"/>
      <c r="BS9" s="114"/>
    </row>
    <row r="10" spans="2:71" ht="10" customHeight="1" x14ac:dyDescent="0.25">
      <c r="B10" s="242"/>
      <c r="C10" s="243"/>
      <c r="D10" s="244"/>
      <c r="H10" s="114"/>
      <c r="I10" s="114"/>
      <c r="J10" s="115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16"/>
      <c r="AE10" s="235"/>
      <c r="AF10" s="235"/>
      <c r="AG10" s="117"/>
      <c r="AH10" s="116"/>
      <c r="AI10" s="235"/>
      <c r="AJ10" s="235"/>
      <c r="AK10" s="117"/>
      <c r="AL10" s="116"/>
      <c r="AM10" s="235"/>
      <c r="AN10" s="235"/>
      <c r="AO10" s="117"/>
      <c r="AP10" s="116"/>
      <c r="AQ10" s="235"/>
      <c r="AR10" s="235"/>
      <c r="AS10" s="117"/>
      <c r="AT10" s="116"/>
      <c r="AU10" s="235"/>
      <c r="AV10" s="235"/>
      <c r="AW10" s="117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15"/>
      <c r="BR10" s="114"/>
      <c r="BS10" s="114"/>
    </row>
    <row r="11" spans="2:71" ht="10" customHeight="1" x14ac:dyDescent="0.25">
      <c r="B11" s="242" t="s">
        <v>777</v>
      </c>
      <c r="C11" s="243"/>
      <c r="D11" s="244"/>
      <c r="H11" s="114"/>
      <c r="I11" s="114"/>
      <c r="J11" s="115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16"/>
      <c r="AD11" s="117"/>
      <c r="AE11" s="235"/>
      <c r="AF11" s="235"/>
      <c r="AG11" s="116"/>
      <c r="AH11" s="117"/>
      <c r="AI11" s="235"/>
      <c r="AJ11" s="235"/>
      <c r="AK11" s="116"/>
      <c r="AL11" s="117"/>
      <c r="AM11" s="235"/>
      <c r="AN11" s="235"/>
      <c r="AO11" s="116"/>
      <c r="AP11" s="117"/>
      <c r="AQ11" s="235"/>
      <c r="AR11" s="235"/>
      <c r="AS11" s="116"/>
      <c r="AT11" s="117"/>
      <c r="AU11" s="235"/>
      <c r="AV11" s="235"/>
      <c r="AW11" s="116"/>
      <c r="AX11" s="117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15"/>
      <c r="BR11" s="114"/>
      <c r="BS11" s="114"/>
    </row>
    <row r="12" spans="2:71" ht="10" customHeight="1" x14ac:dyDescent="0.25">
      <c r="B12" s="245"/>
      <c r="C12" s="246"/>
      <c r="D12" s="247"/>
      <c r="H12" s="114"/>
      <c r="I12" s="114"/>
      <c r="J12" s="115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16"/>
      <c r="AC12" s="235"/>
      <c r="AD12" s="235"/>
      <c r="AE12" s="117"/>
      <c r="AF12" s="116"/>
      <c r="AG12" s="235"/>
      <c r="AH12" s="235"/>
      <c r="AI12" s="117"/>
      <c r="AJ12" s="116"/>
      <c r="AK12" s="235"/>
      <c r="AL12" s="235"/>
      <c r="AM12" s="117"/>
      <c r="AN12" s="116"/>
      <c r="AO12" s="235"/>
      <c r="AP12" s="235"/>
      <c r="AQ12" s="117"/>
      <c r="AR12" s="116"/>
      <c r="AS12" s="235"/>
      <c r="AT12" s="235"/>
      <c r="AU12" s="117"/>
      <c r="AV12" s="116"/>
      <c r="AW12" s="235"/>
      <c r="AX12" s="235"/>
      <c r="AY12" s="117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15"/>
      <c r="BR12" s="114"/>
      <c r="BS12" s="114"/>
    </row>
    <row r="13" spans="2:71" ht="10" customHeight="1" x14ac:dyDescent="0.25">
      <c r="H13" s="114"/>
      <c r="I13" s="114"/>
      <c r="J13" s="115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16"/>
      <c r="AB13" s="117"/>
      <c r="AC13" s="235"/>
      <c r="AD13" s="235"/>
      <c r="AE13" s="116"/>
      <c r="AF13" s="117"/>
      <c r="AG13" s="235"/>
      <c r="AH13" s="235"/>
      <c r="AI13" s="116"/>
      <c r="AJ13" s="117"/>
      <c r="AK13" s="235"/>
      <c r="AL13" s="235"/>
      <c r="AM13" s="116"/>
      <c r="AN13" s="117"/>
      <c r="AO13" s="235"/>
      <c r="AP13" s="235"/>
      <c r="AQ13" s="116"/>
      <c r="AR13" s="117"/>
      <c r="AS13" s="235"/>
      <c r="AT13" s="235"/>
      <c r="AU13" s="116"/>
      <c r="AV13" s="117"/>
      <c r="AW13" s="235"/>
      <c r="AX13" s="235"/>
      <c r="AY13" s="116"/>
      <c r="AZ13" s="117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15"/>
      <c r="BR13" s="114"/>
      <c r="BS13" s="114"/>
    </row>
    <row r="14" spans="2:71" ht="10" customHeight="1" x14ac:dyDescent="0.25">
      <c r="B14" s="236" t="s">
        <v>778</v>
      </c>
      <c r="C14" s="237"/>
      <c r="D14" s="238"/>
      <c r="H14" s="114"/>
      <c r="I14" s="114"/>
      <c r="J14" s="115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16"/>
      <c r="AA14" s="235"/>
      <c r="AB14" s="235"/>
      <c r="AC14" s="117"/>
      <c r="AD14" s="116"/>
      <c r="AE14" s="235"/>
      <c r="AF14" s="235"/>
      <c r="AG14" s="117"/>
      <c r="AH14" s="116"/>
      <c r="AI14" s="235"/>
      <c r="AJ14" s="235"/>
      <c r="AK14" s="117"/>
      <c r="AL14" s="116"/>
      <c r="AM14" s="235"/>
      <c r="AN14" s="235"/>
      <c r="AO14" s="117"/>
      <c r="AP14" s="116"/>
      <c r="AQ14" s="235"/>
      <c r="AR14" s="235"/>
      <c r="AS14" s="117"/>
      <c r="AT14" s="116"/>
      <c r="AU14" s="235"/>
      <c r="AV14" s="235"/>
      <c r="AW14" s="117"/>
      <c r="AX14" s="116"/>
      <c r="AY14" s="235"/>
      <c r="AZ14" s="235"/>
      <c r="BA14" s="117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15"/>
      <c r="BR14" s="114"/>
      <c r="BS14" s="114"/>
    </row>
    <row r="15" spans="2:71" ht="10" customHeight="1" x14ac:dyDescent="0.25">
      <c r="B15" s="239"/>
      <c r="C15" s="240"/>
      <c r="D15" s="241"/>
      <c r="H15" s="114"/>
      <c r="I15" s="114"/>
      <c r="J15" s="115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16"/>
      <c r="Z15" s="117"/>
      <c r="AA15" s="235"/>
      <c r="AB15" s="235"/>
      <c r="AC15" s="116"/>
      <c r="AD15" s="117"/>
      <c r="AE15" s="235"/>
      <c r="AF15" s="235"/>
      <c r="AG15" s="116"/>
      <c r="AH15" s="117"/>
      <c r="AI15" s="235"/>
      <c r="AJ15" s="235"/>
      <c r="AK15" s="116"/>
      <c r="AL15" s="117"/>
      <c r="AM15" s="235"/>
      <c r="AN15" s="235"/>
      <c r="AO15" s="116"/>
      <c r="AP15" s="117"/>
      <c r="AQ15" s="235"/>
      <c r="AR15" s="235"/>
      <c r="AS15" s="116"/>
      <c r="AT15" s="117"/>
      <c r="AU15" s="235"/>
      <c r="AV15" s="235"/>
      <c r="AW15" s="116"/>
      <c r="AX15" s="117"/>
      <c r="AY15" s="235"/>
      <c r="AZ15" s="235"/>
      <c r="BA15" s="116"/>
      <c r="BB15" s="117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15"/>
      <c r="BR15" s="114"/>
      <c r="BS15" s="114"/>
    </row>
    <row r="16" spans="2:71" ht="10" customHeight="1" x14ac:dyDescent="0.25">
      <c r="B16" s="242" t="s">
        <v>779</v>
      </c>
      <c r="C16" s="243"/>
      <c r="D16" s="248" t="s">
        <v>780</v>
      </c>
      <c r="H16" s="114"/>
      <c r="I16" s="114"/>
      <c r="J16" s="115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16"/>
      <c r="Y16" s="235"/>
      <c r="Z16" s="235"/>
      <c r="AA16" s="117"/>
      <c r="AB16" s="116"/>
      <c r="AC16" s="235"/>
      <c r="AD16" s="235"/>
      <c r="AE16" s="117"/>
      <c r="AF16" s="116"/>
      <c r="AG16" s="235"/>
      <c r="AH16" s="235"/>
      <c r="AI16" s="117"/>
      <c r="AJ16" s="116"/>
      <c r="AK16" s="235"/>
      <c r="AL16" s="235"/>
      <c r="AM16" s="117"/>
      <c r="AN16" s="116"/>
      <c r="AO16" s="235"/>
      <c r="AP16" s="235"/>
      <c r="AQ16" s="117"/>
      <c r="AR16" s="116"/>
      <c r="AS16" s="235"/>
      <c r="AT16" s="235"/>
      <c r="AU16" s="117"/>
      <c r="AV16" s="116"/>
      <c r="AW16" s="235"/>
      <c r="AX16" s="235"/>
      <c r="AY16" s="117"/>
      <c r="AZ16" s="116"/>
      <c r="BA16" s="235"/>
      <c r="BB16" s="235"/>
      <c r="BC16" s="117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15"/>
      <c r="BR16" s="114"/>
      <c r="BS16" s="114"/>
    </row>
    <row r="17" spans="2:80" ht="10" customHeight="1" x14ac:dyDescent="0.25">
      <c r="B17" s="242"/>
      <c r="C17" s="243"/>
      <c r="D17" s="248"/>
      <c r="H17" s="114"/>
      <c r="I17" s="114"/>
      <c r="J17" s="115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16"/>
      <c r="X17" s="117"/>
      <c r="Y17" s="235"/>
      <c r="Z17" s="235"/>
      <c r="AA17" s="116"/>
      <c r="AB17" s="117"/>
      <c r="AC17" s="235"/>
      <c r="AD17" s="235"/>
      <c r="AE17" s="116"/>
      <c r="AF17" s="117"/>
      <c r="AG17" s="235"/>
      <c r="AH17" s="235"/>
      <c r="AI17" s="116"/>
      <c r="AJ17" s="117"/>
      <c r="AK17" s="235"/>
      <c r="AL17" s="235"/>
      <c r="AM17" s="116"/>
      <c r="AN17" s="117"/>
      <c r="AO17" s="235"/>
      <c r="AP17" s="235"/>
      <c r="AQ17" s="116"/>
      <c r="AR17" s="117"/>
      <c r="AS17" s="235"/>
      <c r="AT17" s="235"/>
      <c r="AU17" s="116"/>
      <c r="AV17" s="117"/>
      <c r="AW17" s="235"/>
      <c r="AX17" s="235"/>
      <c r="AY17" s="116"/>
      <c r="AZ17" s="117"/>
      <c r="BA17" s="235"/>
      <c r="BB17" s="235"/>
      <c r="BC17" s="116"/>
      <c r="BD17" s="117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15"/>
      <c r="BR17" s="114"/>
      <c r="BS17" s="114"/>
    </row>
    <row r="18" spans="2:80" ht="10" customHeight="1" x14ac:dyDescent="0.25">
      <c r="B18" s="242" t="s">
        <v>781</v>
      </c>
      <c r="C18" s="243"/>
      <c r="D18" s="248" t="s">
        <v>782</v>
      </c>
      <c r="H18" s="114"/>
      <c r="I18" s="114"/>
      <c r="J18" s="115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16"/>
      <c r="W18" s="235"/>
      <c r="X18" s="235"/>
      <c r="Y18" s="117"/>
      <c r="Z18" s="116"/>
      <c r="AA18" s="235"/>
      <c r="AB18" s="235"/>
      <c r="AC18" s="117"/>
      <c r="AD18" s="116"/>
      <c r="AE18" s="235"/>
      <c r="AF18" s="235"/>
      <c r="AG18" s="117"/>
      <c r="AH18" s="116"/>
      <c r="AI18" s="235"/>
      <c r="AJ18" s="235"/>
      <c r="AK18" s="117"/>
      <c r="AL18" s="116"/>
      <c r="AM18" s="235"/>
      <c r="AN18" s="235"/>
      <c r="AO18" s="117"/>
      <c r="AP18" s="116"/>
      <c r="AQ18" s="235"/>
      <c r="AR18" s="235"/>
      <c r="AS18" s="117"/>
      <c r="AT18" s="116"/>
      <c r="AU18" s="235"/>
      <c r="AV18" s="235"/>
      <c r="AW18" s="117"/>
      <c r="AX18" s="116"/>
      <c r="AY18" s="235"/>
      <c r="AZ18" s="235"/>
      <c r="BA18" s="117"/>
      <c r="BB18" s="116"/>
      <c r="BC18" s="235"/>
      <c r="BD18" s="235"/>
      <c r="BE18" s="117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15"/>
      <c r="BR18" s="114"/>
      <c r="BS18" s="114"/>
    </row>
    <row r="19" spans="2:80" ht="10" customHeight="1" x14ac:dyDescent="0.25">
      <c r="B19" s="242"/>
      <c r="C19" s="243"/>
      <c r="D19" s="248"/>
      <c r="H19" s="114"/>
      <c r="I19" s="114"/>
      <c r="J19" s="115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16"/>
      <c r="V19" s="117"/>
      <c r="W19" s="235"/>
      <c r="X19" s="235"/>
      <c r="Y19" s="116"/>
      <c r="Z19" s="117"/>
      <c r="AA19" s="235"/>
      <c r="AB19" s="235"/>
      <c r="AC19" s="116"/>
      <c r="AD19" s="117"/>
      <c r="AE19" s="235"/>
      <c r="AF19" s="235"/>
      <c r="AG19" s="116"/>
      <c r="AH19" s="117"/>
      <c r="AI19" s="235"/>
      <c r="AJ19" s="235"/>
      <c r="AK19" s="116"/>
      <c r="AL19" s="117"/>
      <c r="AM19" s="235"/>
      <c r="AN19" s="235"/>
      <c r="AO19" s="116"/>
      <c r="AP19" s="117"/>
      <c r="AQ19" s="235"/>
      <c r="AR19" s="235"/>
      <c r="AS19" s="116"/>
      <c r="AT19" s="117"/>
      <c r="AU19" s="235"/>
      <c r="AV19" s="235"/>
      <c r="AW19" s="116"/>
      <c r="AX19" s="117"/>
      <c r="AY19" s="235"/>
      <c r="AZ19" s="235"/>
      <c r="BA19" s="116"/>
      <c r="BB19" s="117"/>
      <c r="BC19" s="235"/>
      <c r="BD19" s="235"/>
      <c r="BE19" s="116"/>
      <c r="BF19" s="117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15"/>
      <c r="BR19" s="114"/>
      <c r="BS19" s="114"/>
    </row>
    <row r="20" spans="2:80" ht="10" customHeight="1" x14ac:dyDescent="0.25">
      <c r="B20" s="242" t="s">
        <v>783</v>
      </c>
      <c r="C20" s="243"/>
      <c r="D20" s="248" t="s">
        <v>784</v>
      </c>
      <c r="H20" s="114"/>
      <c r="I20" s="114"/>
      <c r="J20" s="115"/>
      <c r="K20" s="181"/>
      <c r="L20" s="181"/>
      <c r="M20" s="181"/>
      <c r="N20" s="181"/>
      <c r="O20" s="181"/>
      <c r="P20" s="181"/>
      <c r="Q20" s="181"/>
      <c r="R20" s="181"/>
      <c r="S20" s="181"/>
      <c r="T20" s="116"/>
      <c r="U20" s="235"/>
      <c r="V20" s="235"/>
      <c r="W20" s="117"/>
      <c r="X20" s="116"/>
      <c r="Y20" s="235"/>
      <c r="Z20" s="235"/>
      <c r="AA20" s="117"/>
      <c r="AB20" s="116"/>
      <c r="AC20" s="235"/>
      <c r="AD20" s="235"/>
      <c r="AE20" s="117"/>
      <c r="AF20" s="116"/>
      <c r="AG20" s="235"/>
      <c r="AH20" s="235"/>
      <c r="AI20" s="117"/>
      <c r="AJ20" s="116"/>
      <c r="AK20" s="235"/>
      <c r="AL20" s="235"/>
      <c r="AM20" s="117"/>
      <c r="AN20" s="116"/>
      <c r="AO20" s="235"/>
      <c r="AP20" s="235"/>
      <c r="AQ20" s="117"/>
      <c r="AR20" s="116"/>
      <c r="AS20" s="235"/>
      <c r="AT20" s="235"/>
      <c r="AU20" s="117"/>
      <c r="AV20" s="116"/>
      <c r="AW20" s="235"/>
      <c r="AX20" s="235"/>
      <c r="AY20" s="117"/>
      <c r="AZ20" s="116"/>
      <c r="BA20" s="235"/>
      <c r="BB20" s="235"/>
      <c r="BC20" s="117"/>
      <c r="BD20" s="116"/>
      <c r="BE20" s="235"/>
      <c r="BF20" s="235"/>
      <c r="BG20" s="117"/>
      <c r="BH20" s="181"/>
      <c r="BI20" s="181"/>
      <c r="BJ20" s="181"/>
      <c r="BK20" s="181"/>
      <c r="BL20" s="181"/>
      <c r="BM20" s="181"/>
      <c r="BN20" s="181"/>
      <c r="BO20" s="181"/>
      <c r="BP20" s="181"/>
      <c r="BQ20" s="115"/>
      <c r="BR20" s="114"/>
      <c r="BS20" s="114"/>
    </row>
    <row r="21" spans="2:80" ht="10" customHeight="1" x14ac:dyDescent="0.25">
      <c r="B21" s="245"/>
      <c r="C21" s="246"/>
      <c r="D21" s="249"/>
      <c r="H21" s="114"/>
      <c r="I21" s="114"/>
      <c r="J21" s="115"/>
      <c r="K21" s="181"/>
      <c r="L21" s="181"/>
      <c r="M21" s="181"/>
      <c r="N21" s="181"/>
      <c r="O21" s="181"/>
      <c r="P21" s="181"/>
      <c r="Q21" s="181"/>
      <c r="R21" s="181"/>
      <c r="S21" s="116"/>
      <c r="T21" s="117"/>
      <c r="U21" s="235"/>
      <c r="V21" s="235"/>
      <c r="W21" s="116"/>
      <c r="X21" s="117"/>
      <c r="Y21" s="235"/>
      <c r="Z21" s="235"/>
      <c r="AA21" s="116"/>
      <c r="AB21" s="117"/>
      <c r="AC21" s="235"/>
      <c r="AD21" s="235"/>
      <c r="AE21" s="116"/>
      <c r="AF21" s="117"/>
      <c r="AG21" s="235"/>
      <c r="AH21" s="235"/>
      <c r="AI21" s="116"/>
      <c r="AJ21" s="117"/>
      <c r="AK21" s="235"/>
      <c r="AL21" s="235"/>
      <c r="AM21" s="116"/>
      <c r="AN21" s="117"/>
      <c r="AO21" s="235"/>
      <c r="AP21" s="235"/>
      <c r="AQ21" s="116"/>
      <c r="AR21" s="117"/>
      <c r="AS21" s="235"/>
      <c r="AT21" s="235"/>
      <c r="AU21" s="116"/>
      <c r="AV21" s="117"/>
      <c r="AW21" s="235"/>
      <c r="AX21" s="235"/>
      <c r="AY21" s="116"/>
      <c r="AZ21" s="117"/>
      <c r="BA21" s="235"/>
      <c r="BB21" s="235"/>
      <c r="BC21" s="116"/>
      <c r="BD21" s="117"/>
      <c r="BE21" s="235"/>
      <c r="BF21" s="235"/>
      <c r="BG21" s="116"/>
      <c r="BH21" s="117"/>
      <c r="BI21" s="181"/>
      <c r="BJ21" s="181"/>
      <c r="BK21" s="181"/>
      <c r="BL21" s="181"/>
      <c r="BM21" s="181"/>
      <c r="BN21" s="181"/>
      <c r="BO21" s="181"/>
      <c r="BP21" s="181"/>
      <c r="BQ21" s="115"/>
      <c r="BR21" s="114"/>
      <c r="BS21" s="114"/>
    </row>
    <row r="22" spans="2:80" ht="10" customHeight="1" x14ac:dyDescent="0.25">
      <c r="H22" s="114"/>
      <c r="I22" s="114"/>
      <c r="J22" s="115"/>
      <c r="K22" s="181"/>
      <c r="L22" s="181"/>
      <c r="M22" s="181"/>
      <c r="N22" s="181"/>
      <c r="O22" s="181"/>
      <c r="P22" s="181"/>
      <c r="Q22" s="181"/>
      <c r="R22" s="116"/>
      <c r="S22" s="235" t="s">
        <v>776</v>
      </c>
      <c r="T22" s="235"/>
      <c r="U22" s="117"/>
      <c r="V22" s="116"/>
      <c r="W22" s="235"/>
      <c r="X22" s="235"/>
      <c r="Y22" s="117"/>
      <c r="Z22" s="116"/>
      <c r="AA22" s="235"/>
      <c r="AB22" s="235"/>
      <c r="AC22" s="117"/>
      <c r="AD22" s="116"/>
      <c r="AE22" s="235"/>
      <c r="AF22" s="235"/>
      <c r="AG22" s="117"/>
      <c r="AH22" s="116"/>
      <c r="AI22" s="235"/>
      <c r="AJ22" s="235"/>
      <c r="AK22" s="117"/>
      <c r="AL22" s="116"/>
      <c r="AM22" s="235"/>
      <c r="AN22" s="235"/>
      <c r="AO22" s="117"/>
      <c r="AP22" s="116"/>
      <c r="AQ22" s="235"/>
      <c r="AR22" s="235"/>
      <c r="AS22" s="117"/>
      <c r="AT22" s="116"/>
      <c r="AU22" s="235"/>
      <c r="AV22" s="235"/>
      <c r="AW22" s="117"/>
      <c r="AX22" s="116"/>
      <c r="AY22" s="235"/>
      <c r="AZ22" s="235"/>
      <c r="BA22" s="117"/>
      <c r="BB22" s="116"/>
      <c r="BC22" s="235"/>
      <c r="BD22" s="235"/>
      <c r="BE22" s="117"/>
      <c r="BF22" s="116"/>
      <c r="BG22" s="235"/>
      <c r="BH22" s="235"/>
      <c r="BI22" s="117"/>
      <c r="BJ22" s="181"/>
      <c r="BK22" s="181"/>
      <c r="BL22" s="181"/>
      <c r="BM22" s="181"/>
      <c r="BN22" s="181"/>
      <c r="BO22" s="181"/>
      <c r="BP22" s="181"/>
      <c r="BQ22" s="115"/>
      <c r="BR22" s="114"/>
      <c r="BS22" s="114"/>
    </row>
    <row r="23" spans="2:80" ht="10" customHeight="1" x14ac:dyDescent="0.25">
      <c r="B23" s="236" t="s">
        <v>785</v>
      </c>
      <c r="C23" s="237"/>
      <c r="D23" s="238"/>
      <c r="H23" s="114"/>
      <c r="I23" s="114"/>
      <c r="J23" s="115"/>
      <c r="K23" s="181"/>
      <c r="L23" s="181"/>
      <c r="M23" s="181"/>
      <c r="N23" s="181"/>
      <c r="O23" s="181"/>
      <c r="P23" s="181"/>
      <c r="Q23" s="116"/>
      <c r="R23" s="117"/>
      <c r="S23" s="235"/>
      <c r="T23" s="235"/>
      <c r="U23" s="116"/>
      <c r="V23" s="117"/>
      <c r="W23" s="235"/>
      <c r="X23" s="235"/>
      <c r="Y23" s="116"/>
      <c r="Z23" s="117"/>
      <c r="AA23" s="235"/>
      <c r="AB23" s="235"/>
      <c r="AC23" s="116"/>
      <c r="AD23" s="117"/>
      <c r="AE23" s="235"/>
      <c r="AF23" s="235"/>
      <c r="AG23" s="116"/>
      <c r="AH23" s="117"/>
      <c r="AI23" s="235"/>
      <c r="AJ23" s="235"/>
      <c r="AK23" s="116"/>
      <c r="AL23" s="117"/>
      <c r="AM23" s="235"/>
      <c r="AN23" s="235"/>
      <c r="AO23" s="116"/>
      <c r="AP23" s="117"/>
      <c r="AQ23" s="235"/>
      <c r="AR23" s="235"/>
      <c r="AS23" s="116"/>
      <c r="AT23" s="117"/>
      <c r="AU23" s="235"/>
      <c r="AV23" s="235"/>
      <c r="AW23" s="116"/>
      <c r="AX23" s="117"/>
      <c r="AY23" s="235"/>
      <c r="AZ23" s="235"/>
      <c r="BA23" s="116"/>
      <c r="BB23" s="117"/>
      <c r="BC23" s="235"/>
      <c r="BD23" s="235"/>
      <c r="BE23" s="116"/>
      <c r="BF23" s="117"/>
      <c r="BG23" s="235"/>
      <c r="BH23" s="235"/>
      <c r="BI23" s="116"/>
      <c r="BJ23" s="117"/>
      <c r="BK23" s="181"/>
      <c r="BL23" s="181"/>
      <c r="BM23" s="181"/>
      <c r="BN23" s="181"/>
      <c r="BO23" s="181"/>
      <c r="BP23" s="181"/>
      <c r="BQ23" s="115"/>
      <c r="BR23" s="114"/>
      <c r="BS23" s="114"/>
    </row>
    <row r="24" spans="2:80" ht="10" customHeight="1" x14ac:dyDescent="0.25">
      <c r="B24" s="239"/>
      <c r="C24" s="240"/>
      <c r="D24" s="241"/>
      <c r="H24" s="114"/>
      <c r="I24" s="114"/>
      <c r="J24" s="115"/>
      <c r="K24" s="181"/>
      <c r="L24" s="181"/>
      <c r="M24" s="181"/>
      <c r="N24" s="181"/>
      <c r="O24" s="181"/>
      <c r="P24" s="116"/>
      <c r="Q24" s="235"/>
      <c r="R24" s="235"/>
      <c r="S24" s="117"/>
      <c r="T24" s="116"/>
      <c r="U24" s="235"/>
      <c r="V24" s="235"/>
      <c r="W24" s="117"/>
      <c r="X24" s="116"/>
      <c r="Y24" s="235"/>
      <c r="Z24" s="235"/>
      <c r="AA24" s="117"/>
      <c r="AB24" s="116"/>
      <c r="AC24" s="235"/>
      <c r="AD24" s="235"/>
      <c r="AE24" s="117"/>
      <c r="AF24" s="116"/>
      <c r="AG24" s="235"/>
      <c r="AH24" s="235"/>
      <c r="AI24" s="117"/>
      <c r="AJ24" s="116"/>
      <c r="AK24" s="235"/>
      <c r="AL24" s="235"/>
      <c r="AM24" s="117"/>
      <c r="AN24" s="116"/>
      <c r="AO24" s="235"/>
      <c r="AP24" s="235"/>
      <c r="AQ24" s="117"/>
      <c r="AR24" s="116"/>
      <c r="AS24" s="235"/>
      <c r="AT24" s="235"/>
      <c r="AU24" s="117"/>
      <c r="AV24" s="116"/>
      <c r="AW24" s="235"/>
      <c r="AX24" s="235"/>
      <c r="AY24" s="117"/>
      <c r="AZ24" s="116"/>
      <c r="BA24" s="235"/>
      <c r="BB24" s="235"/>
      <c r="BC24" s="117"/>
      <c r="BD24" s="116"/>
      <c r="BE24" s="235"/>
      <c r="BF24" s="235"/>
      <c r="BG24" s="117"/>
      <c r="BH24" s="116"/>
      <c r="BI24" s="235"/>
      <c r="BJ24" s="235"/>
      <c r="BK24" s="117"/>
      <c r="BL24" s="181"/>
      <c r="BM24" s="181"/>
      <c r="BN24" s="181"/>
      <c r="BO24" s="181"/>
      <c r="BP24" s="181"/>
      <c r="BQ24" s="115"/>
      <c r="BR24" s="114"/>
      <c r="BS24" s="114"/>
    </row>
    <row r="25" spans="2:80" ht="10" customHeight="1" x14ac:dyDescent="0.25">
      <c r="B25" s="242" t="s">
        <v>786</v>
      </c>
      <c r="C25" s="243"/>
      <c r="D25" s="248" t="s">
        <v>787</v>
      </c>
      <c r="H25" s="114"/>
      <c r="I25" s="114"/>
      <c r="J25" s="115"/>
      <c r="K25" s="181"/>
      <c r="L25" s="181"/>
      <c r="M25" s="181"/>
      <c r="N25" s="181"/>
      <c r="O25" s="116"/>
      <c r="P25" s="117"/>
      <c r="Q25" s="235"/>
      <c r="R25" s="235"/>
      <c r="S25" s="116"/>
      <c r="T25" s="117"/>
      <c r="U25" s="235"/>
      <c r="V25" s="235"/>
      <c r="W25" s="116"/>
      <c r="X25" s="117"/>
      <c r="Y25" s="235"/>
      <c r="Z25" s="235"/>
      <c r="AA25" s="116"/>
      <c r="AB25" s="117"/>
      <c r="AC25" s="235"/>
      <c r="AD25" s="235"/>
      <c r="AE25" s="116"/>
      <c r="AF25" s="117"/>
      <c r="AG25" s="235"/>
      <c r="AH25" s="235"/>
      <c r="AI25" s="116"/>
      <c r="AJ25" s="117"/>
      <c r="AK25" s="235"/>
      <c r="AL25" s="235"/>
      <c r="AM25" s="116"/>
      <c r="AN25" s="117"/>
      <c r="AO25" s="235"/>
      <c r="AP25" s="235"/>
      <c r="AQ25" s="116"/>
      <c r="AR25" s="117"/>
      <c r="AS25" s="235"/>
      <c r="AT25" s="235"/>
      <c r="AU25" s="116"/>
      <c r="AV25" s="117"/>
      <c r="AW25" s="235"/>
      <c r="AX25" s="235"/>
      <c r="AY25" s="116"/>
      <c r="AZ25" s="117"/>
      <c r="BA25" s="235"/>
      <c r="BB25" s="235"/>
      <c r="BC25" s="116"/>
      <c r="BD25" s="117"/>
      <c r="BE25" s="235"/>
      <c r="BF25" s="235"/>
      <c r="BG25" s="116"/>
      <c r="BH25" s="117"/>
      <c r="BI25" s="235"/>
      <c r="BJ25" s="235"/>
      <c r="BK25" s="116"/>
      <c r="BL25" s="117"/>
      <c r="BM25" s="181"/>
      <c r="BN25" s="181"/>
      <c r="BO25" s="181"/>
      <c r="BP25" s="181"/>
      <c r="BQ25" s="115"/>
      <c r="BR25" s="114"/>
      <c r="BS25" s="114"/>
    </row>
    <row r="26" spans="2:80" ht="10" customHeight="1" x14ac:dyDescent="0.25">
      <c r="B26" s="242"/>
      <c r="C26" s="243"/>
      <c r="D26" s="248"/>
      <c r="H26" s="114"/>
      <c r="I26" s="114"/>
      <c r="J26" s="115"/>
      <c r="K26" s="181"/>
      <c r="L26" s="181"/>
      <c r="M26" s="181"/>
      <c r="N26" s="116"/>
      <c r="O26" s="235"/>
      <c r="P26" s="235"/>
      <c r="Q26" s="117"/>
      <c r="R26" s="116"/>
      <c r="S26" s="235"/>
      <c r="T26" s="235"/>
      <c r="U26" s="117"/>
      <c r="V26" s="116"/>
      <c r="W26" s="235"/>
      <c r="X26" s="235"/>
      <c r="Y26" s="117"/>
      <c r="Z26" s="116"/>
      <c r="AA26" s="235"/>
      <c r="AB26" s="235"/>
      <c r="AC26" s="117"/>
      <c r="AD26" s="116"/>
      <c r="AE26" s="235"/>
      <c r="AF26" s="235"/>
      <c r="AG26" s="117"/>
      <c r="AH26" s="116"/>
      <c r="AI26" s="235"/>
      <c r="AJ26" s="235"/>
      <c r="AK26" s="117"/>
      <c r="AL26" s="116"/>
      <c r="AM26" s="235"/>
      <c r="AN26" s="235"/>
      <c r="AO26" s="117"/>
      <c r="AP26" s="116"/>
      <c r="AQ26" s="235"/>
      <c r="AR26" s="235"/>
      <c r="AS26" s="117"/>
      <c r="AT26" s="116"/>
      <c r="AU26" s="235"/>
      <c r="AV26" s="235"/>
      <c r="AW26" s="117"/>
      <c r="AX26" s="116"/>
      <c r="AY26" s="235"/>
      <c r="AZ26" s="235"/>
      <c r="BA26" s="117"/>
      <c r="BB26" s="116"/>
      <c r="BC26" s="235"/>
      <c r="BD26" s="235"/>
      <c r="BE26" s="117"/>
      <c r="BF26" s="116"/>
      <c r="BG26" s="235"/>
      <c r="BH26" s="235"/>
      <c r="BI26" s="117"/>
      <c r="BJ26" s="116"/>
      <c r="BK26" s="235"/>
      <c r="BL26" s="235"/>
      <c r="BM26" s="117"/>
      <c r="BN26" s="181"/>
      <c r="BO26" s="181"/>
      <c r="BP26" s="181"/>
      <c r="BQ26" s="115"/>
      <c r="BR26" s="114"/>
      <c r="BS26" s="114"/>
    </row>
    <row r="27" spans="2:80" ht="10" customHeight="1" x14ac:dyDescent="0.25">
      <c r="B27" s="242" t="s">
        <v>788</v>
      </c>
      <c r="C27" s="243"/>
      <c r="D27" s="248" t="s">
        <v>789</v>
      </c>
      <c r="H27" s="114"/>
      <c r="I27" s="114"/>
      <c r="J27" s="115"/>
      <c r="K27" s="181"/>
      <c r="L27" s="181"/>
      <c r="M27" s="116"/>
      <c r="N27" s="117"/>
      <c r="O27" s="235"/>
      <c r="P27" s="235"/>
      <c r="Q27" s="116"/>
      <c r="R27" s="117"/>
      <c r="S27" s="235"/>
      <c r="T27" s="235"/>
      <c r="U27" s="116"/>
      <c r="V27" s="117"/>
      <c r="W27" s="235"/>
      <c r="X27" s="235"/>
      <c r="Y27" s="116"/>
      <c r="Z27" s="117"/>
      <c r="AA27" s="235"/>
      <c r="AB27" s="235"/>
      <c r="AC27" s="116"/>
      <c r="AD27" s="117"/>
      <c r="AE27" s="235"/>
      <c r="AF27" s="235"/>
      <c r="AG27" s="116"/>
      <c r="AH27" s="117"/>
      <c r="AI27" s="235"/>
      <c r="AJ27" s="235"/>
      <c r="AK27" s="116"/>
      <c r="AL27" s="117"/>
      <c r="AM27" s="235"/>
      <c r="AN27" s="235"/>
      <c r="AO27" s="116"/>
      <c r="AP27" s="117"/>
      <c r="AQ27" s="235"/>
      <c r="AR27" s="235"/>
      <c r="AS27" s="116"/>
      <c r="AT27" s="117"/>
      <c r="AU27" s="235"/>
      <c r="AV27" s="235"/>
      <c r="AW27" s="116"/>
      <c r="AX27" s="117"/>
      <c r="AY27" s="235"/>
      <c r="AZ27" s="235"/>
      <c r="BA27" s="116"/>
      <c r="BB27" s="117"/>
      <c r="BC27" s="235"/>
      <c r="BD27" s="235"/>
      <c r="BE27" s="116"/>
      <c r="BF27" s="117"/>
      <c r="BG27" s="235"/>
      <c r="BH27" s="235"/>
      <c r="BI27" s="116"/>
      <c r="BJ27" s="117"/>
      <c r="BK27" s="235"/>
      <c r="BL27" s="235"/>
      <c r="BM27" s="116"/>
      <c r="BN27" s="117"/>
      <c r="BO27" s="181"/>
      <c r="BP27" s="181"/>
      <c r="BQ27" s="115"/>
      <c r="BR27" s="114"/>
      <c r="BS27" s="114"/>
    </row>
    <row r="28" spans="2:80" ht="10" customHeight="1" x14ac:dyDescent="0.25">
      <c r="B28" s="242"/>
      <c r="C28" s="243"/>
      <c r="D28" s="248"/>
      <c r="H28" s="114"/>
      <c r="I28" s="114"/>
      <c r="J28" s="115"/>
      <c r="K28" s="181"/>
      <c r="L28" s="116"/>
      <c r="M28" s="235" t="s">
        <v>774</v>
      </c>
      <c r="N28" s="235"/>
      <c r="O28" s="117"/>
      <c r="P28" s="116"/>
      <c r="Q28" s="235"/>
      <c r="R28" s="235"/>
      <c r="S28" s="117"/>
      <c r="T28" s="116"/>
      <c r="U28" s="235"/>
      <c r="V28" s="235"/>
      <c r="W28" s="117"/>
      <c r="X28" s="116"/>
      <c r="Y28" s="235"/>
      <c r="Z28" s="235"/>
      <c r="AA28" s="117"/>
      <c r="AB28" s="116"/>
      <c r="AC28" s="235"/>
      <c r="AD28" s="235"/>
      <c r="AE28" s="117"/>
      <c r="AF28" s="116"/>
      <c r="AG28" s="235"/>
      <c r="AH28" s="235"/>
      <c r="AI28" s="117"/>
      <c r="AJ28" s="116"/>
      <c r="AK28" s="235"/>
      <c r="AL28" s="235"/>
      <c r="AM28" s="117"/>
      <c r="AN28" s="116"/>
      <c r="AO28" s="235"/>
      <c r="AP28" s="235"/>
      <c r="AQ28" s="117"/>
      <c r="AR28" s="116"/>
      <c r="AS28" s="235"/>
      <c r="AT28" s="235"/>
      <c r="AU28" s="117"/>
      <c r="AV28" s="116"/>
      <c r="AW28" s="235"/>
      <c r="AX28" s="235"/>
      <c r="AY28" s="117"/>
      <c r="AZ28" s="116"/>
      <c r="BA28" s="235"/>
      <c r="BB28" s="235"/>
      <c r="BC28" s="117"/>
      <c r="BD28" s="116"/>
      <c r="BE28" s="235"/>
      <c r="BF28" s="235"/>
      <c r="BG28" s="117"/>
      <c r="BH28" s="116"/>
      <c r="BI28" s="235"/>
      <c r="BJ28" s="235"/>
      <c r="BK28" s="117"/>
      <c r="BL28" s="116"/>
      <c r="BM28" s="235"/>
      <c r="BN28" s="235"/>
      <c r="BO28" s="117"/>
      <c r="BP28" s="181"/>
      <c r="BQ28" s="118"/>
      <c r="BR28" s="119"/>
      <c r="BS28" s="114"/>
      <c r="BU28" s="120"/>
      <c r="BV28" s="120"/>
      <c r="BY28" s="120"/>
      <c r="BZ28" s="120"/>
    </row>
    <row r="29" spans="2:80" ht="10" customHeight="1" x14ac:dyDescent="0.25">
      <c r="B29" s="242" t="s">
        <v>790</v>
      </c>
      <c r="C29" s="243"/>
      <c r="D29" s="248" t="s">
        <v>791</v>
      </c>
      <c r="H29" s="114"/>
      <c r="I29" s="114"/>
      <c r="J29" s="115"/>
      <c r="K29" s="116"/>
      <c r="L29" s="117"/>
      <c r="M29" s="235"/>
      <c r="N29" s="235"/>
      <c r="O29" s="116"/>
      <c r="P29" s="117"/>
      <c r="Q29" s="235"/>
      <c r="R29" s="235"/>
      <c r="S29" s="116"/>
      <c r="T29" s="117"/>
      <c r="U29" s="235"/>
      <c r="V29" s="235"/>
      <c r="W29" s="116"/>
      <c r="X29" s="117"/>
      <c r="Y29" s="235"/>
      <c r="Z29" s="235"/>
      <c r="AA29" s="116"/>
      <c r="AB29" s="117"/>
      <c r="AC29" s="235"/>
      <c r="AD29" s="235"/>
      <c r="AE29" s="116"/>
      <c r="AF29" s="117"/>
      <c r="AG29" s="235"/>
      <c r="AH29" s="235"/>
      <c r="AI29" s="116"/>
      <c r="AJ29" s="117"/>
      <c r="AK29" s="235"/>
      <c r="AL29" s="235"/>
      <c r="AM29" s="116"/>
      <c r="AN29" s="117"/>
      <c r="AO29" s="235"/>
      <c r="AP29" s="235"/>
      <c r="AQ29" s="116"/>
      <c r="AR29" s="117"/>
      <c r="AS29" s="235"/>
      <c r="AT29" s="235"/>
      <c r="AU29" s="116"/>
      <c r="AV29" s="117"/>
      <c r="AW29" s="235"/>
      <c r="AX29" s="235"/>
      <c r="AY29" s="116"/>
      <c r="AZ29" s="117"/>
      <c r="BA29" s="235"/>
      <c r="BB29" s="235"/>
      <c r="BC29" s="116"/>
      <c r="BD29" s="117"/>
      <c r="BE29" s="235"/>
      <c r="BF29" s="235"/>
      <c r="BG29" s="116"/>
      <c r="BH29" s="117"/>
      <c r="BI29" s="235"/>
      <c r="BJ29" s="235"/>
      <c r="BK29" s="116"/>
      <c r="BL29" s="117"/>
      <c r="BM29" s="235"/>
      <c r="BN29" s="235"/>
      <c r="BO29" s="116"/>
      <c r="BP29" s="117"/>
      <c r="BQ29" s="118"/>
      <c r="BR29" s="119"/>
      <c r="BS29" s="114"/>
      <c r="BU29" s="120"/>
      <c r="BV29" s="120"/>
      <c r="BY29" s="120"/>
      <c r="BZ29" s="120"/>
    </row>
    <row r="30" spans="2:80" ht="10" customHeight="1" x14ac:dyDescent="0.2">
      <c r="B30" s="245"/>
      <c r="C30" s="246"/>
      <c r="D30" s="249"/>
      <c r="H30" s="114"/>
      <c r="I30" s="114"/>
      <c r="J30" s="121"/>
      <c r="K30" s="235" t="s">
        <v>774</v>
      </c>
      <c r="L30" s="235"/>
      <c r="M30" s="117"/>
      <c r="N30" s="116"/>
      <c r="O30" s="235"/>
      <c r="P30" s="235"/>
      <c r="Q30" s="117"/>
      <c r="R30" s="116"/>
      <c r="S30" s="235"/>
      <c r="T30" s="235"/>
      <c r="U30" s="117"/>
      <c r="V30" s="116"/>
      <c r="W30" s="235"/>
      <c r="X30" s="235"/>
      <c r="Y30" s="117"/>
      <c r="Z30" s="116"/>
      <c r="AA30" s="235"/>
      <c r="AB30" s="235"/>
      <c r="AC30" s="117"/>
      <c r="AD30" s="116"/>
      <c r="AE30" s="235"/>
      <c r="AF30" s="235"/>
      <c r="AG30" s="117"/>
      <c r="AH30" s="116"/>
      <c r="AI30" s="235"/>
      <c r="AJ30" s="235"/>
      <c r="AK30" s="117"/>
      <c r="AL30" s="116"/>
      <c r="AM30" s="235"/>
      <c r="AN30" s="235"/>
      <c r="AO30" s="117"/>
      <c r="AP30" s="116"/>
      <c r="AQ30" s="235"/>
      <c r="AR30" s="235"/>
      <c r="AS30" s="117"/>
      <c r="AT30" s="116"/>
      <c r="AU30" s="235"/>
      <c r="AV30" s="235"/>
      <c r="AW30" s="117"/>
      <c r="AX30" s="116"/>
      <c r="AY30" s="235"/>
      <c r="AZ30" s="235"/>
      <c r="BA30" s="117"/>
      <c r="BB30" s="116"/>
      <c r="BC30" s="235"/>
      <c r="BD30" s="235"/>
      <c r="BE30" s="117"/>
      <c r="BF30" s="116"/>
      <c r="BG30" s="235"/>
      <c r="BH30" s="235"/>
      <c r="BI30" s="117"/>
      <c r="BJ30" s="116"/>
      <c r="BK30" s="235"/>
      <c r="BL30" s="235"/>
      <c r="BM30" s="117"/>
      <c r="BN30" s="116"/>
      <c r="BO30" s="235"/>
      <c r="BP30" s="235"/>
      <c r="BQ30" s="122"/>
      <c r="BR30" s="114"/>
      <c r="BS30" s="123"/>
      <c r="BT30" s="120"/>
      <c r="BW30" s="124"/>
      <c r="BX30" s="120"/>
      <c r="CA30" s="120"/>
      <c r="CB30" s="120"/>
    </row>
    <row r="31" spans="2:80" ht="10" customHeight="1" x14ac:dyDescent="0.2">
      <c r="H31" s="114"/>
      <c r="I31" s="125"/>
      <c r="J31" s="122"/>
      <c r="K31" s="235"/>
      <c r="L31" s="235"/>
      <c r="M31" s="116"/>
      <c r="N31" s="117"/>
      <c r="O31" s="235"/>
      <c r="P31" s="235"/>
      <c r="Q31" s="116"/>
      <c r="R31" s="117"/>
      <c r="S31" s="235"/>
      <c r="T31" s="235"/>
      <c r="U31" s="116"/>
      <c r="V31" s="117"/>
      <c r="W31" s="235"/>
      <c r="X31" s="235"/>
      <c r="Y31" s="116"/>
      <c r="Z31" s="117"/>
      <c r="AA31" s="235"/>
      <c r="AB31" s="235"/>
      <c r="AC31" s="116"/>
      <c r="AD31" s="117"/>
      <c r="AE31" s="235"/>
      <c r="AF31" s="235"/>
      <c r="AG31" s="116"/>
      <c r="AH31" s="117"/>
      <c r="AI31" s="235"/>
      <c r="AJ31" s="235"/>
      <c r="AK31" s="116"/>
      <c r="AL31" s="117"/>
      <c r="AM31" s="235"/>
      <c r="AN31" s="235"/>
      <c r="AO31" s="116"/>
      <c r="AP31" s="117"/>
      <c r="AQ31" s="235"/>
      <c r="AR31" s="235"/>
      <c r="AS31" s="116"/>
      <c r="AT31" s="117"/>
      <c r="AU31" s="235"/>
      <c r="AV31" s="235"/>
      <c r="AW31" s="116"/>
      <c r="AX31" s="117"/>
      <c r="AY31" s="235"/>
      <c r="AZ31" s="235"/>
      <c r="BA31" s="116"/>
      <c r="BB31" s="117"/>
      <c r="BC31" s="235"/>
      <c r="BD31" s="235"/>
      <c r="BE31" s="116"/>
      <c r="BF31" s="117"/>
      <c r="BG31" s="235"/>
      <c r="BH31" s="235"/>
      <c r="BI31" s="116"/>
      <c r="BJ31" s="117"/>
      <c r="BK31" s="235"/>
      <c r="BL31" s="235"/>
      <c r="BM31" s="116"/>
      <c r="BN31" s="117"/>
      <c r="BO31" s="235"/>
      <c r="BP31" s="235"/>
      <c r="BQ31" s="121"/>
      <c r="BR31" s="126"/>
      <c r="BS31" s="123"/>
      <c r="BT31" s="120"/>
      <c r="BW31" s="124"/>
      <c r="BX31" s="120"/>
      <c r="CA31" s="120"/>
      <c r="CB31" s="120"/>
    </row>
    <row r="32" spans="2:80" ht="10" customHeight="1" x14ac:dyDescent="0.25">
      <c r="H32" s="125"/>
      <c r="I32" s="114"/>
      <c r="J32" s="115"/>
      <c r="K32" s="122"/>
      <c r="L32" s="121"/>
      <c r="M32" s="115"/>
      <c r="N32" s="115"/>
      <c r="O32" s="122"/>
      <c r="P32" s="121"/>
      <c r="Q32" s="115"/>
      <c r="R32" s="115"/>
      <c r="S32" s="122"/>
      <c r="T32" s="121"/>
      <c r="U32" s="115"/>
      <c r="V32" s="115"/>
      <c r="W32" s="122"/>
      <c r="X32" s="121"/>
      <c r="Y32" s="115"/>
      <c r="Z32" s="115"/>
      <c r="AA32" s="122"/>
      <c r="AB32" s="121"/>
      <c r="AC32" s="115"/>
      <c r="AD32" s="115"/>
      <c r="AE32" s="122"/>
      <c r="AF32" s="121"/>
      <c r="AG32" s="115"/>
      <c r="AH32" s="115"/>
      <c r="AI32" s="122"/>
      <c r="AJ32" s="121"/>
      <c r="AK32" s="115"/>
      <c r="AL32" s="115"/>
      <c r="AM32" s="122"/>
      <c r="AN32" s="121"/>
      <c r="AO32" s="115"/>
      <c r="AP32" s="115"/>
      <c r="AQ32" s="122"/>
      <c r="AR32" s="121"/>
      <c r="AS32" s="115"/>
      <c r="AT32" s="115"/>
      <c r="AU32" s="122"/>
      <c r="AV32" s="121"/>
      <c r="AW32" s="115"/>
      <c r="AX32" s="115"/>
      <c r="AY32" s="122"/>
      <c r="AZ32" s="121"/>
      <c r="BA32" s="115"/>
      <c r="BB32" s="115"/>
      <c r="BC32" s="122"/>
      <c r="BD32" s="121"/>
      <c r="BE32" s="115"/>
      <c r="BF32" s="115"/>
      <c r="BG32" s="122"/>
      <c r="BH32" s="121"/>
      <c r="BI32" s="115"/>
      <c r="BJ32" s="115"/>
      <c r="BK32" s="122"/>
      <c r="BL32" s="121"/>
      <c r="BM32" s="115"/>
      <c r="BN32" s="115"/>
      <c r="BO32" s="122"/>
      <c r="BP32" s="121"/>
      <c r="BQ32" s="115"/>
      <c r="BR32" s="114"/>
      <c r="BS32" s="126"/>
    </row>
    <row r="33" spans="2:83" ht="19.5" customHeight="1" x14ac:dyDescent="0.25">
      <c r="F33" s="250" t="s">
        <v>792</v>
      </c>
      <c r="G33" s="250"/>
      <c r="H33" s="251">
        <v>1</v>
      </c>
      <c r="I33" s="252"/>
      <c r="J33" s="252"/>
      <c r="K33" s="253"/>
      <c r="L33" s="251">
        <v>2</v>
      </c>
      <c r="M33" s="252"/>
      <c r="N33" s="252"/>
      <c r="O33" s="253"/>
      <c r="P33" s="251">
        <v>3</v>
      </c>
      <c r="Q33" s="252"/>
      <c r="R33" s="252"/>
      <c r="S33" s="253"/>
      <c r="T33" s="251">
        <v>4</v>
      </c>
      <c r="U33" s="252"/>
      <c r="V33" s="252"/>
      <c r="W33" s="253"/>
      <c r="X33" s="251">
        <v>5</v>
      </c>
      <c r="Y33" s="252"/>
      <c r="Z33" s="252"/>
      <c r="AA33" s="253"/>
      <c r="AB33" s="251">
        <v>6</v>
      </c>
      <c r="AC33" s="252"/>
      <c r="AD33" s="252"/>
      <c r="AE33" s="253"/>
      <c r="AF33" s="251">
        <v>7</v>
      </c>
      <c r="AG33" s="252"/>
      <c r="AH33" s="252"/>
      <c r="AI33" s="253"/>
      <c r="AJ33" s="251">
        <v>8</v>
      </c>
      <c r="AK33" s="252"/>
      <c r="AL33" s="252"/>
      <c r="AM33" s="253"/>
      <c r="AN33" s="251">
        <v>9</v>
      </c>
      <c r="AO33" s="252"/>
      <c r="AP33" s="252"/>
      <c r="AQ33" s="253"/>
      <c r="AR33" s="251">
        <v>10</v>
      </c>
      <c r="AS33" s="252"/>
      <c r="AT33" s="252"/>
      <c r="AU33" s="253"/>
      <c r="AV33" s="251">
        <v>11</v>
      </c>
      <c r="AW33" s="252"/>
      <c r="AX33" s="252"/>
      <c r="AY33" s="253"/>
      <c r="AZ33" s="251">
        <v>12</v>
      </c>
      <c r="BA33" s="252"/>
      <c r="BB33" s="252"/>
      <c r="BC33" s="253"/>
      <c r="BD33" s="251">
        <v>13</v>
      </c>
      <c r="BE33" s="252"/>
      <c r="BF33" s="252"/>
      <c r="BG33" s="253"/>
      <c r="BH33" s="251">
        <v>14</v>
      </c>
      <c r="BI33" s="252"/>
      <c r="BJ33" s="252"/>
      <c r="BK33" s="253"/>
      <c r="BL33" s="251">
        <v>15</v>
      </c>
      <c r="BM33" s="252"/>
      <c r="BN33" s="252"/>
      <c r="BO33" s="253"/>
      <c r="BP33" s="251">
        <v>16</v>
      </c>
      <c r="BQ33" s="252"/>
      <c r="BR33" s="252"/>
      <c r="BS33" s="253"/>
    </row>
    <row r="34" spans="2:83" ht="19.5" customHeight="1" x14ac:dyDescent="0.15">
      <c r="F34" s="250" t="s">
        <v>793</v>
      </c>
      <c r="G34" s="250"/>
      <c r="H34" s="254"/>
      <c r="I34" s="255"/>
      <c r="J34" s="255"/>
      <c r="K34" s="256"/>
      <c r="L34" s="254"/>
      <c r="M34" s="255"/>
      <c r="N34" s="255"/>
      <c r="O34" s="256"/>
      <c r="P34" s="254"/>
      <c r="Q34" s="255"/>
      <c r="R34" s="255"/>
      <c r="S34" s="256"/>
      <c r="T34" s="254"/>
      <c r="U34" s="255"/>
      <c r="V34" s="255"/>
      <c r="W34" s="256"/>
      <c r="X34" s="254"/>
      <c r="Y34" s="255"/>
      <c r="Z34" s="255"/>
      <c r="AA34" s="256"/>
      <c r="AB34" s="254"/>
      <c r="AC34" s="255"/>
      <c r="AD34" s="255"/>
      <c r="AE34" s="256"/>
      <c r="AF34" s="254"/>
      <c r="AG34" s="255"/>
      <c r="AH34" s="255"/>
      <c r="AI34" s="256"/>
      <c r="AJ34" s="254"/>
      <c r="AK34" s="255"/>
      <c r="AL34" s="255"/>
      <c r="AM34" s="256"/>
      <c r="AN34" s="254"/>
      <c r="AO34" s="255"/>
      <c r="AP34" s="255"/>
      <c r="AQ34" s="256"/>
      <c r="AR34" s="254"/>
      <c r="AS34" s="255"/>
      <c r="AT34" s="255"/>
      <c r="AU34" s="256"/>
      <c r="AV34" s="254"/>
      <c r="AW34" s="255"/>
      <c r="AX34" s="255"/>
      <c r="AY34" s="256"/>
      <c r="AZ34" s="254"/>
      <c r="BA34" s="255"/>
      <c r="BB34" s="255"/>
      <c r="BC34" s="256"/>
      <c r="BD34" s="254"/>
      <c r="BE34" s="255"/>
      <c r="BF34" s="255"/>
      <c r="BG34" s="256"/>
      <c r="BH34" s="254"/>
      <c r="BI34" s="255"/>
      <c r="BJ34" s="255"/>
      <c r="BK34" s="256"/>
      <c r="BL34" s="254"/>
      <c r="BM34" s="255"/>
      <c r="BN34" s="255"/>
      <c r="BO34" s="256"/>
      <c r="BP34" s="254"/>
      <c r="BQ34" s="255"/>
      <c r="BR34" s="255"/>
      <c r="BS34" s="256"/>
      <c r="BT34" s="257" t="s">
        <v>794</v>
      </c>
      <c r="BU34" s="258"/>
      <c r="BV34" s="258"/>
      <c r="BW34" s="258"/>
      <c r="BX34" s="258"/>
      <c r="BY34" s="258"/>
      <c r="BZ34" s="258"/>
      <c r="CA34" s="258"/>
      <c r="CB34" s="258"/>
      <c r="CC34" s="258"/>
      <c r="CD34" s="259"/>
    </row>
    <row r="35" spans="2:83" ht="90" customHeight="1" x14ac:dyDescent="0.15">
      <c r="B35" s="260" t="s">
        <v>795</v>
      </c>
      <c r="C35" s="261" t="s">
        <v>796</v>
      </c>
      <c r="D35" s="260" t="s">
        <v>797</v>
      </c>
      <c r="E35" s="260" t="s">
        <v>798</v>
      </c>
      <c r="F35" s="127"/>
      <c r="G35" s="128" t="s">
        <v>826</v>
      </c>
      <c r="H35" s="262" t="s">
        <v>924</v>
      </c>
      <c r="I35" s="263"/>
      <c r="J35" s="263"/>
      <c r="K35" s="264"/>
      <c r="L35" s="262" t="s">
        <v>925</v>
      </c>
      <c r="M35" s="263"/>
      <c r="N35" s="263"/>
      <c r="O35" s="264"/>
      <c r="P35" s="262" t="s">
        <v>828</v>
      </c>
      <c r="Q35" s="263"/>
      <c r="R35" s="263"/>
      <c r="S35" s="264"/>
      <c r="T35" s="262" t="s">
        <v>829</v>
      </c>
      <c r="U35" s="263"/>
      <c r="V35" s="263"/>
      <c r="W35" s="264"/>
      <c r="X35" s="262" t="s">
        <v>830</v>
      </c>
      <c r="Y35" s="263"/>
      <c r="Z35" s="263"/>
      <c r="AA35" s="264"/>
      <c r="AB35" s="262" t="s">
        <v>831</v>
      </c>
      <c r="AC35" s="263"/>
      <c r="AD35" s="263"/>
      <c r="AE35" s="264"/>
      <c r="AF35" s="262"/>
      <c r="AG35" s="263"/>
      <c r="AH35" s="263"/>
      <c r="AI35" s="264"/>
      <c r="AJ35" s="262"/>
      <c r="AK35" s="263"/>
      <c r="AL35" s="263"/>
      <c r="AM35" s="264"/>
      <c r="AN35" s="262"/>
      <c r="AO35" s="263"/>
      <c r="AP35" s="263"/>
      <c r="AQ35" s="264"/>
      <c r="AR35" s="262"/>
      <c r="AS35" s="263"/>
      <c r="AT35" s="263"/>
      <c r="AU35" s="264"/>
      <c r="AV35" s="262"/>
      <c r="AW35" s="263"/>
      <c r="AX35" s="263"/>
      <c r="AY35" s="264"/>
      <c r="AZ35" s="262"/>
      <c r="BA35" s="263"/>
      <c r="BB35" s="263"/>
      <c r="BC35" s="264"/>
      <c r="BD35" s="262"/>
      <c r="BE35" s="263"/>
      <c r="BF35" s="263"/>
      <c r="BG35" s="264"/>
      <c r="BH35" s="262"/>
      <c r="BI35" s="263"/>
      <c r="BJ35" s="263"/>
      <c r="BK35" s="264"/>
      <c r="BL35" s="262"/>
      <c r="BM35" s="263"/>
      <c r="BN35" s="263"/>
      <c r="BO35" s="264"/>
      <c r="BP35" s="262"/>
      <c r="BQ35" s="263"/>
      <c r="BR35" s="263"/>
      <c r="BS35" s="264"/>
      <c r="BT35" s="278" t="s">
        <v>799</v>
      </c>
      <c r="BU35" s="278" t="s">
        <v>800</v>
      </c>
      <c r="BV35" s="278" t="s">
        <v>801</v>
      </c>
      <c r="BW35" s="278" t="s">
        <v>802</v>
      </c>
      <c r="BX35" s="278" t="s">
        <v>803</v>
      </c>
      <c r="BY35" s="279" t="s">
        <v>804</v>
      </c>
      <c r="BZ35" s="268" t="s">
        <v>805</v>
      </c>
      <c r="CA35" s="268" t="s">
        <v>806</v>
      </c>
      <c r="CB35" s="268" t="s">
        <v>807</v>
      </c>
      <c r="CC35" s="268" t="s">
        <v>808</v>
      </c>
      <c r="CD35" s="270" t="s">
        <v>809</v>
      </c>
      <c r="CE35" s="272" t="s">
        <v>795</v>
      </c>
    </row>
    <row r="36" spans="2:83" ht="90" customHeight="1" x14ac:dyDescent="0.15">
      <c r="B36" s="260"/>
      <c r="C36" s="260"/>
      <c r="D36" s="260"/>
      <c r="E36" s="260"/>
      <c r="F36" s="129" t="s">
        <v>825</v>
      </c>
      <c r="G36" s="130"/>
      <c r="H36" s="265"/>
      <c r="I36" s="266"/>
      <c r="J36" s="266"/>
      <c r="K36" s="267"/>
      <c r="L36" s="265"/>
      <c r="M36" s="266"/>
      <c r="N36" s="266"/>
      <c r="O36" s="267"/>
      <c r="P36" s="265"/>
      <c r="Q36" s="266"/>
      <c r="R36" s="266"/>
      <c r="S36" s="267"/>
      <c r="T36" s="265"/>
      <c r="U36" s="266"/>
      <c r="V36" s="266"/>
      <c r="W36" s="267"/>
      <c r="X36" s="265"/>
      <c r="Y36" s="266"/>
      <c r="Z36" s="266"/>
      <c r="AA36" s="267"/>
      <c r="AB36" s="265"/>
      <c r="AC36" s="266"/>
      <c r="AD36" s="266"/>
      <c r="AE36" s="267"/>
      <c r="AF36" s="265"/>
      <c r="AG36" s="266"/>
      <c r="AH36" s="266"/>
      <c r="AI36" s="267"/>
      <c r="AJ36" s="265"/>
      <c r="AK36" s="266"/>
      <c r="AL36" s="266"/>
      <c r="AM36" s="267"/>
      <c r="AN36" s="265"/>
      <c r="AO36" s="266"/>
      <c r="AP36" s="266"/>
      <c r="AQ36" s="267"/>
      <c r="AR36" s="265"/>
      <c r="AS36" s="266"/>
      <c r="AT36" s="266"/>
      <c r="AU36" s="267"/>
      <c r="AV36" s="265"/>
      <c r="AW36" s="266"/>
      <c r="AX36" s="266"/>
      <c r="AY36" s="267"/>
      <c r="AZ36" s="265"/>
      <c r="BA36" s="266"/>
      <c r="BB36" s="266"/>
      <c r="BC36" s="267"/>
      <c r="BD36" s="265"/>
      <c r="BE36" s="266"/>
      <c r="BF36" s="266"/>
      <c r="BG36" s="267"/>
      <c r="BH36" s="265"/>
      <c r="BI36" s="266"/>
      <c r="BJ36" s="266"/>
      <c r="BK36" s="267"/>
      <c r="BL36" s="265"/>
      <c r="BM36" s="266"/>
      <c r="BN36" s="266"/>
      <c r="BO36" s="267"/>
      <c r="BP36" s="265"/>
      <c r="BQ36" s="266"/>
      <c r="BR36" s="266"/>
      <c r="BS36" s="267"/>
      <c r="BT36" s="278"/>
      <c r="BU36" s="278"/>
      <c r="BV36" s="278"/>
      <c r="BW36" s="278"/>
      <c r="BX36" s="278"/>
      <c r="BY36" s="280"/>
      <c r="BZ36" s="269"/>
      <c r="CA36" s="269"/>
      <c r="CB36" s="269"/>
      <c r="CC36" s="269"/>
      <c r="CD36" s="271"/>
      <c r="CE36" s="273"/>
    </row>
    <row r="37" spans="2:83" ht="30" customHeight="1" x14ac:dyDescent="0.15">
      <c r="B37" s="131">
        <v>1</v>
      </c>
      <c r="C37" s="132" t="str">
        <f>REPT("|", (D37*100))</f>
        <v>||||||||||||||||||</v>
      </c>
      <c r="D37" s="147">
        <f>'S05 Req Weights'!K3</f>
        <v>0.18333333333333332</v>
      </c>
      <c r="E37" s="182" t="str">
        <f>IF(COUNTIF(H37:BP37,"●"),9,IF(COUNTIF(H37:BP37,"○"),3,IF(COUNTIF(H37:BP37,"▽"),1,"")))</f>
        <v/>
      </c>
      <c r="F37" s="274" t="str">
        <f>'S05 Req Weights'!A3</f>
        <v>Style</v>
      </c>
      <c r="G37" s="274"/>
      <c r="H37" s="275"/>
      <c r="I37" s="276"/>
      <c r="J37" s="276"/>
      <c r="K37" s="277"/>
      <c r="L37" s="275"/>
      <c r="M37" s="276"/>
      <c r="N37" s="276"/>
      <c r="O37" s="277"/>
      <c r="P37" s="275"/>
      <c r="Q37" s="276"/>
      <c r="R37" s="276"/>
      <c r="S37" s="277"/>
      <c r="T37" s="275"/>
      <c r="U37" s="276"/>
      <c r="V37" s="276"/>
      <c r="W37" s="277"/>
      <c r="X37" s="275"/>
      <c r="Y37" s="276"/>
      <c r="Z37" s="276"/>
      <c r="AA37" s="277"/>
      <c r="AB37" s="275"/>
      <c r="AC37" s="276"/>
      <c r="AD37" s="276"/>
      <c r="AE37" s="277"/>
      <c r="AF37" s="275"/>
      <c r="AG37" s="276"/>
      <c r="AH37" s="276"/>
      <c r="AI37" s="277"/>
      <c r="AJ37" s="275"/>
      <c r="AK37" s="276"/>
      <c r="AL37" s="276"/>
      <c r="AM37" s="277"/>
      <c r="AN37" s="275"/>
      <c r="AO37" s="276"/>
      <c r="AP37" s="276"/>
      <c r="AQ37" s="277"/>
      <c r="AR37" s="275"/>
      <c r="AS37" s="276"/>
      <c r="AT37" s="276"/>
      <c r="AU37" s="277"/>
      <c r="AV37" s="275"/>
      <c r="AW37" s="276"/>
      <c r="AX37" s="276"/>
      <c r="AY37" s="277"/>
      <c r="AZ37" s="275"/>
      <c r="BA37" s="276"/>
      <c r="BB37" s="276"/>
      <c r="BC37" s="277"/>
      <c r="BD37" s="275"/>
      <c r="BE37" s="276"/>
      <c r="BF37" s="276"/>
      <c r="BG37" s="277"/>
      <c r="BH37" s="275"/>
      <c r="BI37" s="276"/>
      <c r="BJ37" s="276"/>
      <c r="BK37" s="277"/>
      <c r="BL37" s="275"/>
      <c r="BM37" s="276"/>
      <c r="BN37" s="276"/>
      <c r="BO37" s="277"/>
      <c r="BP37" s="275"/>
      <c r="BQ37" s="276"/>
      <c r="BR37" s="276"/>
      <c r="BS37" s="277"/>
      <c r="BT37" s="133"/>
      <c r="BU37" s="133">
        <v>4</v>
      </c>
      <c r="BV37" s="133">
        <v>3</v>
      </c>
      <c r="BW37" s="133">
        <v>3</v>
      </c>
      <c r="BX37" s="133">
        <v>3</v>
      </c>
      <c r="BY37" s="281"/>
      <c r="CE37" s="131">
        <v>1</v>
      </c>
    </row>
    <row r="38" spans="2:83" ht="30" customHeight="1" x14ac:dyDescent="0.15">
      <c r="B38" s="131">
        <v>2</v>
      </c>
      <c r="C38" s="132" t="str">
        <f t="shared" ref="C38:C42" si="0">REPT("|", (D38*100))</f>
        <v>|||||||||||</v>
      </c>
      <c r="D38" s="147">
        <f>'S05 Req Weights'!K4</f>
        <v>0.11666666666666667</v>
      </c>
      <c r="E38" s="182" t="str">
        <f t="shared" ref="E38:E52" si="1">IF(COUNTIF(H38:BP38,"●"),9,IF(COUNTIF(H38:BP38,"○"),3,IF(COUNTIF(H38:BP38,"▽"),1,"")))</f>
        <v/>
      </c>
      <c r="F38" s="274" t="str">
        <f>'S05 Req Weights'!A4</f>
        <v>Lightweight</v>
      </c>
      <c r="G38" s="274"/>
      <c r="H38" s="275"/>
      <c r="I38" s="276"/>
      <c r="J38" s="276"/>
      <c r="K38" s="277"/>
      <c r="L38" s="275"/>
      <c r="M38" s="276"/>
      <c r="N38" s="276"/>
      <c r="O38" s="277"/>
      <c r="P38" s="275"/>
      <c r="Q38" s="276"/>
      <c r="R38" s="276"/>
      <c r="S38" s="277"/>
      <c r="T38" s="275"/>
      <c r="U38" s="276"/>
      <c r="V38" s="276"/>
      <c r="W38" s="277"/>
      <c r="X38" s="275"/>
      <c r="Y38" s="276"/>
      <c r="Z38" s="276"/>
      <c r="AA38" s="277"/>
      <c r="AB38" s="275"/>
      <c r="AC38" s="276"/>
      <c r="AD38" s="276"/>
      <c r="AE38" s="277"/>
      <c r="AF38" s="275"/>
      <c r="AG38" s="276"/>
      <c r="AH38" s="276"/>
      <c r="AI38" s="277"/>
      <c r="AJ38" s="275"/>
      <c r="AK38" s="276"/>
      <c r="AL38" s="276"/>
      <c r="AM38" s="277"/>
      <c r="AN38" s="275"/>
      <c r="AO38" s="276"/>
      <c r="AP38" s="276"/>
      <c r="AQ38" s="277"/>
      <c r="AR38" s="275"/>
      <c r="AS38" s="276"/>
      <c r="AT38" s="276"/>
      <c r="AU38" s="277"/>
      <c r="AV38" s="275"/>
      <c r="AW38" s="276"/>
      <c r="AX38" s="276"/>
      <c r="AY38" s="277"/>
      <c r="AZ38" s="275"/>
      <c r="BA38" s="276"/>
      <c r="BB38" s="276"/>
      <c r="BC38" s="277"/>
      <c r="BD38" s="275"/>
      <c r="BE38" s="276"/>
      <c r="BF38" s="276"/>
      <c r="BG38" s="277"/>
      <c r="BH38" s="275"/>
      <c r="BI38" s="276"/>
      <c r="BJ38" s="276"/>
      <c r="BK38" s="277"/>
      <c r="BL38" s="275"/>
      <c r="BM38" s="276"/>
      <c r="BN38" s="276"/>
      <c r="BO38" s="277"/>
      <c r="BP38" s="275"/>
      <c r="BQ38" s="276"/>
      <c r="BR38" s="276"/>
      <c r="BS38" s="277"/>
      <c r="BT38" s="133"/>
      <c r="BU38" s="133">
        <v>3</v>
      </c>
      <c r="BV38" s="133">
        <v>3</v>
      </c>
      <c r="BW38" s="133">
        <v>3</v>
      </c>
      <c r="BX38" s="133">
        <v>3</v>
      </c>
      <c r="BY38" s="281"/>
      <c r="CE38" s="131">
        <v>2</v>
      </c>
    </row>
    <row r="39" spans="2:83" ht="30" customHeight="1" x14ac:dyDescent="0.15">
      <c r="B39" s="131">
        <v>3</v>
      </c>
      <c r="C39" s="132" t="str">
        <f t="shared" si="0"/>
        <v>||||||||||||||||||</v>
      </c>
      <c r="D39" s="147">
        <f>'S05 Req Weights'!K5</f>
        <v>0.18333333333333332</v>
      </c>
      <c r="E39" s="182" t="str">
        <f t="shared" si="1"/>
        <v/>
      </c>
      <c r="F39" s="274" t="str">
        <f>'S05 Req Weights'!A5</f>
        <v>Durable</v>
      </c>
      <c r="G39" s="274"/>
      <c r="H39" s="275"/>
      <c r="I39" s="276"/>
      <c r="J39" s="276"/>
      <c r="K39" s="277"/>
      <c r="L39" s="275"/>
      <c r="M39" s="276"/>
      <c r="N39" s="276"/>
      <c r="O39" s="277"/>
      <c r="P39" s="275"/>
      <c r="Q39" s="276"/>
      <c r="R39" s="276"/>
      <c r="S39" s="277"/>
      <c r="T39" s="275"/>
      <c r="U39" s="276"/>
      <c r="V39" s="276"/>
      <c r="W39" s="277"/>
      <c r="X39" s="275"/>
      <c r="Y39" s="276"/>
      <c r="Z39" s="276"/>
      <c r="AA39" s="277"/>
      <c r="AB39" s="275"/>
      <c r="AC39" s="276"/>
      <c r="AD39" s="276"/>
      <c r="AE39" s="277"/>
      <c r="AF39" s="275"/>
      <c r="AG39" s="276"/>
      <c r="AH39" s="276"/>
      <c r="AI39" s="277"/>
      <c r="AJ39" s="275"/>
      <c r="AK39" s="276"/>
      <c r="AL39" s="276"/>
      <c r="AM39" s="277"/>
      <c r="AN39" s="275"/>
      <c r="AO39" s="276"/>
      <c r="AP39" s="276"/>
      <c r="AQ39" s="277"/>
      <c r="AR39" s="275"/>
      <c r="AS39" s="276"/>
      <c r="AT39" s="276"/>
      <c r="AU39" s="277"/>
      <c r="AV39" s="275"/>
      <c r="AW39" s="276"/>
      <c r="AX39" s="276"/>
      <c r="AY39" s="277"/>
      <c r="AZ39" s="275"/>
      <c r="BA39" s="276"/>
      <c r="BB39" s="276"/>
      <c r="BC39" s="277"/>
      <c r="BD39" s="275"/>
      <c r="BE39" s="276"/>
      <c r="BF39" s="276"/>
      <c r="BG39" s="277"/>
      <c r="BH39" s="275"/>
      <c r="BI39" s="276"/>
      <c r="BJ39" s="276"/>
      <c r="BK39" s="277"/>
      <c r="BL39" s="275"/>
      <c r="BM39" s="276"/>
      <c r="BN39" s="276"/>
      <c r="BO39" s="277"/>
      <c r="BP39" s="275"/>
      <c r="BQ39" s="276"/>
      <c r="BR39" s="276"/>
      <c r="BS39" s="277"/>
      <c r="BT39" s="133"/>
      <c r="BU39" s="133">
        <v>4</v>
      </c>
      <c r="BV39" s="133">
        <v>2</v>
      </c>
      <c r="BW39" s="133">
        <v>3</v>
      </c>
      <c r="BX39" s="133">
        <v>4</v>
      </c>
      <c r="BY39" s="281"/>
      <c r="CE39" s="131">
        <v>3</v>
      </c>
    </row>
    <row r="40" spans="2:83" ht="30" customHeight="1" x14ac:dyDescent="0.15">
      <c r="B40" s="131">
        <v>4</v>
      </c>
      <c r="C40" s="132" t="str">
        <f t="shared" si="0"/>
        <v>||||||||||</v>
      </c>
      <c r="D40" s="147">
        <f>'S05 Req Weights'!K6</f>
        <v>0.1</v>
      </c>
      <c r="E40" s="182" t="str">
        <f t="shared" si="1"/>
        <v/>
      </c>
      <c r="F40" s="274" t="str">
        <f>'S05 Req Weights'!A6</f>
        <v>Simple locking system</v>
      </c>
      <c r="G40" s="274"/>
      <c r="H40" s="275"/>
      <c r="I40" s="276"/>
      <c r="J40" s="276"/>
      <c r="K40" s="277"/>
      <c r="L40" s="275"/>
      <c r="M40" s="276"/>
      <c r="N40" s="276"/>
      <c r="O40" s="277"/>
      <c r="P40" s="275"/>
      <c r="Q40" s="276"/>
      <c r="R40" s="276"/>
      <c r="S40" s="277"/>
      <c r="T40" s="275"/>
      <c r="U40" s="276"/>
      <c r="V40" s="276"/>
      <c r="W40" s="277"/>
      <c r="X40" s="275"/>
      <c r="Y40" s="276"/>
      <c r="Z40" s="276"/>
      <c r="AA40" s="277"/>
      <c r="AB40" s="275"/>
      <c r="AC40" s="276"/>
      <c r="AD40" s="276"/>
      <c r="AE40" s="277"/>
      <c r="AF40" s="275"/>
      <c r="AG40" s="276"/>
      <c r="AH40" s="276"/>
      <c r="AI40" s="277"/>
      <c r="AJ40" s="275"/>
      <c r="AK40" s="276"/>
      <c r="AL40" s="276"/>
      <c r="AM40" s="277"/>
      <c r="AN40" s="275"/>
      <c r="AO40" s="276"/>
      <c r="AP40" s="276"/>
      <c r="AQ40" s="277"/>
      <c r="AR40" s="275"/>
      <c r="AS40" s="276"/>
      <c r="AT40" s="276"/>
      <c r="AU40" s="277"/>
      <c r="AV40" s="275"/>
      <c r="AW40" s="276"/>
      <c r="AX40" s="276"/>
      <c r="AY40" s="277"/>
      <c r="AZ40" s="275"/>
      <c r="BA40" s="276"/>
      <c r="BB40" s="276"/>
      <c r="BC40" s="277"/>
      <c r="BD40" s="275"/>
      <c r="BE40" s="276"/>
      <c r="BF40" s="276"/>
      <c r="BG40" s="277"/>
      <c r="BH40" s="275"/>
      <c r="BI40" s="276"/>
      <c r="BJ40" s="276"/>
      <c r="BK40" s="277"/>
      <c r="BL40" s="275"/>
      <c r="BM40" s="276"/>
      <c r="BN40" s="276"/>
      <c r="BO40" s="277"/>
      <c r="BP40" s="275"/>
      <c r="BQ40" s="276"/>
      <c r="BR40" s="276"/>
      <c r="BS40" s="277"/>
      <c r="BT40" s="133"/>
      <c r="BU40" s="133">
        <v>5</v>
      </c>
      <c r="BV40" s="133">
        <v>2</v>
      </c>
      <c r="BW40" s="133">
        <v>2</v>
      </c>
      <c r="BX40" s="133">
        <v>4</v>
      </c>
      <c r="BY40" s="281"/>
      <c r="CE40" s="131">
        <v>4</v>
      </c>
    </row>
    <row r="41" spans="2:83" ht="30" customHeight="1" x14ac:dyDescent="0.15">
      <c r="B41" s="131">
        <v>5</v>
      </c>
      <c r="C41" s="132" t="str">
        <f t="shared" si="0"/>
        <v>|||||||||||||||||||||||</v>
      </c>
      <c r="D41" s="147">
        <f>'S05 Req Weights'!K7</f>
        <v>0.23333333333333334</v>
      </c>
      <c r="E41" s="182" t="str">
        <f t="shared" si="1"/>
        <v/>
      </c>
      <c r="F41" s="274" t="str">
        <f>'S05 Req Weights'!A7</f>
        <v>Short charging time</v>
      </c>
      <c r="G41" s="274"/>
      <c r="H41" s="275"/>
      <c r="I41" s="276"/>
      <c r="J41" s="276"/>
      <c r="K41" s="277"/>
      <c r="L41" s="275"/>
      <c r="M41" s="276"/>
      <c r="N41" s="276"/>
      <c r="O41" s="277"/>
      <c r="P41" s="275"/>
      <c r="Q41" s="276"/>
      <c r="R41" s="276"/>
      <c r="S41" s="277"/>
      <c r="T41" s="275"/>
      <c r="U41" s="276"/>
      <c r="V41" s="276"/>
      <c r="W41" s="277"/>
      <c r="X41" s="275"/>
      <c r="Y41" s="276"/>
      <c r="Z41" s="276"/>
      <c r="AA41" s="277"/>
      <c r="AB41" s="275"/>
      <c r="AC41" s="276"/>
      <c r="AD41" s="276"/>
      <c r="AE41" s="277"/>
      <c r="AF41" s="275"/>
      <c r="AG41" s="276"/>
      <c r="AH41" s="276"/>
      <c r="AI41" s="277"/>
      <c r="AJ41" s="275"/>
      <c r="AK41" s="276"/>
      <c r="AL41" s="276"/>
      <c r="AM41" s="277"/>
      <c r="AN41" s="275"/>
      <c r="AO41" s="276"/>
      <c r="AP41" s="276"/>
      <c r="AQ41" s="277"/>
      <c r="AR41" s="275"/>
      <c r="AS41" s="276"/>
      <c r="AT41" s="276"/>
      <c r="AU41" s="277"/>
      <c r="AV41" s="275"/>
      <c r="AW41" s="276"/>
      <c r="AX41" s="276"/>
      <c r="AY41" s="277"/>
      <c r="AZ41" s="275"/>
      <c r="BA41" s="276"/>
      <c r="BB41" s="276"/>
      <c r="BC41" s="277"/>
      <c r="BD41" s="275"/>
      <c r="BE41" s="276"/>
      <c r="BF41" s="276"/>
      <c r="BG41" s="277"/>
      <c r="BH41" s="275"/>
      <c r="BI41" s="276"/>
      <c r="BJ41" s="276"/>
      <c r="BK41" s="277"/>
      <c r="BL41" s="275"/>
      <c r="BM41" s="276"/>
      <c r="BN41" s="276"/>
      <c r="BO41" s="277"/>
      <c r="BP41" s="275"/>
      <c r="BQ41" s="276"/>
      <c r="BR41" s="276"/>
      <c r="BS41" s="277"/>
      <c r="BT41" s="133"/>
      <c r="BU41" s="133">
        <v>3</v>
      </c>
      <c r="BV41" s="133">
        <v>3</v>
      </c>
      <c r="BW41" s="133">
        <v>3</v>
      </c>
      <c r="BX41" s="133">
        <v>3</v>
      </c>
      <c r="BY41" s="281"/>
      <c r="CE41" s="131">
        <v>5</v>
      </c>
    </row>
    <row r="42" spans="2:83" ht="30" customHeight="1" x14ac:dyDescent="0.15">
      <c r="B42" s="131">
        <v>6</v>
      </c>
      <c r="C42" s="132" t="str">
        <f t="shared" si="0"/>
        <v>||||||||||||||||||</v>
      </c>
      <c r="D42" s="147">
        <f>'S05 Req Weights'!K8</f>
        <v>0.18333333333333332</v>
      </c>
      <c r="E42" s="182" t="str">
        <f t="shared" si="1"/>
        <v/>
      </c>
      <c r="F42" s="274" t="str">
        <f>'S05 Req Weights'!A8</f>
        <v>Easy-to-replace parts</v>
      </c>
      <c r="G42" s="274"/>
      <c r="H42" s="275"/>
      <c r="I42" s="276"/>
      <c r="J42" s="276"/>
      <c r="K42" s="277"/>
      <c r="L42" s="275"/>
      <c r="M42" s="276"/>
      <c r="N42" s="276"/>
      <c r="O42" s="277"/>
      <c r="P42" s="275"/>
      <c r="Q42" s="276"/>
      <c r="R42" s="276"/>
      <c r="S42" s="277"/>
      <c r="T42" s="275"/>
      <c r="U42" s="276"/>
      <c r="V42" s="276"/>
      <c r="W42" s="277"/>
      <c r="X42" s="275"/>
      <c r="Y42" s="276"/>
      <c r="Z42" s="276"/>
      <c r="AA42" s="277"/>
      <c r="AB42" s="275"/>
      <c r="AC42" s="276"/>
      <c r="AD42" s="276"/>
      <c r="AE42" s="277"/>
      <c r="AF42" s="275"/>
      <c r="AG42" s="276"/>
      <c r="AH42" s="276"/>
      <c r="AI42" s="277"/>
      <c r="AJ42" s="275"/>
      <c r="AK42" s="276"/>
      <c r="AL42" s="276"/>
      <c r="AM42" s="277"/>
      <c r="AN42" s="275"/>
      <c r="AO42" s="276"/>
      <c r="AP42" s="276"/>
      <c r="AQ42" s="277"/>
      <c r="AR42" s="275"/>
      <c r="AS42" s="276"/>
      <c r="AT42" s="276"/>
      <c r="AU42" s="277"/>
      <c r="AV42" s="275"/>
      <c r="AW42" s="276"/>
      <c r="AX42" s="276"/>
      <c r="AY42" s="277"/>
      <c r="AZ42" s="275"/>
      <c r="BA42" s="276"/>
      <c r="BB42" s="276"/>
      <c r="BC42" s="277"/>
      <c r="BD42" s="275"/>
      <c r="BE42" s="276"/>
      <c r="BF42" s="276"/>
      <c r="BG42" s="277"/>
      <c r="BH42" s="275"/>
      <c r="BI42" s="276"/>
      <c r="BJ42" s="276"/>
      <c r="BK42" s="277"/>
      <c r="BL42" s="275"/>
      <c r="BM42" s="276"/>
      <c r="BN42" s="276"/>
      <c r="BO42" s="277"/>
      <c r="BP42" s="275"/>
      <c r="BQ42" s="276"/>
      <c r="BR42" s="276"/>
      <c r="BS42" s="277"/>
      <c r="BT42" s="133"/>
      <c r="BU42" s="133">
        <v>4</v>
      </c>
      <c r="BV42" s="133">
        <v>2</v>
      </c>
      <c r="BW42" s="133">
        <v>2</v>
      </c>
      <c r="BX42" s="133">
        <v>2</v>
      </c>
      <c r="BY42" s="281"/>
      <c r="CE42" s="131">
        <v>6</v>
      </c>
    </row>
    <row r="43" spans="2:83" ht="30" customHeight="1" x14ac:dyDescent="0.15">
      <c r="B43" s="131">
        <v>7</v>
      </c>
      <c r="C43" s="132"/>
      <c r="D43" s="182"/>
      <c r="E43" s="182" t="str">
        <f t="shared" si="1"/>
        <v/>
      </c>
      <c r="F43" s="274" t="str">
        <f>'S05 Req Weights'!A9</f>
        <v>Different sizes</v>
      </c>
      <c r="G43" s="274"/>
      <c r="H43" s="275"/>
      <c r="I43" s="276"/>
      <c r="J43" s="276"/>
      <c r="K43" s="277"/>
      <c r="L43" s="275"/>
      <c r="M43" s="276"/>
      <c r="N43" s="276"/>
      <c r="O43" s="277"/>
      <c r="P43" s="275"/>
      <c r="Q43" s="276"/>
      <c r="R43" s="276"/>
      <c r="S43" s="277"/>
      <c r="T43" s="275"/>
      <c r="U43" s="276"/>
      <c r="V43" s="276"/>
      <c r="W43" s="277"/>
      <c r="X43" s="275"/>
      <c r="Y43" s="276"/>
      <c r="Z43" s="276"/>
      <c r="AA43" s="277"/>
      <c r="AB43" s="275"/>
      <c r="AC43" s="276"/>
      <c r="AD43" s="276"/>
      <c r="AE43" s="277"/>
      <c r="AF43" s="275"/>
      <c r="AG43" s="276"/>
      <c r="AH43" s="276"/>
      <c r="AI43" s="277"/>
      <c r="AJ43" s="275"/>
      <c r="AK43" s="276"/>
      <c r="AL43" s="276"/>
      <c r="AM43" s="277"/>
      <c r="AN43" s="275"/>
      <c r="AO43" s="276"/>
      <c r="AP43" s="276"/>
      <c r="AQ43" s="277"/>
      <c r="AR43" s="275"/>
      <c r="AS43" s="276"/>
      <c r="AT43" s="276"/>
      <c r="AU43" s="277"/>
      <c r="AV43" s="275"/>
      <c r="AW43" s="276"/>
      <c r="AX43" s="276"/>
      <c r="AY43" s="277"/>
      <c r="AZ43" s="275"/>
      <c r="BA43" s="276"/>
      <c r="BB43" s="276"/>
      <c r="BC43" s="277"/>
      <c r="BD43" s="275"/>
      <c r="BE43" s="276"/>
      <c r="BF43" s="276"/>
      <c r="BG43" s="277"/>
      <c r="BH43" s="275"/>
      <c r="BI43" s="276"/>
      <c r="BJ43" s="276"/>
      <c r="BK43" s="277"/>
      <c r="BL43" s="275"/>
      <c r="BM43" s="276"/>
      <c r="BN43" s="276"/>
      <c r="BO43" s="277"/>
      <c r="BP43" s="275"/>
      <c r="BQ43" s="276"/>
      <c r="BR43" s="276"/>
      <c r="BS43" s="277"/>
      <c r="BT43" s="133">
        <v>2</v>
      </c>
      <c r="BU43" s="133">
        <v>5</v>
      </c>
      <c r="BV43" s="133">
        <v>2</v>
      </c>
      <c r="BW43" s="133">
        <v>3</v>
      </c>
      <c r="BX43" s="133">
        <v>3</v>
      </c>
      <c r="BY43" s="281"/>
      <c r="CE43" s="131">
        <v>7</v>
      </c>
    </row>
    <row r="44" spans="2:83" ht="30" customHeight="1" x14ac:dyDescent="0.15">
      <c r="B44" s="131">
        <v>8</v>
      </c>
      <c r="C44" s="132"/>
      <c r="D44" s="182"/>
      <c r="E44" s="182" t="str">
        <f t="shared" si="1"/>
        <v/>
      </c>
      <c r="F44" s="274" t="str">
        <f>'S05 Req Weights'!A10</f>
        <v>Long-lasting battery</v>
      </c>
      <c r="G44" s="274"/>
      <c r="H44" s="275"/>
      <c r="I44" s="276"/>
      <c r="J44" s="276"/>
      <c r="K44" s="277"/>
      <c r="L44" s="275"/>
      <c r="M44" s="276"/>
      <c r="N44" s="276"/>
      <c r="O44" s="277"/>
      <c r="P44" s="275"/>
      <c r="Q44" s="276"/>
      <c r="R44" s="276"/>
      <c r="S44" s="277"/>
      <c r="T44" s="275"/>
      <c r="U44" s="276"/>
      <c r="V44" s="276"/>
      <c r="W44" s="277"/>
      <c r="X44" s="275"/>
      <c r="Y44" s="276"/>
      <c r="Z44" s="276"/>
      <c r="AA44" s="277"/>
      <c r="AB44" s="275"/>
      <c r="AC44" s="276"/>
      <c r="AD44" s="276"/>
      <c r="AE44" s="277"/>
      <c r="AF44" s="275"/>
      <c r="AG44" s="276"/>
      <c r="AH44" s="276"/>
      <c r="AI44" s="277"/>
      <c r="AJ44" s="275"/>
      <c r="AK44" s="276"/>
      <c r="AL44" s="276"/>
      <c r="AM44" s="277"/>
      <c r="AN44" s="275"/>
      <c r="AO44" s="276"/>
      <c r="AP44" s="276"/>
      <c r="AQ44" s="277"/>
      <c r="AR44" s="275"/>
      <c r="AS44" s="276"/>
      <c r="AT44" s="276"/>
      <c r="AU44" s="277"/>
      <c r="AV44" s="275"/>
      <c r="AW44" s="276"/>
      <c r="AX44" s="276"/>
      <c r="AY44" s="277"/>
      <c r="AZ44" s="275"/>
      <c r="BA44" s="276"/>
      <c r="BB44" s="276"/>
      <c r="BC44" s="277"/>
      <c r="BD44" s="275"/>
      <c r="BE44" s="276"/>
      <c r="BF44" s="276"/>
      <c r="BG44" s="277"/>
      <c r="BH44" s="275"/>
      <c r="BI44" s="276"/>
      <c r="BJ44" s="276"/>
      <c r="BK44" s="277"/>
      <c r="BL44" s="275"/>
      <c r="BM44" s="276"/>
      <c r="BN44" s="276"/>
      <c r="BO44" s="277"/>
      <c r="BP44" s="275"/>
      <c r="BQ44" s="276"/>
      <c r="BR44" s="276"/>
      <c r="BS44" s="277"/>
      <c r="BT44" s="133">
        <v>4</v>
      </c>
      <c r="BU44" s="133">
        <v>3</v>
      </c>
      <c r="BV44" s="133">
        <v>2</v>
      </c>
      <c r="BW44" s="133">
        <v>2</v>
      </c>
      <c r="BX44" s="133">
        <v>4</v>
      </c>
      <c r="BY44" s="281"/>
      <c r="CE44" s="131">
        <v>8</v>
      </c>
    </row>
    <row r="45" spans="2:83" ht="30" customHeight="1" x14ac:dyDescent="0.15">
      <c r="B45" s="131">
        <v>9</v>
      </c>
      <c r="C45" s="132"/>
      <c r="D45" s="182"/>
      <c r="E45" s="182" t="str">
        <f t="shared" si="1"/>
        <v/>
      </c>
      <c r="F45" s="274" t="str">
        <f>'S05 Req Weights'!A11</f>
        <v>Display</v>
      </c>
      <c r="G45" s="274"/>
      <c r="H45" s="275"/>
      <c r="I45" s="276"/>
      <c r="J45" s="276"/>
      <c r="K45" s="277"/>
      <c r="L45" s="275"/>
      <c r="M45" s="276"/>
      <c r="N45" s="276"/>
      <c r="O45" s="277"/>
      <c r="P45" s="275"/>
      <c r="Q45" s="276"/>
      <c r="R45" s="276"/>
      <c r="S45" s="277"/>
      <c r="T45" s="275"/>
      <c r="U45" s="276"/>
      <c r="V45" s="276"/>
      <c r="W45" s="277"/>
      <c r="X45" s="275"/>
      <c r="Y45" s="276"/>
      <c r="Z45" s="276"/>
      <c r="AA45" s="277"/>
      <c r="AB45" s="275"/>
      <c r="AC45" s="276"/>
      <c r="AD45" s="276"/>
      <c r="AE45" s="277"/>
      <c r="AF45" s="275"/>
      <c r="AG45" s="276"/>
      <c r="AH45" s="276"/>
      <c r="AI45" s="277"/>
      <c r="AJ45" s="275"/>
      <c r="AK45" s="276"/>
      <c r="AL45" s="276"/>
      <c r="AM45" s="277"/>
      <c r="AN45" s="275"/>
      <c r="AO45" s="276"/>
      <c r="AP45" s="276"/>
      <c r="AQ45" s="277"/>
      <c r="AR45" s="275"/>
      <c r="AS45" s="276"/>
      <c r="AT45" s="276"/>
      <c r="AU45" s="277"/>
      <c r="AV45" s="275"/>
      <c r="AW45" s="276"/>
      <c r="AX45" s="276"/>
      <c r="AY45" s="277"/>
      <c r="AZ45" s="275"/>
      <c r="BA45" s="276"/>
      <c r="BB45" s="276"/>
      <c r="BC45" s="277"/>
      <c r="BD45" s="275"/>
      <c r="BE45" s="276"/>
      <c r="BF45" s="276"/>
      <c r="BG45" s="277"/>
      <c r="BH45" s="275"/>
      <c r="BI45" s="276"/>
      <c r="BJ45" s="276"/>
      <c r="BK45" s="277"/>
      <c r="BL45" s="275"/>
      <c r="BM45" s="276"/>
      <c r="BN45" s="276"/>
      <c r="BO45" s="277"/>
      <c r="BP45" s="275"/>
      <c r="BQ45" s="276"/>
      <c r="BR45" s="276"/>
      <c r="BS45" s="277"/>
      <c r="BT45" s="133">
        <v>3</v>
      </c>
      <c r="BU45" s="133">
        <v>4</v>
      </c>
      <c r="BV45" s="133">
        <v>1</v>
      </c>
      <c r="BW45" s="133">
        <v>3</v>
      </c>
      <c r="BX45" s="133">
        <v>2</v>
      </c>
      <c r="BY45" s="281"/>
      <c r="CE45" s="131">
        <v>9</v>
      </c>
    </row>
    <row r="46" spans="2:83" ht="30" customHeight="1" x14ac:dyDescent="0.15">
      <c r="B46" s="131">
        <v>10</v>
      </c>
      <c r="C46" s="132"/>
      <c r="D46" s="182"/>
      <c r="E46" s="182" t="str">
        <f t="shared" si="1"/>
        <v/>
      </c>
      <c r="F46" s="274" t="str">
        <f>'S05 Req Weights'!A12</f>
        <v>Smartphone connectivity</v>
      </c>
      <c r="G46" s="274"/>
      <c r="H46" s="275"/>
      <c r="I46" s="276"/>
      <c r="J46" s="276"/>
      <c r="K46" s="277"/>
      <c r="L46" s="275"/>
      <c r="M46" s="276"/>
      <c r="N46" s="276"/>
      <c r="O46" s="277"/>
      <c r="P46" s="275"/>
      <c r="Q46" s="276"/>
      <c r="R46" s="276"/>
      <c r="S46" s="277"/>
      <c r="T46" s="275"/>
      <c r="U46" s="276"/>
      <c r="V46" s="276"/>
      <c r="W46" s="277"/>
      <c r="X46" s="275"/>
      <c r="Y46" s="276"/>
      <c r="Z46" s="276"/>
      <c r="AA46" s="277"/>
      <c r="AB46" s="275"/>
      <c r="AC46" s="276"/>
      <c r="AD46" s="276"/>
      <c r="AE46" s="277"/>
      <c r="AF46" s="275"/>
      <c r="AG46" s="276"/>
      <c r="AH46" s="276"/>
      <c r="AI46" s="277"/>
      <c r="AJ46" s="275"/>
      <c r="AK46" s="276"/>
      <c r="AL46" s="276"/>
      <c r="AM46" s="277"/>
      <c r="AN46" s="275"/>
      <c r="AO46" s="276"/>
      <c r="AP46" s="276"/>
      <c r="AQ46" s="277"/>
      <c r="AR46" s="275"/>
      <c r="AS46" s="276"/>
      <c r="AT46" s="276"/>
      <c r="AU46" s="277"/>
      <c r="AV46" s="275"/>
      <c r="AW46" s="276"/>
      <c r="AX46" s="276"/>
      <c r="AY46" s="277"/>
      <c r="AZ46" s="275"/>
      <c r="BA46" s="276"/>
      <c r="BB46" s="276"/>
      <c r="BC46" s="277"/>
      <c r="BD46" s="275"/>
      <c r="BE46" s="276"/>
      <c r="BF46" s="276"/>
      <c r="BG46" s="277"/>
      <c r="BH46" s="275"/>
      <c r="BI46" s="276"/>
      <c r="BJ46" s="276"/>
      <c r="BK46" s="277"/>
      <c r="BL46" s="275"/>
      <c r="BM46" s="276"/>
      <c r="BN46" s="276"/>
      <c r="BO46" s="277"/>
      <c r="BP46" s="275"/>
      <c r="BQ46" s="276"/>
      <c r="BR46" s="276"/>
      <c r="BS46" s="277"/>
      <c r="BT46" s="133">
        <v>2</v>
      </c>
      <c r="BU46" s="133">
        <v>4</v>
      </c>
      <c r="BV46" s="133">
        <v>3</v>
      </c>
      <c r="BW46" s="133">
        <v>1</v>
      </c>
      <c r="BX46" s="133">
        <v>3</v>
      </c>
      <c r="BY46" s="281"/>
      <c r="CE46" s="131">
        <v>10</v>
      </c>
    </row>
    <row r="47" spans="2:83" ht="30" customHeight="1" x14ac:dyDescent="0.15">
      <c r="B47" s="131">
        <v>11</v>
      </c>
      <c r="C47" s="132"/>
      <c r="D47" s="182"/>
      <c r="E47" s="182" t="str">
        <f t="shared" si="1"/>
        <v/>
      </c>
      <c r="F47" s="274" t="str">
        <f>'S05 Req Weights'!A13</f>
        <v>GPS tracking</v>
      </c>
      <c r="G47" s="274"/>
      <c r="H47" s="275"/>
      <c r="I47" s="276"/>
      <c r="J47" s="276"/>
      <c r="K47" s="277"/>
      <c r="L47" s="275"/>
      <c r="M47" s="276"/>
      <c r="N47" s="276"/>
      <c r="O47" s="277"/>
      <c r="P47" s="275"/>
      <c r="Q47" s="276"/>
      <c r="R47" s="276"/>
      <c r="S47" s="277"/>
      <c r="T47" s="275"/>
      <c r="U47" s="276"/>
      <c r="V47" s="276"/>
      <c r="W47" s="277"/>
      <c r="X47" s="275"/>
      <c r="Y47" s="276"/>
      <c r="Z47" s="276"/>
      <c r="AA47" s="277"/>
      <c r="AB47" s="275"/>
      <c r="AC47" s="276"/>
      <c r="AD47" s="276"/>
      <c r="AE47" s="277"/>
      <c r="AF47" s="275"/>
      <c r="AG47" s="276"/>
      <c r="AH47" s="276"/>
      <c r="AI47" s="277"/>
      <c r="AJ47" s="275"/>
      <c r="AK47" s="276"/>
      <c r="AL47" s="276"/>
      <c r="AM47" s="277"/>
      <c r="AN47" s="275"/>
      <c r="AO47" s="276"/>
      <c r="AP47" s="276"/>
      <c r="AQ47" s="277"/>
      <c r="AR47" s="275"/>
      <c r="AS47" s="276"/>
      <c r="AT47" s="276"/>
      <c r="AU47" s="277"/>
      <c r="AV47" s="275"/>
      <c r="AW47" s="276"/>
      <c r="AX47" s="276"/>
      <c r="AY47" s="277"/>
      <c r="AZ47" s="275"/>
      <c r="BA47" s="276"/>
      <c r="BB47" s="276"/>
      <c r="BC47" s="277"/>
      <c r="BD47" s="275"/>
      <c r="BE47" s="276"/>
      <c r="BF47" s="276"/>
      <c r="BG47" s="277"/>
      <c r="BH47" s="275"/>
      <c r="BI47" s="276"/>
      <c r="BJ47" s="276"/>
      <c r="BK47" s="277"/>
      <c r="BL47" s="275"/>
      <c r="BM47" s="276"/>
      <c r="BN47" s="276"/>
      <c r="BO47" s="277"/>
      <c r="BP47" s="275"/>
      <c r="BQ47" s="276"/>
      <c r="BR47" s="276"/>
      <c r="BS47" s="277"/>
      <c r="BT47" s="133">
        <v>4</v>
      </c>
      <c r="BU47" s="133">
        <v>2</v>
      </c>
      <c r="BV47" s="133">
        <v>4</v>
      </c>
      <c r="BW47" s="133">
        <v>4</v>
      </c>
      <c r="BX47" s="133">
        <v>1</v>
      </c>
      <c r="BY47" s="281"/>
      <c r="CE47" s="131">
        <v>11</v>
      </c>
    </row>
    <row r="48" spans="2:83" ht="30" customHeight="1" x14ac:dyDescent="0.15">
      <c r="B48" s="131">
        <v>12</v>
      </c>
      <c r="C48" s="132"/>
      <c r="D48" s="182"/>
      <c r="E48" s="182" t="str">
        <f t="shared" si="1"/>
        <v/>
      </c>
      <c r="F48" s="274" t="str">
        <f>'S05 Req Weights'!A14</f>
        <v>Basket</v>
      </c>
      <c r="G48" s="274"/>
      <c r="H48" s="275"/>
      <c r="I48" s="276"/>
      <c r="J48" s="276"/>
      <c r="K48" s="277"/>
      <c r="L48" s="275"/>
      <c r="M48" s="276"/>
      <c r="N48" s="276"/>
      <c r="O48" s="277"/>
      <c r="P48" s="275"/>
      <c r="Q48" s="276"/>
      <c r="R48" s="276"/>
      <c r="S48" s="277"/>
      <c r="T48" s="275"/>
      <c r="U48" s="276"/>
      <c r="V48" s="276"/>
      <c r="W48" s="277"/>
      <c r="X48" s="275"/>
      <c r="Y48" s="276"/>
      <c r="Z48" s="276"/>
      <c r="AA48" s="277"/>
      <c r="AB48" s="275"/>
      <c r="AC48" s="276"/>
      <c r="AD48" s="276"/>
      <c r="AE48" s="277"/>
      <c r="AF48" s="275"/>
      <c r="AG48" s="276"/>
      <c r="AH48" s="276"/>
      <c r="AI48" s="277"/>
      <c r="AJ48" s="275"/>
      <c r="AK48" s="276"/>
      <c r="AL48" s="276"/>
      <c r="AM48" s="277"/>
      <c r="AN48" s="275"/>
      <c r="AO48" s="276"/>
      <c r="AP48" s="276"/>
      <c r="AQ48" s="277"/>
      <c r="AR48" s="275"/>
      <c r="AS48" s="276"/>
      <c r="AT48" s="276"/>
      <c r="AU48" s="277"/>
      <c r="AV48" s="275"/>
      <c r="AW48" s="276"/>
      <c r="AX48" s="276"/>
      <c r="AY48" s="277"/>
      <c r="AZ48" s="275"/>
      <c r="BA48" s="276"/>
      <c r="BB48" s="276"/>
      <c r="BC48" s="277"/>
      <c r="BD48" s="275"/>
      <c r="BE48" s="276"/>
      <c r="BF48" s="276"/>
      <c r="BG48" s="277"/>
      <c r="BH48" s="275"/>
      <c r="BI48" s="276"/>
      <c r="BJ48" s="276"/>
      <c r="BK48" s="277"/>
      <c r="BL48" s="275"/>
      <c r="BM48" s="276"/>
      <c r="BN48" s="276"/>
      <c r="BO48" s="277"/>
      <c r="BP48" s="275"/>
      <c r="BQ48" s="276"/>
      <c r="BR48" s="276"/>
      <c r="BS48" s="277"/>
      <c r="BT48" s="133">
        <v>5</v>
      </c>
      <c r="BU48" s="133">
        <v>1</v>
      </c>
      <c r="BV48" s="133">
        <v>5</v>
      </c>
      <c r="BW48" s="133">
        <v>2</v>
      </c>
      <c r="BX48" s="133">
        <v>2</v>
      </c>
      <c r="BY48" s="281"/>
      <c r="CE48" s="131">
        <v>12</v>
      </c>
    </row>
    <row r="49" spans="2:83" ht="30" customHeight="1" x14ac:dyDescent="0.15">
      <c r="B49" s="131">
        <v>13</v>
      </c>
      <c r="C49" s="132"/>
      <c r="D49" s="182"/>
      <c r="E49" s="182" t="str">
        <f t="shared" si="1"/>
        <v/>
      </c>
      <c r="F49" s="274" t="str">
        <f>'S05 Req Weights'!A15</f>
        <v>Gear system</v>
      </c>
      <c r="G49" s="274"/>
      <c r="H49" s="275"/>
      <c r="I49" s="276"/>
      <c r="J49" s="276"/>
      <c r="K49" s="277"/>
      <c r="L49" s="275"/>
      <c r="M49" s="276"/>
      <c r="N49" s="276"/>
      <c r="O49" s="277"/>
      <c r="P49" s="275"/>
      <c r="Q49" s="276"/>
      <c r="R49" s="276"/>
      <c r="S49" s="277"/>
      <c r="T49" s="275"/>
      <c r="U49" s="276"/>
      <c r="V49" s="276"/>
      <c r="W49" s="277"/>
      <c r="X49" s="275"/>
      <c r="Y49" s="276"/>
      <c r="Z49" s="276"/>
      <c r="AA49" s="277"/>
      <c r="AB49" s="275"/>
      <c r="AC49" s="276"/>
      <c r="AD49" s="276"/>
      <c r="AE49" s="277"/>
      <c r="AF49" s="275"/>
      <c r="AG49" s="276"/>
      <c r="AH49" s="276"/>
      <c r="AI49" s="277"/>
      <c r="AJ49" s="275"/>
      <c r="AK49" s="276"/>
      <c r="AL49" s="276"/>
      <c r="AM49" s="277"/>
      <c r="AN49" s="275"/>
      <c r="AO49" s="276"/>
      <c r="AP49" s="276"/>
      <c r="AQ49" s="277"/>
      <c r="AR49" s="275"/>
      <c r="AS49" s="276"/>
      <c r="AT49" s="276"/>
      <c r="AU49" s="277"/>
      <c r="AV49" s="275"/>
      <c r="AW49" s="276"/>
      <c r="AX49" s="276"/>
      <c r="AY49" s="277"/>
      <c r="AZ49" s="275"/>
      <c r="BA49" s="276"/>
      <c r="BB49" s="276"/>
      <c r="BC49" s="277"/>
      <c r="BD49" s="275"/>
      <c r="BE49" s="276"/>
      <c r="BF49" s="276"/>
      <c r="BG49" s="277"/>
      <c r="BH49" s="275"/>
      <c r="BI49" s="276"/>
      <c r="BJ49" s="276"/>
      <c r="BK49" s="277"/>
      <c r="BL49" s="275"/>
      <c r="BM49" s="276"/>
      <c r="BN49" s="276"/>
      <c r="BO49" s="277"/>
      <c r="BP49" s="275"/>
      <c r="BQ49" s="276"/>
      <c r="BR49" s="276"/>
      <c r="BS49" s="277"/>
      <c r="BT49" s="133">
        <v>3</v>
      </c>
      <c r="BU49" s="133">
        <v>2</v>
      </c>
      <c r="BV49" s="133">
        <v>5</v>
      </c>
      <c r="BW49" s="133">
        <v>1</v>
      </c>
      <c r="BX49" s="133">
        <v>1</v>
      </c>
      <c r="BY49" s="281"/>
      <c r="CE49" s="131">
        <v>13</v>
      </c>
    </row>
    <row r="50" spans="2:83" ht="30" customHeight="1" x14ac:dyDescent="0.15">
      <c r="B50" s="131">
        <v>14</v>
      </c>
      <c r="C50" s="132"/>
      <c r="D50" s="182"/>
      <c r="E50" s="182" t="str">
        <f t="shared" si="1"/>
        <v/>
      </c>
      <c r="F50" s="274" t="str">
        <f>'S05 Req Weights'!A16</f>
        <v>Break system</v>
      </c>
      <c r="G50" s="274"/>
      <c r="H50" s="275"/>
      <c r="I50" s="276"/>
      <c r="J50" s="276"/>
      <c r="K50" s="277"/>
      <c r="L50" s="275"/>
      <c r="M50" s="276"/>
      <c r="N50" s="276"/>
      <c r="O50" s="277"/>
      <c r="P50" s="275"/>
      <c r="Q50" s="276"/>
      <c r="R50" s="276"/>
      <c r="S50" s="277"/>
      <c r="T50" s="275"/>
      <c r="U50" s="276"/>
      <c r="V50" s="276"/>
      <c r="W50" s="277"/>
      <c r="X50" s="275"/>
      <c r="Y50" s="276"/>
      <c r="Z50" s="276"/>
      <c r="AA50" s="277"/>
      <c r="AB50" s="275"/>
      <c r="AC50" s="276"/>
      <c r="AD50" s="276"/>
      <c r="AE50" s="277"/>
      <c r="AF50" s="275"/>
      <c r="AG50" s="276"/>
      <c r="AH50" s="276"/>
      <c r="AI50" s="277"/>
      <c r="AJ50" s="275"/>
      <c r="AK50" s="276"/>
      <c r="AL50" s="276"/>
      <c r="AM50" s="277"/>
      <c r="AN50" s="275"/>
      <c r="AO50" s="276"/>
      <c r="AP50" s="276"/>
      <c r="AQ50" s="277"/>
      <c r="AR50" s="275"/>
      <c r="AS50" s="276"/>
      <c r="AT50" s="276"/>
      <c r="AU50" s="277"/>
      <c r="AV50" s="275"/>
      <c r="AW50" s="276"/>
      <c r="AX50" s="276"/>
      <c r="AY50" s="277"/>
      <c r="AZ50" s="275"/>
      <c r="BA50" s="276"/>
      <c r="BB50" s="276"/>
      <c r="BC50" s="277"/>
      <c r="BD50" s="275"/>
      <c r="BE50" s="276"/>
      <c r="BF50" s="276"/>
      <c r="BG50" s="277"/>
      <c r="BH50" s="275"/>
      <c r="BI50" s="276"/>
      <c r="BJ50" s="276"/>
      <c r="BK50" s="277"/>
      <c r="BL50" s="275"/>
      <c r="BM50" s="276"/>
      <c r="BN50" s="276"/>
      <c r="BO50" s="277"/>
      <c r="BP50" s="275"/>
      <c r="BQ50" s="276"/>
      <c r="BR50" s="276"/>
      <c r="BS50" s="277"/>
      <c r="BT50" s="133">
        <v>5</v>
      </c>
      <c r="BU50" s="133">
        <v>2</v>
      </c>
      <c r="BV50" s="133">
        <v>4</v>
      </c>
      <c r="BW50" s="133">
        <v>2</v>
      </c>
      <c r="BX50" s="133">
        <v>2</v>
      </c>
      <c r="BY50" s="281"/>
      <c r="CE50" s="131">
        <v>14</v>
      </c>
    </row>
    <row r="51" spans="2:83" ht="30" customHeight="1" x14ac:dyDescent="0.15">
      <c r="B51" s="131">
        <v>15</v>
      </c>
      <c r="C51" s="132"/>
      <c r="D51" s="182"/>
      <c r="E51" s="182" t="str">
        <f t="shared" si="1"/>
        <v/>
      </c>
      <c r="F51" s="274" t="str">
        <f>'S05 Req Weights'!A17</f>
        <v>Different colors</v>
      </c>
      <c r="G51" s="274"/>
      <c r="H51" s="275"/>
      <c r="I51" s="276"/>
      <c r="J51" s="276"/>
      <c r="K51" s="277"/>
      <c r="L51" s="275"/>
      <c r="M51" s="276"/>
      <c r="N51" s="276"/>
      <c r="O51" s="277"/>
      <c r="P51" s="275"/>
      <c r="Q51" s="276"/>
      <c r="R51" s="276"/>
      <c r="S51" s="277"/>
      <c r="T51" s="275"/>
      <c r="U51" s="276"/>
      <c r="V51" s="276"/>
      <c r="W51" s="277"/>
      <c r="X51" s="275"/>
      <c r="Y51" s="276"/>
      <c r="Z51" s="276"/>
      <c r="AA51" s="277"/>
      <c r="AB51" s="275"/>
      <c r="AC51" s="276"/>
      <c r="AD51" s="276"/>
      <c r="AE51" s="277"/>
      <c r="AF51" s="275"/>
      <c r="AG51" s="276"/>
      <c r="AH51" s="276"/>
      <c r="AI51" s="277"/>
      <c r="AJ51" s="275"/>
      <c r="AK51" s="276"/>
      <c r="AL51" s="276"/>
      <c r="AM51" s="277"/>
      <c r="AN51" s="275"/>
      <c r="AO51" s="276"/>
      <c r="AP51" s="276"/>
      <c r="AQ51" s="277"/>
      <c r="AR51" s="275"/>
      <c r="AS51" s="276"/>
      <c r="AT51" s="276"/>
      <c r="AU51" s="277"/>
      <c r="AV51" s="275"/>
      <c r="AW51" s="276"/>
      <c r="AX51" s="276"/>
      <c r="AY51" s="277"/>
      <c r="AZ51" s="275"/>
      <c r="BA51" s="276"/>
      <c r="BB51" s="276"/>
      <c r="BC51" s="277"/>
      <c r="BD51" s="275"/>
      <c r="BE51" s="276"/>
      <c r="BF51" s="276"/>
      <c r="BG51" s="277"/>
      <c r="BH51" s="275"/>
      <c r="BI51" s="276"/>
      <c r="BJ51" s="276"/>
      <c r="BK51" s="277"/>
      <c r="BL51" s="275"/>
      <c r="BM51" s="276"/>
      <c r="BN51" s="276"/>
      <c r="BO51" s="277"/>
      <c r="BP51" s="275"/>
      <c r="BQ51" s="276"/>
      <c r="BR51" s="276"/>
      <c r="BS51" s="277"/>
      <c r="BT51" s="133">
        <v>3</v>
      </c>
      <c r="BU51" s="133">
        <v>3</v>
      </c>
      <c r="BV51" s="133">
        <v>2</v>
      </c>
      <c r="BW51" s="133">
        <v>3</v>
      </c>
      <c r="BX51" s="133">
        <v>2</v>
      </c>
      <c r="BY51" s="281"/>
      <c r="CE51" s="131">
        <v>15</v>
      </c>
    </row>
    <row r="52" spans="2:83" ht="30" customHeight="1" x14ac:dyDescent="0.15">
      <c r="B52" s="131">
        <v>16</v>
      </c>
      <c r="C52" s="132"/>
      <c r="D52" s="182"/>
      <c r="E52" s="182" t="str">
        <f t="shared" si="1"/>
        <v/>
      </c>
      <c r="F52" s="274" t="str">
        <f>'S05 Req Weights'!A18</f>
        <v>Custom design</v>
      </c>
      <c r="G52" s="274"/>
      <c r="H52" s="275"/>
      <c r="I52" s="276"/>
      <c r="J52" s="276"/>
      <c r="K52" s="277"/>
      <c r="L52" s="275"/>
      <c r="M52" s="276"/>
      <c r="N52" s="276"/>
      <c r="O52" s="277"/>
      <c r="P52" s="275"/>
      <c r="Q52" s="276"/>
      <c r="R52" s="276"/>
      <c r="S52" s="277"/>
      <c r="T52" s="275"/>
      <c r="U52" s="276"/>
      <c r="V52" s="276"/>
      <c r="W52" s="277"/>
      <c r="X52" s="275"/>
      <c r="Y52" s="276"/>
      <c r="Z52" s="276"/>
      <c r="AA52" s="277"/>
      <c r="AB52" s="275"/>
      <c r="AC52" s="276"/>
      <c r="AD52" s="276"/>
      <c r="AE52" s="277"/>
      <c r="AF52" s="275"/>
      <c r="AG52" s="276"/>
      <c r="AH52" s="276"/>
      <c r="AI52" s="277"/>
      <c r="AJ52" s="275"/>
      <c r="AK52" s="276"/>
      <c r="AL52" s="276"/>
      <c r="AM52" s="277"/>
      <c r="AN52" s="275"/>
      <c r="AO52" s="276"/>
      <c r="AP52" s="276"/>
      <c r="AQ52" s="277"/>
      <c r="AR52" s="275"/>
      <c r="AS52" s="276"/>
      <c r="AT52" s="276"/>
      <c r="AU52" s="277"/>
      <c r="AV52" s="275"/>
      <c r="AW52" s="276"/>
      <c r="AX52" s="276"/>
      <c r="AY52" s="277"/>
      <c r="AZ52" s="275"/>
      <c r="BA52" s="276"/>
      <c r="BB52" s="276"/>
      <c r="BC52" s="277"/>
      <c r="BD52" s="275"/>
      <c r="BE52" s="276"/>
      <c r="BF52" s="276"/>
      <c r="BG52" s="277"/>
      <c r="BH52" s="275"/>
      <c r="BI52" s="276"/>
      <c r="BJ52" s="276"/>
      <c r="BK52" s="277"/>
      <c r="BL52" s="275"/>
      <c r="BM52" s="276"/>
      <c r="BN52" s="276"/>
      <c r="BO52" s="277"/>
      <c r="BP52" s="275"/>
      <c r="BQ52" s="276"/>
      <c r="BR52" s="276"/>
      <c r="BS52" s="277"/>
      <c r="BT52" s="133">
        <v>3</v>
      </c>
      <c r="BU52" s="133">
        <v>4</v>
      </c>
      <c r="BV52" s="133">
        <v>1</v>
      </c>
      <c r="BW52" s="133">
        <v>4</v>
      </c>
      <c r="BX52" s="133">
        <v>2</v>
      </c>
      <c r="BY52" s="281"/>
      <c r="CE52" s="131">
        <v>16</v>
      </c>
    </row>
    <row r="53" spans="2:83" ht="129.75" customHeight="1" x14ac:dyDescent="0.25">
      <c r="F53" s="289" t="s">
        <v>810</v>
      </c>
      <c r="G53" s="289"/>
      <c r="H53" s="282" t="s">
        <v>926</v>
      </c>
      <c r="I53" s="283"/>
      <c r="J53" s="283"/>
      <c r="K53" s="284"/>
      <c r="L53" s="282" t="s">
        <v>927</v>
      </c>
      <c r="M53" s="283"/>
      <c r="N53" s="283"/>
      <c r="O53" s="284"/>
      <c r="P53" s="282" t="s">
        <v>928</v>
      </c>
      <c r="Q53" s="283"/>
      <c r="R53" s="283"/>
      <c r="S53" s="284"/>
      <c r="T53" s="282" t="s">
        <v>929</v>
      </c>
      <c r="U53" s="283"/>
      <c r="V53" s="283"/>
      <c r="W53" s="284"/>
      <c r="X53" s="282" t="s">
        <v>930</v>
      </c>
      <c r="Y53" s="283"/>
      <c r="Z53" s="283"/>
      <c r="AA53" s="284"/>
      <c r="AB53" s="288">
        <v>0.6</v>
      </c>
      <c r="AC53" s="283"/>
      <c r="AD53" s="283"/>
      <c r="AE53" s="284"/>
      <c r="AF53" s="282"/>
      <c r="AG53" s="283"/>
      <c r="AH53" s="283"/>
      <c r="AI53" s="284"/>
      <c r="AJ53" s="282"/>
      <c r="AK53" s="283"/>
      <c r="AL53" s="283"/>
      <c r="AM53" s="284"/>
      <c r="AN53" s="282"/>
      <c r="AO53" s="283"/>
      <c r="AP53" s="283"/>
      <c r="AQ53" s="284"/>
      <c r="AR53" s="282"/>
      <c r="AS53" s="283"/>
      <c r="AT53" s="283"/>
      <c r="AU53" s="284"/>
      <c r="AV53" s="282"/>
      <c r="AW53" s="283"/>
      <c r="AX53" s="283"/>
      <c r="AY53" s="284"/>
      <c r="AZ53" s="282"/>
      <c r="BA53" s="283"/>
      <c r="BB53" s="283"/>
      <c r="BC53" s="284"/>
      <c r="BD53" s="282"/>
      <c r="BE53" s="283"/>
      <c r="BF53" s="283"/>
      <c r="BG53" s="284"/>
      <c r="BH53" s="282"/>
      <c r="BI53" s="283"/>
      <c r="BJ53" s="283"/>
      <c r="BK53" s="284"/>
      <c r="BL53" s="282"/>
      <c r="BM53" s="283"/>
      <c r="BN53" s="283"/>
      <c r="BO53" s="284"/>
      <c r="BP53" s="282"/>
      <c r="BQ53" s="283"/>
      <c r="BR53" s="283"/>
      <c r="BS53" s="284"/>
    </row>
    <row r="54" spans="2:83" s="134" customFormat="1" ht="18.75" customHeight="1" x14ac:dyDescent="0.15">
      <c r="F54" s="250" t="s">
        <v>811</v>
      </c>
      <c r="G54" s="250"/>
      <c r="H54" s="285" t="str">
        <f>IF(COUNTIF(H37:H52,"●"),9,IF(COUNTIF(H37:H52,"○"),3,IF(COUNTIF(H37:H52,"▽"),1,"")))</f>
        <v/>
      </c>
      <c r="I54" s="286"/>
      <c r="J54" s="286"/>
      <c r="K54" s="287"/>
      <c r="L54" s="285" t="str">
        <f>IF(COUNTIF(L37:L52,"●"),9,IF(COUNTIF(L37:L52,"○"),3,IF(COUNTIF(L37:L52,"▽"),1,"")))</f>
        <v/>
      </c>
      <c r="M54" s="286"/>
      <c r="N54" s="286"/>
      <c r="O54" s="287"/>
      <c r="P54" s="285" t="str">
        <f>IF(COUNTIF(P37:P52,"●"),9,IF(COUNTIF(P37:P52,"○"),3,IF(COUNTIF(P37:P52,"▽"),1,"")))</f>
        <v/>
      </c>
      <c r="Q54" s="286"/>
      <c r="R54" s="286"/>
      <c r="S54" s="287"/>
      <c r="T54" s="285" t="str">
        <f>IF(COUNTIF(T37:T52,"●"),9,IF(COUNTIF(T37:T52,"○"),3,IF(COUNTIF(T37:T52,"▽"),1,"")))</f>
        <v/>
      </c>
      <c r="U54" s="286"/>
      <c r="V54" s="286"/>
      <c r="W54" s="287"/>
      <c r="X54" s="285" t="str">
        <f>IF(COUNTIF(X37:X52,"●"),9,IF(COUNTIF(X37:X52,"○"),3,IF(COUNTIF(X37:X52,"▽"),1,"")))</f>
        <v/>
      </c>
      <c r="Y54" s="286"/>
      <c r="Z54" s="286"/>
      <c r="AA54" s="287"/>
      <c r="AB54" s="285" t="str">
        <f>IF(COUNTIF(AB37:AB52,"●"),9,IF(COUNTIF(AB37:AB52,"○"),3,IF(COUNTIF(AB37:AB52,"▽"),1,"")))</f>
        <v/>
      </c>
      <c r="AC54" s="286"/>
      <c r="AD54" s="286"/>
      <c r="AE54" s="287"/>
      <c r="AF54" s="285" t="str">
        <f>IF(COUNTIF(AF37:AF52,"●"),9,IF(COUNTIF(AF37:AF52,"○"),3,IF(COUNTIF(AF37:AF52,"▽"),1,"")))</f>
        <v/>
      </c>
      <c r="AG54" s="286"/>
      <c r="AH54" s="286"/>
      <c r="AI54" s="287"/>
      <c r="AJ54" s="285" t="str">
        <f>IF(COUNTIF(AJ37:AJ52,"●"),9,IF(COUNTIF(AJ37:AJ52,"○"),3,IF(COUNTIF(AJ37:AJ52,"▽"),1,"")))</f>
        <v/>
      </c>
      <c r="AK54" s="286"/>
      <c r="AL54" s="286"/>
      <c r="AM54" s="287"/>
      <c r="AN54" s="285" t="str">
        <f>IF(COUNTIF(AN37:AN52,"●"),9,IF(COUNTIF(AN37:AN52,"○"),3,IF(COUNTIF(AN37:AN52,"▽"),1,"")))</f>
        <v/>
      </c>
      <c r="AO54" s="286"/>
      <c r="AP54" s="286"/>
      <c r="AQ54" s="287"/>
      <c r="AR54" s="285" t="str">
        <f>IF(COUNTIF(AR37:AR52,"●"),9,IF(COUNTIF(AR37:AR52,"○"),3,IF(COUNTIF(AR37:AR52,"▽"),1,"")))</f>
        <v/>
      </c>
      <c r="AS54" s="286"/>
      <c r="AT54" s="286"/>
      <c r="AU54" s="287"/>
      <c r="AV54" s="285" t="str">
        <f>IF(COUNTIF(AV37:AV52,"●"),9,IF(COUNTIF(AV37:AV52,"○"),3,IF(COUNTIF(AV37:AV52,"▽"),1,"")))</f>
        <v/>
      </c>
      <c r="AW54" s="286"/>
      <c r="AX54" s="286"/>
      <c r="AY54" s="287"/>
      <c r="AZ54" s="285" t="str">
        <f>IF(COUNTIF(AZ37:AZ52,"●"),9,IF(COUNTIF(AZ37:AZ52,"○"),3,IF(COUNTIF(AZ37:AZ52,"▽"),1,"")))</f>
        <v/>
      </c>
      <c r="BA54" s="286"/>
      <c r="BB54" s="286"/>
      <c r="BC54" s="287"/>
      <c r="BD54" s="285" t="str">
        <f>IF(COUNTIF(BD37:BD52,"●"),9,IF(COUNTIF(BD37:BD52,"○"),3,IF(COUNTIF(BD37:BD52,"▽"),1,"")))</f>
        <v/>
      </c>
      <c r="BE54" s="286"/>
      <c r="BF54" s="286"/>
      <c r="BG54" s="287"/>
      <c r="BH54" s="285" t="str">
        <f>IF(COUNTIF(BH37:BH52,"●"),9,IF(COUNTIF(BH37:BH52,"○"),3,IF(COUNTIF(BH37:BH52,"▽"),1,"")))</f>
        <v/>
      </c>
      <c r="BI54" s="286"/>
      <c r="BJ54" s="286"/>
      <c r="BK54" s="287"/>
      <c r="BL54" s="285" t="str">
        <f>IF(COUNTIF(BL37:BL52,"●"),9,IF(COUNTIF(BL37:BL52,"○"),3,IF(COUNTIF(BL37:BL52,"▽"),1,"")))</f>
        <v/>
      </c>
      <c r="BM54" s="286"/>
      <c r="BN54" s="286"/>
      <c r="BO54" s="287"/>
      <c r="BP54" s="285" t="str">
        <f>IF(COUNTIF(BP37:BP52,"●"),9,IF(COUNTIF(BP37:BP52,"○"),3,IF(COUNTIF(BP37:BP52,"▽"),1,"")))</f>
        <v/>
      </c>
      <c r="BQ54" s="286"/>
      <c r="BR54" s="286"/>
      <c r="BS54" s="287"/>
    </row>
    <row r="55" spans="2:83" s="134" customFormat="1" ht="18.75" customHeight="1" x14ac:dyDescent="0.15">
      <c r="F55" s="250" t="s">
        <v>812</v>
      </c>
      <c r="G55" s="250"/>
      <c r="H55" s="290"/>
      <c r="I55" s="291"/>
      <c r="J55" s="291"/>
      <c r="K55" s="292"/>
      <c r="L55" s="290"/>
      <c r="M55" s="291"/>
      <c r="N55" s="291"/>
      <c r="O55" s="292"/>
      <c r="P55" s="290"/>
      <c r="Q55" s="291"/>
      <c r="R55" s="291"/>
      <c r="S55" s="292"/>
      <c r="T55" s="290"/>
      <c r="U55" s="291"/>
      <c r="V55" s="291"/>
      <c r="W55" s="292"/>
      <c r="X55" s="290"/>
      <c r="Y55" s="291"/>
      <c r="Z55" s="291"/>
      <c r="AA55" s="292"/>
      <c r="AB55" s="290"/>
      <c r="AC55" s="291"/>
      <c r="AD55" s="291"/>
      <c r="AE55" s="292"/>
      <c r="AF55" s="290"/>
      <c r="AG55" s="291"/>
      <c r="AH55" s="291"/>
      <c r="AI55" s="292"/>
      <c r="AJ55" s="290"/>
      <c r="AK55" s="291"/>
      <c r="AL55" s="291"/>
      <c r="AM55" s="292"/>
      <c r="AN55" s="290"/>
      <c r="AO55" s="291"/>
      <c r="AP55" s="291"/>
      <c r="AQ55" s="292"/>
      <c r="AR55" s="290"/>
      <c r="AS55" s="291"/>
      <c r="AT55" s="291"/>
      <c r="AU55" s="292"/>
      <c r="AV55" s="290"/>
      <c r="AW55" s="291"/>
      <c r="AX55" s="291"/>
      <c r="AY55" s="292"/>
      <c r="AZ55" s="290"/>
      <c r="BA55" s="291"/>
      <c r="BB55" s="291"/>
      <c r="BC55" s="292"/>
      <c r="BD55" s="290"/>
      <c r="BE55" s="291"/>
      <c r="BF55" s="291"/>
      <c r="BG55" s="292"/>
      <c r="BH55" s="290"/>
      <c r="BI55" s="291"/>
      <c r="BJ55" s="291"/>
      <c r="BK55" s="292"/>
      <c r="BL55" s="290"/>
      <c r="BM55" s="291"/>
      <c r="BN55" s="291"/>
      <c r="BO55" s="292"/>
      <c r="BP55" s="290"/>
      <c r="BQ55" s="291"/>
      <c r="BR55" s="291"/>
      <c r="BS55" s="292"/>
    </row>
    <row r="56" spans="2:83" s="135" customFormat="1" ht="18.75" customHeight="1" x14ac:dyDescent="0.15">
      <c r="F56" s="293" t="s">
        <v>813</v>
      </c>
      <c r="G56" s="293"/>
      <c r="H56" s="294"/>
      <c r="I56" s="295"/>
      <c r="J56" s="295"/>
      <c r="K56" s="296"/>
      <c r="L56" s="294"/>
      <c r="M56" s="295"/>
      <c r="N56" s="295"/>
      <c r="O56" s="296"/>
      <c r="P56" s="294"/>
      <c r="Q56" s="295"/>
      <c r="R56" s="295"/>
      <c r="S56" s="296"/>
      <c r="T56" s="294"/>
      <c r="U56" s="295"/>
      <c r="V56" s="295"/>
      <c r="W56" s="296"/>
      <c r="X56" s="294"/>
      <c r="Y56" s="295"/>
      <c r="Z56" s="295"/>
      <c r="AA56" s="296"/>
      <c r="AB56" s="294"/>
      <c r="AC56" s="295"/>
      <c r="AD56" s="295"/>
      <c r="AE56" s="296"/>
      <c r="AF56" s="294"/>
      <c r="AG56" s="295"/>
      <c r="AH56" s="295"/>
      <c r="AI56" s="296"/>
      <c r="AJ56" s="294"/>
      <c r="AK56" s="295"/>
      <c r="AL56" s="295"/>
      <c r="AM56" s="296"/>
      <c r="AN56" s="294"/>
      <c r="AO56" s="295"/>
      <c r="AP56" s="295"/>
      <c r="AQ56" s="296"/>
      <c r="AR56" s="294"/>
      <c r="AS56" s="295"/>
      <c r="AT56" s="295"/>
      <c r="AU56" s="296"/>
      <c r="AV56" s="294"/>
      <c r="AW56" s="295"/>
      <c r="AX56" s="295"/>
      <c r="AY56" s="296"/>
      <c r="AZ56" s="294"/>
      <c r="BA56" s="295"/>
      <c r="BB56" s="295"/>
      <c r="BC56" s="296"/>
      <c r="BD56" s="294"/>
      <c r="BE56" s="295"/>
      <c r="BF56" s="295"/>
      <c r="BG56" s="296"/>
      <c r="BH56" s="294"/>
      <c r="BI56" s="295"/>
      <c r="BJ56" s="295"/>
      <c r="BK56" s="296"/>
      <c r="BL56" s="294"/>
      <c r="BM56" s="295"/>
      <c r="BN56" s="295"/>
      <c r="BO56" s="296"/>
      <c r="BP56" s="294"/>
      <c r="BQ56" s="295"/>
      <c r="BR56" s="295"/>
      <c r="BS56" s="296"/>
    </row>
    <row r="57" spans="2:83" ht="75" customHeight="1" x14ac:dyDescent="0.25">
      <c r="F57" s="289" t="s">
        <v>814</v>
      </c>
      <c r="G57" s="289"/>
      <c r="H57" s="297"/>
      <c r="I57" s="298"/>
      <c r="J57" s="298"/>
      <c r="K57" s="299"/>
      <c r="L57" s="297"/>
      <c r="M57" s="298"/>
      <c r="N57" s="298"/>
      <c r="O57" s="299"/>
      <c r="P57" s="297"/>
      <c r="Q57" s="298"/>
      <c r="R57" s="298"/>
      <c r="S57" s="299"/>
      <c r="T57" s="297"/>
      <c r="U57" s="298"/>
      <c r="V57" s="298"/>
      <c r="W57" s="299"/>
      <c r="X57" s="297"/>
      <c r="Y57" s="298"/>
      <c r="Z57" s="298"/>
      <c r="AA57" s="299"/>
      <c r="AB57" s="297"/>
      <c r="AC57" s="298"/>
      <c r="AD57" s="298"/>
      <c r="AE57" s="299"/>
      <c r="AF57" s="297"/>
      <c r="AG57" s="298"/>
      <c r="AH57" s="298"/>
      <c r="AI57" s="299"/>
      <c r="AJ57" s="297"/>
      <c r="AK57" s="298"/>
      <c r="AL57" s="298"/>
      <c r="AM57" s="299"/>
      <c r="AN57" s="297"/>
      <c r="AO57" s="298"/>
      <c r="AP57" s="298"/>
      <c r="AQ57" s="299"/>
      <c r="AR57" s="297"/>
      <c r="AS57" s="298"/>
      <c r="AT57" s="298"/>
      <c r="AU57" s="299"/>
      <c r="AV57" s="297"/>
      <c r="AW57" s="298"/>
      <c r="AX57" s="298"/>
      <c r="AY57" s="299"/>
      <c r="AZ57" s="297"/>
      <c r="BA57" s="298"/>
      <c r="BB57" s="298"/>
      <c r="BC57" s="299"/>
      <c r="BD57" s="297"/>
      <c r="BE57" s="298"/>
      <c r="BF57" s="298"/>
      <c r="BG57" s="299"/>
      <c r="BH57" s="297"/>
      <c r="BI57" s="298"/>
      <c r="BJ57" s="298"/>
      <c r="BK57" s="299"/>
      <c r="BL57" s="297"/>
      <c r="BM57" s="298"/>
      <c r="BN57" s="298"/>
      <c r="BO57" s="299"/>
      <c r="BP57" s="297"/>
      <c r="BQ57" s="298"/>
      <c r="BR57" s="298"/>
      <c r="BS57" s="299"/>
    </row>
  </sheetData>
  <mergeCells count="566"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28" priority="1" operator="equal">
      <formula>$D$9</formula>
    </cfRule>
  </conditionalFormatting>
  <conditionalFormatting sqref="H54:BS54 E37:E52">
    <cfRule type="cellIs" dxfId="27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91" zoomScaleNormal="91" workbookViewId="0">
      <selection activeCell="C2" sqref="C2"/>
    </sheetView>
  </sheetViews>
  <sheetFormatPr baseColWidth="10" defaultColWidth="8.83203125" defaultRowHeight="16" x14ac:dyDescent="0.2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931</v>
      </c>
      <c r="D1" s="15">
        <v>2022</v>
      </c>
      <c r="E1" s="15">
        <v>2023</v>
      </c>
      <c r="F1" s="15">
        <v>2024</v>
      </c>
      <c r="G1" s="15">
        <v>2025</v>
      </c>
    </row>
    <row r="2" spans="1:11" x14ac:dyDescent="0.2">
      <c r="A2" s="3" t="s">
        <v>507</v>
      </c>
      <c r="B2" s="3" t="s">
        <v>878</v>
      </c>
      <c r="C2" s="207"/>
      <c r="D2" s="199">
        <v>1945</v>
      </c>
      <c r="E2" s="199">
        <v>239292</v>
      </c>
      <c r="F2" s="199">
        <v>239292</v>
      </c>
      <c r="G2" s="199">
        <v>199141</v>
      </c>
    </row>
    <row r="3" spans="1:11" x14ac:dyDescent="0.2">
      <c r="A3" s="3" t="s">
        <v>508</v>
      </c>
      <c r="B3" s="3" t="s">
        <v>879</v>
      </c>
      <c r="C3" s="207"/>
      <c r="D3" s="199">
        <v>6134</v>
      </c>
      <c r="E3" s="199">
        <v>132745</v>
      </c>
      <c r="F3" s="199">
        <v>132745</v>
      </c>
      <c r="G3" s="199">
        <v>239295</v>
      </c>
    </row>
    <row r="4" spans="1:11" x14ac:dyDescent="0.2">
      <c r="A4" s="3" t="s">
        <v>509</v>
      </c>
      <c r="B4" s="3" t="s">
        <v>880</v>
      </c>
      <c r="C4" s="207"/>
      <c r="D4" s="199">
        <v>1425</v>
      </c>
      <c r="E4" s="199">
        <v>187949</v>
      </c>
      <c r="F4" s="199">
        <v>187949</v>
      </c>
      <c r="G4" s="199">
        <v>288460</v>
      </c>
      <c r="K4" s="206"/>
    </row>
    <row r="5" spans="1:11" x14ac:dyDescent="0.2">
      <c r="A5" s="3" t="s">
        <v>178</v>
      </c>
      <c r="B5" s="3" t="s">
        <v>179</v>
      </c>
      <c r="C5" s="207"/>
      <c r="D5" s="199">
        <v>215425</v>
      </c>
      <c r="E5" s="199">
        <v>201452</v>
      </c>
      <c r="F5" s="199">
        <v>201452</v>
      </c>
      <c r="G5" s="199">
        <v>283065</v>
      </c>
      <c r="K5" s="205"/>
    </row>
    <row r="6" spans="1:11" x14ac:dyDescent="0.2">
      <c r="A6" s="3" t="s">
        <v>510</v>
      </c>
      <c r="B6" s="3" t="s">
        <v>861</v>
      </c>
      <c r="C6" s="207"/>
      <c r="D6" s="199">
        <v>1612</v>
      </c>
      <c r="E6" s="199">
        <v>213420</v>
      </c>
      <c r="F6" s="199">
        <v>213420</v>
      </c>
      <c r="G6" s="199">
        <v>164738</v>
      </c>
    </row>
    <row r="7" spans="1:11" x14ac:dyDescent="0.2">
      <c r="A7" s="3" t="s">
        <v>198</v>
      </c>
      <c r="B7" s="3" t="s">
        <v>199</v>
      </c>
      <c r="C7" s="207"/>
      <c r="D7" s="199">
        <v>25689</v>
      </c>
      <c r="E7" s="199">
        <v>302560</v>
      </c>
      <c r="F7" s="199">
        <v>302560</v>
      </c>
      <c r="G7" s="199">
        <v>165891</v>
      </c>
      <c r="K7" s="38"/>
    </row>
    <row r="8" spans="1:11" x14ac:dyDescent="0.2">
      <c r="A8" s="3" t="s">
        <v>203</v>
      </c>
      <c r="B8" s="3" t="s">
        <v>204</v>
      </c>
      <c r="C8" s="207"/>
      <c r="D8" s="199">
        <v>25639</v>
      </c>
      <c r="E8" s="199">
        <v>216975</v>
      </c>
      <c r="F8" s="199">
        <v>216975</v>
      </c>
      <c r="G8" s="199">
        <v>232837</v>
      </c>
    </row>
    <row r="9" spans="1:11" x14ac:dyDescent="0.2">
      <c r="A9" s="3" t="s">
        <v>217</v>
      </c>
      <c r="B9" s="3" t="s">
        <v>218</v>
      </c>
      <c r="C9" s="207"/>
      <c r="D9" s="199">
        <v>2154</v>
      </c>
      <c r="E9" s="199">
        <v>181948</v>
      </c>
      <c r="F9" s="199">
        <v>181948</v>
      </c>
      <c r="G9" s="199">
        <v>253500</v>
      </c>
    </row>
    <row r="10" spans="1:11" x14ac:dyDescent="0.2">
      <c r="A10" s="3" t="s">
        <v>511</v>
      </c>
      <c r="B10" s="3" t="s">
        <v>862</v>
      </c>
      <c r="C10" s="207"/>
      <c r="D10" s="199">
        <v>4765</v>
      </c>
      <c r="E10" s="199">
        <v>120606</v>
      </c>
      <c r="F10" s="199">
        <v>120606</v>
      </c>
      <c r="G10" s="199">
        <v>190771</v>
      </c>
    </row>
    <row r="11" spans="1:11" x14ac:dyDescent="0.2">
      <c r="A11" s="3" t="s">
        <v>176</v>
      </c>
      <c r="B11" s="3" t="s">
        <v>177</v>
      </c>
      <c r="C11" s="207"/>
      <c r="D11" s="199">
        <v>250356</v>
      </c>
      <c r="E11" s="199">
        <v>213426</v>
      </c>
      <c r="F11" s="199">
        <v>213426</v>
      </c>
      <c r="G11" s="199">
        <v>195040</v>
      </c>
    </row>
    <row r="12" spans="1:11" x14ac:dyDescent="0.2">
      <c r="A12" s="3" t="s">
        <v>512</v>
      </c>
      <c r="B12" s="3" t="s">
        <v>863</v>
      </c>
      <c r="C12" s="207"/>
      <c r="D12" s="199">
        <v>6491</v>
      </c>
      <c r="E12" s="199">
        <v>167040</v>
      </c>
      <c r="F12" s="199">
        <v>167040</v>
      </c>
      <c r="G12" s="199">
        <v>220695</v>
      </c>
    </row>
    <row r="13" spans="1:11" x14ac:dyDescent="0.2">
      <c r="A13" s="3" t="s">
        <v>190</v>
      </c>
      <c r="B13" s="3" t="s">
        <v>191</v>
      </c>
      <c r="C13" s="207"/>
      <c r="D13" s="199">
        <v>50689</v>
      </c>
      <c r="E13" s="199">
        <v>232792</v>
      </c>
      <c r="F13" s="199">
        <v>312792</v>
      </c>
      <c r="G13" s="199">
        <v>186192</v>
      </c>
    </row>
    <row r="14" spans="1:11" x14ac:dyDescent="0.2">
      <c r="A14" s="3" t="s">
        <v>513</v>
      </c>
      <c r="B14" s="3" t="s">
        <v>864</v>
      </c>
      <c r="C14" s="207"/>
      <c r="D14" s="199">
        <v>1987</v>
      </c>
      <c r="E14" s="199">
        <v>126137</v>
      </c>
      <c r="F14" s="199">
        <v>126137</v>
      </c>
      <c r="G14" s="199">
        <v>268863</v>
      </c>
    </row>
    <row r="15" spans="1:11" x14ac:dyDescent="0.2">
      <c r="A15" s="3" t="s">
        <v>514</v>
      </c>
      <c r="B15" s="3" t="s">
        <v>865</v>
      </c>
      <c r="C15" s="207"/>
      <c r="D15" s="199">
        <v>1413</v>
      </c>
      <c r="E15" s="199">
        <v>200524</v>
      </c>
      <c r="F15" s="199">
        <v>200524</v>
      </c>
      <c r="G15" s="199">
        <v>264057</v>
      </c>
    </row>
    <row r="16" spans="1:11" x14ac:dyDescent="0.2">
      <c r="A16" s="3" t="s">
        <v>515</v>
      </c>
      <c r="B16" s="3" t="s">
        <v>866</v>
      </c>
      <c r="C16" s="207"/>
      <c r="D16" s="199">
        <v>2014</v>
      </c>
      <c r="E16" s="199">
        <v>138784</v>
      </c>
      <c r="F16" s="199">
        <v>138784</v>
      </c>
      <c r="G16" s="199">
        <v>265813</v>
      </c>
    </row>
    <row r="17" spans="1:7" x14ac:dyDescent="0.2">
      <c r="A17" s="3" t="s">
        <v>516</v>
      </c>
      <c r="B17" s="3" t="s">
        <v>868</v>
      </c>
      <c r="C17" s="207"/>
      <c r="D17" s="199">
        <v>5692</v>
      </c>
      <c r="E17" s="199">
        <v>260167</v>
      </c>
      <c r="F17" s="199">
        <v>260167</v>
      </c>
      <c r="G17" s="199">
        <v>199052</v>
      </c>
    </row>
    <row r="18" spans="1:7" x14ac:dyDescent="0.2">
      <c r="A18" s="3" t="s">
        <v>517</v>
      </c>
      <c r="B18" s="3" t="s">
        <v>867</v>
      </c>
      <c r="C18" s="207"/>
      <c r="D18" s="199">
        <v>1498</v>
      </c>
      <c r="E18" s="199">
        <v>241365</v>
      </c>
      <c r="F18" s="199">
        <v>241365</v>
      </c>
      <c r="G18" s="199">
        <v>165090</v>
      </c>
    </row>
    <row r="19" spans="1:7" x14ac:dyDescent="0.2">
      <c r="A19" s="3" t="s">
        <v>518</v>
      </c>
      <c r="B19" s="3" t="s">
        <v>869</v>
      </c>
      <c r="C19" s="207"/>
      <c r="D19" s="199">
        <v>1524</v>
      </c>
      <c r="E19" s="199">
        <v>209630</v>
      </c>
      <c r="F19" s="199">
        <v>209630</v>
      </c>
      <c r="G19" s="199">
        <v>205426</v>
      </c>
    </row>
    <row r="20" spans="1:7" x14ac:dyDescent="0.2">
      <c r="A20" s="3" t="s">
        <v>519</v>
      </c>
      <c r="B20" s="3" t="s">
        <v>870</v>
      </c>
      <c r="C20" s="207"/>
      <c r="D20" s="199">
        <v>1750</v>
      </c>
      <c r="E20" s="199">
        <v>213654</v>
      </c>
      <c r="F20" s="199">
        <v>213654</v>
      </c>
      <c r="G20" s="199">
        <v>292527</v>
      </c>
    </row>
    <row r="21" spans="1:7" x14ac:dyDescent="0.2">
      <c r="A21" s="3" t="s">
        <v>520</v>
      </c>
      <c r="B21" s="3" t="s">
        <v>871</v>
      </c>
      <c r="C21" s="207"/>
      <c r="D21" s="199">
        <v>1348</v>
      </c>
      <c r="E21" s="199">
        <v>259751</v>
      </c>
      <c r="F21" s="199">
        <v>259751</v>
      </c>
      <c r="G21" s="199">
        <v>201365</v>
      </c>
    </row>
    <row r="22" spans="1:7" x14ac:dyDescent="0.2">
      <c r="A22" s="3" t="s">
        <v>521</v>
      </c>
      <c r="B22" s="3" t="s">
        <v>872</v>
      </c>
      <c r="C22" s="207"/>
      <c r="D22" s="199">
        <v>6903</v>
      </c>
      <c r="E22" s="199">
        <v>277450</v>
      </c>
      <c r="F22" s="199">
        <v>277450</v>
      </c>
      <c r="G22" s="199">
        <v>192177</v>
      </c>
    </row>
    <row r="23" spans="1:7" x14ac:dyDescent="0.2">
      <c r="A23" s="3" t="s">
        <v>522</v>
      </c>
      <c r="B23" s="3" t="s">
        <v>873</v>
      </c>
      <c r="C23" s="207"/>
      <c r="D23" s="199">
        <v>1631</v>
      </c>
      <c r="E23" s="199">
        <v>180094</v>
      </c>
      <c r="F23" s="199">
        <v>180094</v>
      </c>
      <c r="G23" s="199">
        <v>281770</v>
      </c>
    </row>
    <row r="24" spans="1:7" x14ac:dyDescent="0.2">
      <c r="A24" s="3" t="s">
        <v>523</v>
      </c>
      <c r="B24" s="3" t="s">
        <v>874</v>
      </c>
      <c r="C24" s="207"/>
      <c r="D24" s="199">
        <v>4177</v>
      </c>
      <c r="E24" s="199">
        <v>145240</v>
      </c>
      <c r="F24" s="199">
        <v>145240</v>
      </c>
      <c r="G24" s="199">
        <v>185281</v>
      </c>
    </row>
    <row r="25" spans="1:7" x14ac:dyDescent="0.2">
      <c r="A25" s="3" t="s">
        <v>524</v>
      </c>
      <c r="B25" s="3" t="s">
        <v>875</v>
      </c>
      <c r="C25" s="207"/>
      <c r="D25" s="199">
        <v>2821</v>
      </c>
      <c r="E25" s="199">
        <v>312405</v>
      </c>
      <c r="F25" s="199">
        <v>312405</v>
      </c>
      <c r="G25" s="199">
        <v>207543</v>
      </c>
    </row>
    <row r="26" spans="1:7" x14ac:dyDescent="0.2">
      <c r="A26" s="3" t="s">
        <v>525</v>
      </c>
      <c r="B26" s="3" t="s">
        <v>876</v>
      </c>
      <c r="C26" s="207"/>
      <c r="D26" s="199">
        <v>12224</v>
      </c>
      <c r="E26" s="199">
        <v>119920</v>
      </c>
      <c r="F26" s="199">
        <v>119920</v>
      </c>
      <c r="G26" s="199">
        <v>205706</v>
      </c>
    </row>
    <row r="27" spans="1:7" x14ac:dyDescent="0.2">
      <c r="A27" s="3" t="s">
        <v>526</v>
      </c>
      <c r="B27" s="3" t="s">
        <v>877</v>
      </c>
      <c r="C27" s="207"/>
      <c r="D27" s="199">
        <v>1533</v>
      </c>
      <c r="E27" s="199">
        <v>272602</v>
      </c>
      <c r="F27" s="199">
        <v>272602</v>
      </c>
      <c r="G27" s="199">
        <v>298426</v>
      </c>
    </row>
    <row r="28" spans="1:7" x14ac:dyDescent="0.2">
      <c r="A28" s="3" t="s">
        <v>527</v>
      </c>
      <c r="B28" s="3" t="s">
        <v>881</v>
      </c>
      <c r="C28" s="207"/>
      <c r="D28" s="199">
        <v>245</v>
      </c>
      <c r="E28" s="199">
        <v>142650</v>
      </c>
      <c r="F28" s="199">
        <v>358650</v>
      </c>
      <c r="G28" s="199">
        <v>195093</v>
      </c>
    </row>
    <row r="29" spans="1:7" x14ac:dyDescent="0.2">
      <c r="A29" s="3" t="s">
        <v>528</v>
      </c>
      <c r="B29" s="3" t="s">
        <v>882</v>
      </c>
      <c r="C29" s="207"/>
      <c r="D29" s="199">
        <v>2156</v>
      </c>
      <c r="E29" s="199">
        <v>159544</v>
      </c>
      <c r="F29" s="199">
        <v>159544</v>
      </c>
      <c r="G29" s="199">
        <v>256540</v>
      </c>
    </row>
    <row r="30" spans="1:7" x14ac:dyDescent="0.2">
      <c r="A30" s="3" t="s">
        <v>529</v>
      </c>
      <c r="B30" s="3" t="s">
        <v>883</v>
      </c>
      <c r="C30" s="207"/>
      <c r="D30" s="199">
        <v>3562</v>
      </c>
      <c r="E30" s="199">
        <v>131644</v>
      </c>
      <c r="F30" s="199">
        <v>131644</v>
      </c>
      <c r="G30" s="199">
        <v>214533</v>
      </c>
    </row>
    <row r="31" spans="1:7" x14ac:dyDescent="0.2">
      <c r="A31" s="3" t="s">
        <v>530</v>
      </c>
      <c r="B31" s="3" t="s">
        <v>884</v>
      </c>
      <c r="C31" s="207"/>
      <c r="D31" s="199">
        <v>1554</v>
      </c>
      <c r="E31" s="199">
        <v>216547</v>
      </c>
      <c r="F31" s="199">
        <v>216547</v>
      </c>
      <c r="G31" s="199">
        <v>203470</v>
      </c>
    </row>
    <row r="32" spans="1:7" x14ac:dyDescent="0.2">
      <c r="A32" s="3" t="s">
        <v>531</v>
      </c>
      <c r="B32" s="3" t="s">
        <v>885</v>
      </c>
      <c r="C32" s="207"/>
      <c r="D32" s="199">
        <v>12036</v>
      </c>
      <c r="E32" s="199">
        <v>236541</v>
      </c>
      <c r="F32" s="199">
        <v>236541</v>
      </c>
      <c r="G32" s="199">
        <v>174168</v>
      </c>
    </row>
    <row r="33" spans="1:7" x14ac:dyDescent="0.2">
      <c r="A33" s="3" t="s">
        <v>532</v>
      </c>
      <c r="B33" s="3" t="s">
        <v>886</v>
      </c>
      <c r="C33" s="207"/>
      <c r="D33" s="199">
        <v>3735</v>
      </c>
      <c r="E33" s="199">
        <v>105963</v>
      </c>
      <c r="F33" s="199">
        <v>105963</v>
      </c>
      <c r="G33" s="199">
        <v>248647</v>
      </c>
    </row>
    <row r="34" spans="1:7" x14ac:dyDescent="0.2">
      <c r="A34" s="3" t="s">
        <v>533</v>
      </c>
      <c r="B34" s="3" t="s">
        <v>887</v>
      </c>
      <c r="C34" s="207"/>
      <c r="D34" s="199">
        <v>10356</v>
      </c>
      <c r="E34" s="199">
        <v>171667</v>
      </c>
      <c r="F34" s="199">
        <v>171667</v>
      </c>
      <c r="G34" s="199">
        <v>241613</v>
      </c>
    </row>
    <row r="35" spans="1:7" x14ac:dyDescent="0.2">
      <c r="A35" s="3" t="s">
        <v>534</v>
      </c>
      <c r="B35" s="3" t="s">
        <v>888</v>
      </c>
      <c r="C35" s="207"/>
      <c r="D35" s="199">
        <v>10254</v>
      </c>
      <c r="E35" s="199">
        <v>274120</v>
      </c>
      <c r="F35" s="199">
        <v>274120</v>
      </c>
      <c r="G35" s="199">
        <v>246912</v>
      </c>
    </row>
    <row r="36" spans="1:7" x14ac:dyDescent="0.2">
      <c r="A36" s="3" t="s">
        <v>535</v>
      </c>
      <c r="B36" s="3" t="s">
        <v>889</v>
      </c>
      <c r="C36" s="207"/>
      <c r="D36" s="199">
        <v>3076</v>
      </c>
      <c r="E36" s="199">
        <v>121557</v>
      </c>
      <c r="F36" s="199">
        <v>121557</v>
      </c>
      <c r="G36" s="199">
        <v>193932</v>
      </c>
    </row>
    <row r="37" spans="1:7" x14ac:dyDescent="0.2">
      <c r="A37" s="3" t="s">
        <v>536</v>
      </c>
      <c r="B37" s="3" t="s">
        <v>890</v>
      </c>
      <c r="C37" s="207"/>
      <c r="D37" s="199">
        <v>1637</v>
      </c>
      <c r="E37" s="199">
        <v>268727</v>
      </c>
      <c r="F37" s="199">
        <v>268727</v>
      </c>
      <c r="G37" s="199">
        <v>293195</v>
      </c>
    </row>
    <row r="38" spans="1:7" x14ac:dyDescent="0.2">
      <c r="A38" s="3" t="s">
        <v>180</v>
      </c>
      <c r="B38" s="3" t="s">
        <v>181</v>
      </c>
      <c r="C38" s="207"/>
      <c r="D38" s="199">
        <v>125036</v>
      </c>
      <c r="E38" s="199">
        <v>252854</v>
      </c>
      <c r="F38" s="199">
        <v>252854</v>
      </c>
      <c r="G38" s="199">
        <v>279399</v>
      </c>
    </row>
    <row r="39" spans="1:7" x14ac:dyDescent="0.2">
      <c r="A39" s="3" t="s">
        <v>537</v>
      </c>
      <c r="B39" s="3" t="s">
        <v>858</v>
      </c>
      <c r="C39" s="207"/>
      <c r="D39" s="199">
        <v>2154</v>
      </c>
      <c r="E39" s="199">
        <v>131271</v>
      </c>
      <c r="F39" s="199">
        <v>331271</v>
      </c>
      <c r="G39" s="199">
        <v>277326</v>
      </c>
    </row>
    <row r="40" spans="1:7" x14ac:dyDescent="0.2">
      <c r="A40" s="3" t="s">
        <v>538</v>
      </c>
      <c r="B40" s="3" t="s">
        <v>859</v>
      </c>
      <c r="C40" s="207"/>
      <c r="D40" s="199">
        <v>8070</v>
      </c>
      <c r="E40" s="199">
        <v>195411</v>
      </c>
      <c r="F40" s="199">
        <v>195411</v>
      </c>
      <c r="G40" s="199">
        <v>191709</v>
      </c>
    </row>
    <row r="41" spans="1:7" x14ac:dyDescent="0.2">
      <c r="A41" s="3" t="s">
        <v>539</v>
      </c>
      <c r="B41" s="3" t="s">
        <v>860</v>
      </c>
      <c r="C41" s="207"/>
      <c r="D41" s="199">
        <v>2342</v>
      </c>
      <c r="E41" s="199">
        <v>290451</v>
      </c>
      <c r="F41" s="199">
        <v>290451</v>
      </c>
      <c r="G41" s="199">
        <v>187443</v>
      </c>
    </row>
    <row r="42" spans="1:7" x14ac:dyDescent="0.2">
      <c r="A42" s="3" t="s">
        <v>215</v>
      </c>
      <c r="B42" s="3" t="s">
        <v>216</v>
      </c>
      <c r="C42" s="207"/>
      <c r="D42" s="199">
        <v>2156</v>
      </c>
      <c r="E42" s="199">
        <v>111930</v>
      </c>
      <c r="F42" s="199">
        <v>111930</v>
      </c>
      <c r="G42" s="199">
        <v>190564</v>
      </c>
    </row>
    <row r="43" spans="1:7" x14ac:dyDescent="0.2">
      <c r="A43" s="3" t="s">
        <v>540</v>
      </c>
      <c r="B43" s="3" t="s">
        <v>833</v>
      </c>
      <c r="C43" s="207"/>
      <c r="D43" s="199">
        <v>2226</v>
      </c>
      <c r="E43" s="199">
        <v>321526</v>
      </c>
      <c r="F43" s="199">
        <v>321526</v>
      </c>
      <c r="G43" s="199">
        <v>196496</v>
      </c>
    </row>
    <row r="44" spans="1:7" x14ac:dyDescent="0.2">
      <c r="A44" s="3" t="s">
        <v>211</v>
      </c>
      <c r="B44" s="3" t="s">
        <v>212</v>
      </c>
      <c r="C44" s="207"/>
      <c r="D44" s="199">
        <v>2454</v>
      </c>
      <c r="E44" s="199">
        <v>138527</v>
      </c>
      <c r="F44" s="199">
        <v>138527</v>
      </c>
      <c r="G44" s="199">
        <v>251547</v>
      </c>
    </row>
    <row r="45" spans="1:7" x14ac:dyDescent="0.2">
      <c r="A45" s="3" t="s">
        <v>207</v>
      </c>
      <c r="B45" s="3" t="s">
        <v>208</v>
      </c>
      <c r="C45" s="207"/>
      <c r="D45" s="199">
        <v>2458</v>
      </c>
      <c r="E45" s="199">
        <v>368952</v>
      </c>
      <c r="F45" s="199">
        <v>368952</v>
      </c>
      <c r="G45" s="199">
        <v>240263</v>
      </c>
    </row>
    <row r="46" spans="1:7" x14ac:dyDescent="0.2">
      <c r="A46" s="3" t="s">
        <v>541</v>
      </c>
      <c r="B46" s="3" t="s">
        <v>851</v>
      </c>
      <c r="C46" s="207"/>
      <c r="D46" s="199">
        <v>8750</v>
      </c>
      <c r="E46" s="199">
        <v>157307</v>
      </c>
      <c r="F46" s="199">
        <v>157307</v>
      </c>
      <c r="G46" s="199">
        <v>216743</v>
      </c>
    </row>
    <row r="47" spans="1:7" x14ac:dyDescent="0.2">
      <c r="A47" s="3" t="s">
        <v>542</v>
      </c>
      <c r="B47" s="3" t="s">
        <v>852</v>
      </c>
      <c r="C47" s="207"/>
      <c r="D47" s="199">
        <v>3450</v>
      </c>
      <c r="E47" s="199">
        <v>103297</v>
      </c>
      <c r="F47" s="199">
        <v>103297</v>
      </c>
      <c r="G47" s="199">
        <v>262457</v>
      </c>
    </row>
    <row r="48" spans="1:7" x14ac:dyDescent="0.2">
      <c r="A48" s="3" t="s">
        <v>543</v>
      </c>
      <c r="B48" s="3" t="s">
        <v>853</v>
      </c>
      <c r="C48" s="207"/>
      <c r="D48" s="199">
        <v>4730</v>
      </c>
      <c r="E48" s="199">
        <v>114514</v>
      </c>
      <c r="F48" s="199">
        <v>114514</v>
      </c>
      <c r="G48" s="199">
        <v>165399</v>
      </c>
    </row>
    <row r="49" spans="1:7" x14ac:dyDescent="0.2">
      <c r="A49" s="3" t="s">
        <v>544</v>
      </c>
      <c r="B49" s="3" t="s">
        <v>854</v>
      </c>
      <c r="C49" s="207"/>
      <c r="D49" s="199">
        <v>8230</v>
      </c>
      <c r="E49" s="199">
        <v>157808</v>
      </c>
      <c r="F49" s="199">
        <v>157808</v>
      </c>
      <c r="G49" s="199">
        <v>195478</v>
      </c>
    </row>
    <row r="50" spans="1:7" x14ac:dyDescent="0.2">
      <c r="A50" s="3" t="s">
        <v>545</v>
      </c>
      <c r="B50" s="3" t="s">
        <v>855</v>
      </c>
      <c r="C50" s="207"/>
      <c r="D50" s="199">
        <v>7065</v>
      </c>
      <c r="E50" s="199">
        <v>197813</v>
      </c>
      <c r="F50" s="199">
        <v>197813</v>
      </c>
      <c r="G50" s="199">
        <v>243044</v>
      </c>
    </row>
    <row r="51" spans="1:7" x14ac:dyDescent="0.2">
      <c r="A51" s="3" t="s">
        <v>546</v>
      </c>
      <c r="B51" s="3" t="s">
        <v>856</v>
      </c>
      <c r="C51" s="207"/>
      <c r="D51" s="199">
        <v>2456</v>
      </c>
      <c r="E51" s="199">
        <v>186953</v>
      </c>
      <c r="F51" s="199">
        <v>305695</v>
      </c>
      <c r="G51" s="199">
        <v>209624</v>
      </c>
    </row>
    <row r="52" spans="1:7" x14ac:dyDescent="0.2">
      <c r="A52" s="3" t="s">
        <v>547</v>
      </c>
      <c r="B52" s="3" t="s">
        <v>857</v>
      </c>
      <c r="C52" s="207"/>
      <c r="D52" s="199">
        <v>9246</v>
      </c>
      <c r="E52" s="199">
        <v>162701</v>
      </c>
      <c r="F52" s="199">
        <v>162701</v>
      </c>
      <c r="G52" s="199">
        <v>230503</v>
      </c>
    </row>
    <row r="53" spans="1:7" x14ac:dyDescent="0.2">
      <c r="A53" s="3" t="s">
        <v>184</v>
      </c>
      <c r="B53" s="3" t="s">
        <v>185</v>
      </c>
      <c r="C53" s="207"/>
      <c r="D53" s="199">
        <v>85612</v>
      </c>
      <c r="E53" s="199">
        <v>260729</v>
      </c>
      <c r="F53" s="199">
        <v>260729</v>
      </c>
      <c r="G53" s="199">
        <v>181818</v>
      </c>
    </row>
    <row r="54" spans="1:7" x14ac:dyDescent="0.2">
      <c r="A54" s="3" t="s">
        <v>188</v>
      </c>
      <c r="B54" s="3" t="s">
        <v>189</v>
      </c>
      <c r="C54" s="207"/>
      <c r="D54" s="199">
        <v>54682</v>
      </c>
      <c r="E54" s="199">
        <v>302641</v>
      </c>
      <c r="F54" s="199">
        <v>302641</v>
      </c>
      <c r="G54" s="199">
        <v>230231</v>
      </c>
    </row>
    <row r="55" spans="1:7" x14ac:dyDescent="0.2">
      <c r="A55" s="3" t="s">
        <v>209</v>
      </c>
      <c r="B55" s="3" t="s">
        <v>210</v>
      </c>
      <c r="C55" s="207"/>
      <c r="D55" s="199">
        <v>2456</v>
      </c>
      <c r="E55" s="199">
        <v>172838</v>
      </c>
      <c r="F55" s="199">
        <v>172838</v>
      </c>
      <c r="G55" s="199">
        <v>220662</v>
      </c>
    </row>
    <row r="56" spans="1:7" x14ac:dyDescent="0.2">
      <c r="A56" s="3" t="s">
        <v>548</v>
      </c>
      <c r="B56" s="3" t="s">
        <v>834</v>
      </c>
      <c r="C56" s="207"/>
      <c r="D56" s="199">
        <v>2559</v>
      </c>
      <c r="E56" s="199">
        <v>356780</v>
      </c>
      <c r="F56" s="199">
        <v>356780</v>
      </c>
      <c r="G56" s="199">
        <v>246682</v>
      </c>
    </row>
    <row r="57" spans="1:7" x14ac:dyDescent="0.2">
      <c r="A57" s="3" t="s">
        <v>549</v>
      </c>
      <c r="B57" s="3" t="s">
        <v>835</v>
      </c>
      <c r="C57" s="207"/>
      <c r="D57" s="199">
        <v>2547</v>
      </c>
      <c r="E57" s="199">
        <v>288403</v>
      </c>
      <c r="F57" s="199">
        <v>288403</v>
      </c>
      <c r="G57" s="199">
        <v>232888</v>
      </c>
    </row>
    <row r="58" spans="1:7" x14ac:dyDescent="0.2">
      <c r="A58" s="3" t="s">
        <v>550</v>
      </c>
      <c r="B58" s="3" t="s">
        <v>836</v>
      </c>
      <c r="C58" s="207"/>
      <c r="D58" s="199">
        <v>7654</v>
      </c>
      <c r="E58" s="199">
        <v>154928</v>
      </c>
      <c r="F58" s="199">
        <v>154928</v>
      </c>
      <c r="G58" s="199">
        <v>211584</v>
      </c>
    </row>
    <row r="59" spans="1:7" x14ac:dyDescent="0.2">
      <c r="A59" s="3" t="s">
        <v>551</v>
      </c>
      <c r="B59" s="3" t="s">
        <v>845</v>
      </c>
      <c r="C59" s="207"/>
      <c r="D59" s="199">
        <v>2549</v>
      </c>
      <c r="E59" s="199">
        <v>289410</v>
      </c>
      <c r="F59" s="199">
        <v>299410</v>
      </c>
      <c r="G59" s="199">
        <v>161350</v>
      </c>
    </row>
    <row r="60" spans="1:7" x14ac:dyDescent="0.2">
      <c r="A60" s="3" t="s">
        <v>552</v>
      </c>
      <c r="B60" s="3" t="s">
        <v>846</v>
      </c>
      <c r="C60" s="207"/>
      <c r="D60" s="199">
        <v>4084</v>
      </c>
      <c r="E60" s="199">
        <v>196199</v>
      </c>
      <c r="F60" s="199">
        <v>196199</v>
      </c>
      <c r="G60" s="199">
        <v>162618</v>
      </c>
    </row>
    <row r="61" spans="1:7" x14ac:dyDescent="0.2">
      <c r="A61" s="3" t="s">
        <v>553</v>
      </c>
      <c r="B61" s="3" t="s">
        <v>847</v>
      </c>
      <c r="C61" s="207"/>
      <c r="D61" s="199">
        <v>10038</v>
      </c>
      <c r="E61" s="199">
        <v>192060</v>
      </c>
      <c r="F61" s="199">
        <v>192060</v>
      </c>
      <c r="G61" s="199">
        <v>212844</v>
      </c>
    </row>
    <row r="62" spans="1:7" x14ac:dyDescent="0.2">
      <c r="A62" s="3" t="s">
        <v>554</v>
      </c>
      <c r="B62" s="3" t="s">
        <v>848</v>
      </c>
      <c r="C62" s="207"/>
      <c r="D62" s="199">
        <v>2525</v>
      </c>
      <c r="E62" s="199">
        <v>309153</v>
      </c>
      <c r="F62" s="199">
        <v>309153</v>
      </c>
      <c r="G62" s="199">
        <v>242956</v>
      </c>
    </row>
    <row r="63" spans="1:7" x14ac:dyDescent="0.2">
      <c r="A63" s="3" t="s">
        <v>555</v>
      </c>
      <c r="B63" s="3" t="s">
        <v>849</v>
      </c>
      <c r="C63" s="207"/>
      <c r="D63" s="199">
        <v>6003</v>
      </c>
      <c r="E63" s="199">
        <v>149604</v>
      </c>
      <c r="F63" s="199">
        <v>149604</v>
      </c>
      <c r="G63" s="199">
        <v>163362</v>
      </c>
    </row>
    <row r="64" spans="1:7" x14ac:dyDescent="0.2">
      <c r="A64" s="3" t="s">
        <v>556</v>
      </c>
      <c r="B64" s="3" t="s">
        <v>850</v>
      </c>
      <c r="C64" s="207"/>
      <c r="D64" s="199">
        <v>2189</v>
      </c>
      <c r="E64" s="199">
        <v>279461</v>
      </c>
      <c r="F64" s="199">
        <v>279461</v>
      </c>
      <c r="G64" s="199">
        <v>184220</v>
      </c>
    </row>
    <row r="65" spans="1:7" x14ac:dyDescent="0.2">
      <c r="A65" s="3" t="s">
        <v>182</v>
      </c>
      <c r="B65" s="3" t="s">
        <v>183</v>
      </c>
      <c r="C65" s="207"/>
      <c r="D65" s="199">
        <v>86542</v>
      </c>
      <c r="E65" s="199">
        <v>356914</v>
      </c>
      <c r="F65" s="199">
        <v>356914</v>
      </c>
      <c r="G65" s="199">
        <v>215086</v>
      </c>
    </row>
    <row r="66" spans="1:7" x14ac:dyDescent="0.2">
      <c r="A66" s="3" t="s">
        <v>557</v>
      </c>
      <c r="B66" s="3" t="s">
        <v>837</v>
      </c>
      <c r="C66" s="207"/>
      <c r="D66" s="199">
        <v>2458</v>
      </c>
      <c r="E66" s="199">
        <v>145250</v>
      </c>
      <c r="F66" s="199">
        <v>145250</v>
      </c>
      <c r="G66" s="199">
        <v>221007</v>
      </c>
    </row>
    <row r="67" spans="1:7" x14ac:dyDescent="0.2">
      <c r="A67" s="3" t="s">
        <v>192</v>
      </c>
      <c r="B67" s="3" t="s">
        <v>193</v>
      </c>
      <c r="C67" s="207"/>
      <c r="D67" s="199">
        <v>45896</v>
      </c>
      <c r="E67" s="199">
        <v>171592</v>
      </c>
      <c r="F67" s="199">
        <v>171592</v>
      </c>
      <c r="G67" s="199">
        <v>226908</v>
      </c>
    </row>
    <row r="68" spans="1:7" x14ac:dyDescent="0.2">
      <c r="A68" s="3" t="s">
        <v>558</v>
      </c>
      <c r="B68" s="3" t="s">
        <v>838</v>
      </c>
      <c r="C68" s="207"/>
      <c r="D68" s="199">
        <v>9748</v>
      </c>
      <c r="E68" s="199">
        <v>162464</v>
      </c>
      <c r="F68" s="199">
        <v>162464</v>
      </c>
      <c r="G68" s="199">
        <v>182556</v>
      </c>
    </row>
    <row r="69" spans="1:7" x14ac:dyDescent="0.2">
      <c r="A69" s="3" t="s">
        <v>186</v>
      </c>
      <c r="B69" s="3" t="s">
        <v>187</v>
      </c>
      <c r="C69" s="207"/>
      <c r="D69" s="199">
        <v>65248</v>
      </c>
      <c r="E69" s="199">
        <v>279425</v>
      </c>
      <c r="F69" s="199">
        <v>279425</v>
      </c>
      <c r="G69" s="199">
        <v>251522</v>
      </c>
    </row>
    <row r="70" spans="1:7" x14ac:dyDescent="0.2">
      <c r="A70" s="3" t="s">
        <v>194</v>
      </c>
      <c r="B70" s="3" t="s">
        <v>195</v>
      </c>
      <c r="C70" s="207"/>
      <c r="D70" s="199">
        <v>36524</v>
      </c>
      <c r="E70" s="199">
        <v>319524</v>
      </c>
      <c r="F70" s="199">
        <v>319524</v>
      </c>
      <c r="G70" s="199">
        <v>210746</v>
      </c>
    </row>
    <row r="71" spans="1:7" x14ac:dyDescent="0.2">
      <c r="A71" s="3" t="s">
        <v>196</v>
      </c>
      <c r="B71" s="3" t="s">
        <v>197</v>
      </c>
      <c r="C71" s="208"/>
      <c r="D71" s="199">
        <v>36502</v>
      </c>
      <c r="E71" s="199">
        <v>199585</v>
      </c>
      <c r="F71" s="199">
        <v>199585</v>
      </c>
      <c r="G71" s="199">
        <v>166763</v>
      </c>
    </row>
    <row r="72" spans="1:7" x14ac:dyDescent="0.2">
      <c r="A72" s="3" t="s">
        <v>202</v>
      </c>
      <c r="B72" s="3" t="s">
        <v>839</v>
      </c>
      <c r="C72" s="208"/>
      <c r="D72" s="199">
        <v>25649</v>
      </c>
      <c r="E72" s="199">
        <v>221376</v>
      </c>
      <c r="F72" s="199">
        <v>221376</v>
      </c>
      <c r="G72" s="199">
        <v>169263</v>
      </c>
    </row>
    <row r="73" spans="1:7" x14ac:dyDescent="0.2">
      <c r="A73" s="3" t="s">
        <v>221</v>
      </c>
      <c r="B73" s="3" t="s">
        <v>222</v>
      </c>
      <c r="C73" s="208"/>
      <c r="D73" s="199">
        <v>2154</v>
      </c>
      <c r="E73" s="199">
        <v>88923</v>
      </c>
      <c r="F73" s="199">
        <v>88923</v>
      </c>
      <c r="G73" s="199">
        <v>88923</v>
      </c>
    </row>
    <row r="74" spans="1:7" x14ac:dyDescent="0.2">
      <c r="A74" s="3" t="s">
        <v>200</v>
      </c>
      <c r="B74" s="3" t="s">
        <v>201</v>
      </c>
      <c r="C74" s="208"/>
      <c r="D74" s="199">
        <v>25689</v>
      </c>
      <c r="E74" s="199">
        <v>153537</v>
      </c>
      <c r="F74" s="199">
        <v>153537</v>
      </c>
      <c r="G74" s="199">
        <v>289464</v>
      </c>
    </row>
    <row r="75" spans="1:7" x14ac:dyDescent="0.2">
      <c r="A75" s="3" t="s">
        <v>205</v>
      </c>
      <c r="B75" s="3" t="s">
        <v>206</v>
      </c>
      <c r="C75" s="208"/>
      <c r="D75" s="199">
        <v>25468</v>
      </c>
      <c r="E75" s="199">
        <v>256854</v>
      </c>
      <c r="F75" s="199">
        <v>256854</v>
      </c>
      <c r="G75" s="199">
        <v>220983</v>
      </c>
    </row>
    <row r="76" spans="1:7" x14ac:dyDescent="0.2">
      <c r="A76" s="3" t="s">
        <v>559</v>
      </c>
      <c r="B76" s="3" t="s">
        <v>840</v>
      </c>
      <c r="C76" s="207"/>
      <c r="D76" s="199">
        <v>235</v>
      </c>
      <c r="E76" s="199">
        <v>326984</v>
      </c>
      <c r="F76" s="199">
        <v>326984</v>
      </c>
      <c r="G76" s="199">
        <v>205188</v>
      </c>
    </row>
    <row r="77" spans="1:7" x14ac:dyDescent="0.2">
      <c r="A77" s="3" t="s">
        <v>560</v>
      </c>
      <c r="B77" s="3" t="s">
        <v>841</v>
      </c>
      <c r="C77" s="207"/>
      <c r="D77" s="199">
        <v>941</v>
      </c>
      <c r="E77" s="199">
        <v>156130</v>
      </c>
      <c r="F77" s="199">
        <v>156130</v>
      </c>
      <c r="G77" s="199">
        <v>208976</v>
      </c>
    </row>
    <row r="78" spans="1:7" x14ac:dyDescent="0.2">
      <c r="A78" s="3" t="s">
        <v>561</v>
      </c>
      <c r="B78" s="3" t="s">
        <v>842</v>
      </c>
      <c r="C78" s="207"/>
      <c r="D78" s="199">
        <v>220</v>
      </c>
      <c r="E78" s="199">
        <v>299450</v>
      </c>
      <c r="F78" s="199">
        <v>299450</v>
      </c>
      <c r="G78" s="199">
        <v>165526</v>
      </c>
    </row>
    <row r="79" spans="1:7" x14ac:dyDescent="0.2">
      <c r="A79" s="3" t="s">
        <v>562</v>
      </c>
      <c r="B79" s="3" t="s">
        <v>843</v>
      </c>
      <c r="C79" s="207"/>
      <c r="D79" s="199">
        <v>407</v>
      </c>
      <c r="E79" s="199">
        <v>141964</v>
      </c>
      <c r="F79" s="199">
        <v>141964</v>
      </c>
      <c r="G79" s="199">
        <v>289422</v>
      </c>
    </row>
    <row r="80" spans="1:7" x14ac:dyDescent="0.2">
      <c r="A80" s="3" t="s">
        <v>563</v>
      </c>
      <c r="B80" s="3" t="s">
        <v>844</v>
      </c>
      <c r="C80" s="207"/>
      <c r="D80" s="199">
        <v>771</v>
      </c>
      <c r="E80" s="199">
        <v>128520</v>
      </c>
      <c r="F80" s="199">
        <v>128520</v>
      </c>
      <c r="G80" s="199">
        <v>293326</v>
      </c>
    </row>
    <row r="81" spans="1:7" x14ac:dyDescent="0.2">
      <c r="A81" s="3" t="s">
        <v>213</v>
      </c>
      <c r="B81" s="3" t="s">
        <v>214</v>
      </c>
      <c r="C81" s="207"/>
      <c r="D81" s="199">
        <v>258</v>
      </c>
      <c r="E81" s="199">
        <v>183974</v>
      </c>
      <c r="F81" s="199">
        <v>183974</v>
      </c>
      <c r="G81" s="199">
        <v>208163</v>
      </c>
    </row>
    <row r="82" spans="1:7" x14ac:dyDescent="0.2">
      <c r="A82" s="3" t="s">
        <v>219</v>
      </c>
      <c r="B82" s="3" t="s">
        <v>220</v>
      </c>
      <c r="C82" s="207"/>
      <c r="D82" s="199">
        <v>215</v>
      </c>
      <c r="E82" s="199">
        <v>152674</v>
      </c>
      <c r="F82" s="199">
        <v>152674</v>
      </c>
      <c r="G82" s="199">
        <v>152674</v>
      </c>
    </row>
    <row r="83" spans="1:7" x14ac:dyDescent="0.2">
      <c r="A83" s="3" t="s">
        <v>564</v>
      </c>
      <c r="B83" s="3" t="s">
        <v>832</v>
      </c>
      <c r="C83" s="207"/>
      <c r="D83" s="199">
        <v>69</v>
      </c>
      <c r="E83" s="199">
        <v>131352</v>
      </c>
      <c r="F83" s="199">
        <v>131352</v>
      </c>
      <c r="G83" s="199">
        <v>263302</v>
      </c>
    </row>
    <row r="84" spans="1:7" x14ac:dyDescent="0.2">
      <c r="A84" s="3" t="s">
        <v>223</v>
      </c>
      <c r="B84" s="3" t="s">
        <v>224</v>
      </c>
      <c r="C84" s="207"/>
      <c r="D84" s="199">
        <v>213</v>
      </c>
      <c r="E84" s="199">
        <v>72257</v>
      </c>
      <c r="F84" s="199">
        <v>72257</v>
      </c>
      <c r="G84" s="199">
        <v>72257</v>
      </c>
    </row>
    <row r="85" spans="1:7" x14ac:dyDescent="0.2">
      <c r="A85" s="3" t="s">
        <v>225</v>
      </c>
      <c r="B85" s="3" t="s">
        <v>226</v>
      </c>
      <c r="C85" s="207"/>
      <c r="D85" s="199">
        <v>104</v>
      </c>
      <c r="E85" s="199">
        <v>73439</v>
      </c>
      <c r="F85" s="199">
        <v>73439</v>
      </c>
      <c r="G85" s="199">
        <v>73439</v>
      </c>
    </row>
    <row r="86" spans="1:7" x14ac:dyDescent="0.2">
      <c r="A86" s="3" t="s">
        <v>227</v>
      </c>
      <c r="B86" s="3" t="s">
        <v>228</v>
      </c>
      <c r="C86" s="207"/>
      <c r="D86" s="199">
        <v>668</v>
      </c>
      <c r="E86" s="199">
        <v>40939</v>
      </c>
      <c r="F86" s="199">
        <v>40939</v>
      </c>
      <c r="G86" s="199">
        <v>40939</v>
      </c>
    </row>
    <row r="87" spans="1:7" x14ac:dyDescent="0.2">
      <c r="A87" s="3" t="s">
        <v>229</v>
      </c>
      <c r="B87" s="3" t="s">
        <v>230</v>
      </c>
      <c r="C87" s="207"/>
      <c r="D87" s="199">
        <v>233</v>
      </c>
      <c r="E87" s="199">
        <v>57723</v>
      </c>
      <c r="F87" s="199">
        <v>57723</v>
      </c>
      <c r="G87" s="199">
        <v>57723</v>
      </c>
    </row>
    <row r="88" spans="1:7" x14ac:dyDescent="0.2">
      <c r="A88" s="3" t="s">
        <v>231</v>
      </c>
      <c r="B88" s="3" t="s">
        <v>232</v>
      </c>
      <c r="C88" s="207"/>
      <c r="D88" s="199">
        <v>224</v>
      </c>
      <c r="E88" s="199">
        <v>94108</v>
      </c>
      <c r="F88" s="199">
        <v>94108</v>
      </c>
      <c r="G88" s="199">
        <v>94108</v>
      </c>
    </row>
    <row r="89" spans="1:7" x14ac:dyDescent="0.2">
      <c r="A89" s="3" t="s">
        <v>233</v>
      </c>
      <c r="B89" s="3" t="s">
        <v>234</v>
      </c>
      <c r="C89" s="207"/>
      <c r="D89" s="199">
        <v>213</v>
      </c>
      <c r="E89" s="199">
        <v>76668</v>
      </c>
      <c r="F89" s="199">
        <v>76668</v>
      </c>
      <c r="G89" s="199">
        <v>76668</v>
      </c>
    </row>
    <row r="90" spans="1:7" x14ac:dyDescent="0.2">
      <c r="A90" s="3" t="s">
        <v>235</v>
      </c>
      <c r="B90" s="3" t="s">
        <v>236</v>
      </c>
      <c r="C90" s="207"/>
      <c r="D90" s="199">
        <v>202</v>
      </c>
      <c r="E90" s="199">
        <v>74097</v>
      </c>
      <c r="F90" s="199">
        <v>74097</v>
      </c>
      <c r="G90" s="199">
        <v>74097</v>
      </c>
    </row>
    <row r="91" spans="1:7" x14ac:dyDescent="0.2">
      <c r="A91" s="3" t="s">
        <v>237</v>
      </c>
      <c r="B91" s="3" t="s">
        <v>238</v>
      </c>
      <c r="C91" s="207"/>
      <c r="D91" s="199">
        <v>191</v>
      </c>
      <c r="E91" s="199">
        <v>64765</v>
      </c>
      <c r="F91" s="199">
        <v>64765</v>
      </c>
      <c r="G91" s="199">
        <v>64765</v>
      </c>
    </row>
    <row r="92" spans="1:7" x14ac:dyDescent="0.2">
      <c r="A92" s="3" t="s">
        <v>239</v>
      </c>
      <c r="B92" s="3" t="s">
        <v>240</v>
      </c>
      <c r="C92" s="207"/>
      <c r="D92" s="199">
        <v>180</v>
      </c>
      <c r="E92" s="199">
        <v>35588</v>
      </c>
      <c r="F92" s="199">
        <v>35588</v>
      </c>
      <c r="G92" s="199">
        <v>35588</v>
      </c>
    </row>
    <row r="93" spans="1:7" x14ac:dyDescent="0.2">
      <c r="A93" s="3" t="s">
        <v>241</v>
      </c>
      <c r="B93" s="3" t="s">
        <v>242</v>
      </c>
      <c r="C93" s="207"/>
      <c r="D93" s="199">
        <v>169</v>
      </c>
      <c r="E93" s="199">
        <v>68357</v>
      </c>
      <c r="F93" s="199">
        <v>68357</v>
      </c>
      <c r="G93" s="199">
        <v>68357</v>
      </c>
    </row>
    <row r="94" spans="1:7" x14ac:dyDescent="0.2">
      <c r="A94" s="3" t="s">
        <v>243</v>
      </c>
      <c r="B94" s="3" t="s">
        <v>244</v>
      </c>
      <c r="C94" s="207"/>
      <c r="D94" s="199">
        <v>159</v>
      </c>
      <c r="E94" s="199">
        <v>14214</v>
      </c>
      <c r="F94" s="199">
        <v>14214</v>
      </c>
      <c r="G94" s="199">
        <v>14214</v>
      </c>
    </row>
    <row r="95" spans="1:7" x14ac:dyDescent="0.2">
      <c r="A95" s="3" t="s">
        <v>245</v>
      </c>
      <c r="B95" s="3" t="s">
        <v>246</v>
      </c>
      <c r="C95" s="207"/>
      <c r="D95" s="199">
        <v>148</v>
      </c>
      <c r="E95" s="199">
        <v>7906</v>
      </c>
      <c r="F95" s="199">
        <v>7906</v>
      </c>
      <c r="G95" s="199">
        <v>7906</v>
      </c>
    </row>
    <row r="96" spans="1:7" x14ac:dyDescent="0.2">
      <c r="A96" s="3" t="s">
        <v>247</v>
      </c>
      <c r="B96" s="3" t="s">
        <v>248</v>
      </c>
      <c r="C96" s="207"/>
      <c r="D96" s="199">
        <v>137</v>
      </c>
      <c r="E96" s="199">
        <v>64385</v>
      </c>
      <c r="F96" s="199">
        <v>64385</v>
      </c>
      <c r="G96" s="199">
        <v>64385</v>
      </c>
    </row>
    <row r="97" spans="1:7" x14ac:dyDescent="0.2">
      <c r="A97" s="3" t="s">
        <v>249</v>
      </c>
      <c r="B97" s="3" t="s">
        <v>250</v>
      </c>
      <c r="C97" s="207"/>
      <c r="D97" s="199">
        <v>126</v>
      </c>
      <c r="E97" s="199">
        <v>41845</v>
      </c>
      <c r="F97" s="199">
        <v>41845</v>
      </c>
      <c r="G97" s="199">
        <v>41845</v>
      </c>
    </row>
    <row r="98" spans="1:7" x14ac:dyDescent="0.2">
      <c r="A98" s="3" t="s">
        <v>251</v>
      </c>
      <c r="B98" s="3" t="s">
        <v>252</v>
      </c>
      <c r="C98" s="207"/>
      <c r="D98" s="199">
        <v>115</v>
      </c>
      <c r="E98" s="199">
        <v>62767</v>
      </c>
      <c r="F98" s="199">
        <v>62767</v>
      </c>
      <c r="G98" s="199">
        <v>62767</v>
      </c>
    </row>
    <row r="99" spans="1:7" x14ac:dyDescent="0.2">
      <c r="A99" s="3" t="s">
        <v>253</v>
      </c>
      <c r="B99" s="3" t="s">
        <v>254</v>
      </c>
      <c r="C99" s="207"/>
      <c r="D99" s="199">
        <v>104</v>
      </c>
      <c r="E99" s="199">
        <v>86611</v>
      </c>
      <c r="F99" s="199">
        <v>86611</v>
      </c>
      <c r="G99" s="199">
        <v>86611</v>
      </c>
    </row>
    <row r="100" spans="1:7" x14ac:dyDescent="0.2">
      <c r="A100" s="3" t="s">
        <v>255</v>
      </c>
      <c r="B100" s="3" t="s">
        <v>256</v>
      </c>
      <c r="C100" s="207"/>
      <c r="D100" s="199">
        <v>103</v>
      </c>
      <c r="E100" s="199">
        <v>18888</v>
      </c>
      <c r="F100" s="199">
        <v>18888</v>
      </c>
      <c r="G100" s="199">
        <v>18888</v>
      </c>
    </row>
    <row r="101" spans="1:7" x14ac:dyDescent="0.2">
      <c r="A101" s="3" t="s">
        <v>257</v>
      </c>
      <c r="B101" s="3" t="s">
        <v>258</v>
      </c>
      <c r="C101" s="207"/>
      <c r="D101" s="199">
        <v>102</v>
      </c>
      <c r="E101" s="199">
        <v>874</v>
      </c>
      <c r="F101" s="199">
        <v>874</v>
      </c>
      <c r="G101" s="199">
        <v>874</v>
      </c>
    </row>
    <row r="102" spans="1:7" x14ac:dyDescent="0.2">
      <c r="A102" s="3" t="s">
        <v>259</v>
      </c>
      <c r="B102" s="3" t="s">
        <v>260</v>
      </c>
      <c r="C102" s="207"/>
      <c r="D102" s="199">
        <v>102</v>
      </c>
      <c r="E102" s="199">
        <v>731</v>
      </c>
      <c r="F102" s="199">
        <v>731</v>
      </c>
      <c r="G102" s="199">
        <v>731</v>
      </c>
    </row>
    <row r="103" spans="1:7" x14ac:dyDescent="0.2">
      <c r="A103" s="3" t="s">
        <v>261</v>
      </c>
      <c r="B103" s="3" t="s">
        <v>262</v>
      </c>
      <c r="C103" s="207"/>
      <c r="D103" s="199">
        <v>101</v>
      </c>
      <c r="E103" s="199">
        <v>388</v>
      </c>
      <c r="F103" s="199">
        <v>388</v>
      </c>
      <c r="G103" s="199">
        <v>388</v>
      </c>
    </row>
    <row r="104" spans="1:7" x14ac:dyDescent="0.2">
      <c r="A104" s="3" t="s">
        <v>263</v>
      </c>
      <c r="B104" s="3" t="s">
        <v>264</v>
      </c>
      <c r="C104" s="207"/>
      <c r="D104" s="199">
        <v>100</v>
      </c>
      <c r="E104" s="199">
        <v>424</v>
      </c>
      <c r="F104" s="199">
        <v>424</v>
      </c>
      <c r="G104" s="199">
        <v>424</v>
      </c>
    </row>
    <row r="105" spans="1:7" x14ac:dyDescent="0.2">
      <c r="A105" s="3" t="s">
        <v>265</v>
      </c>
      <c r="B105" s="3" t="s">
        <v>266</v>
      </c>
      <c r="C105" s="207"/>
      <c r="D105" s="199">
        <v>997</v>
      </c>
      <c r="E105" s="199">
        <v>721</v>
      </c>
      <c r="F105" s="199">
        <v>721</v>
      </c>
      <c r="G105" s="199">
        <v>721</v>
      </c>
    </row>
    <row r="106" spans="1:7" x14ac:dyDescent="0.2">
      <c r="A106" s="3" t="s">
        <v>267</v>
      </c>
      <c r="B106" s="3" t="s">
        <v>268</v>
      </c>
      <c r="C106" s="207"/>
      <c r="D106" s="199">
        <v>989</v>
      </c>
      <c r="E106" s="199">
        <v>565</v>
      </c>
      <c r="F106" s="199">
        <v>565</v>
      </c>
      <c r="G106" s="199">
        <v>565</v>
      </c>
    </row>
    <row r="107" spans="1:7" x14ac:dyDescent="0.2">
      <c r="A107" s="3" t="s">
        <v>269</v>
      </c>
      <c r="B107" s="3" t="s">
        <v>270</v>
      </c>
      <c r="C107" s="207"/>
      <c r="D107" s="199">
        <v>981</v>
      </c>
      <c r="E107" s="199">
        <v>476</v>
      </c>
      <c r="F107" s="199">
        <v>476</v>
      </c>
      <c r="G107" s="199">
        <v>476</v>
      </c>
    </row>
    <row r="108" spans="1:7" x14ac:dyDescent="0.2">
      <c r="A108" s="3" t="s">
        <v>271</v>
      </c>
      <c r="B108" s="3" t="s">
        <v>272</v>
      </c>
      <c r="C108" s="207"/>
      <c r="D108" s="199">
        <v>973</v>
      </c>
      <c r="E108" s="199">
        <v>162</v>
      </c>
      <c r="F108" s="199">
        <v>162</v>
      </c>
      <c r="G108" s="199">
        <v>162</v>
      </c>
    </row>
    <row r="109" spans="1:7" x14ac:dyDescent="0.2">
      <c r="A109" s="3" t="s">
        <v>273</v>
      </c>
      <c r="B109" s="3" t="s">
        <v>274</v>
      </c>
      <c r="C109" s="207"/>
      <c r="D109" s="199">
        <v>965</v>
      </c>
      <c r="E109" s="199">
        <v>563</v>
      </c>
      <c r="F109" s="199">
        <v>563</v>
      </c>
      <c r="G109" s="199">
        <v>563</v>
      </c>
    </row>
    <row r="110" spans="1:7" x14ac:dyDescent="0.2">
      <c r="A110" s="3" t="s">
        <v>275</v>
      </c>
      <c r="B110" s="3" t="s">
        <v>276</v>
      </c>
      <c r="C110" s="207"/>
      <c r="D110" s="199">
        <v>957</v>
      </c>
      <c r="E110" s="199">
        <v>344</v>
      </c>
      <c r="F110" s="199">
        <v>344</v>
      </c>
      <c r="G110" s="199">
        <v>344</v>
      </c>
    </row>
    <row r="111" spans="1:7" x14ac:dyDescent="0.2">
      <c r="A111" s="3" t="s">
        <v>277</v>
      </c>
      <c r="B111" s="3" t="s">
        <v>278</v>
      </c>
      <c r="C111" s="207"/>
      <c r="D111" s="199">
        <v>949</v>
      </c>
      <c r="E111" s="199">
        <v>349</v>
      </c>
      <c r="F111" s="199">
        <v>349</v>
      </c>
      <c r="G111" s="199">
        <v>349</v>
      </c>
    </row>
    <row r="112" spans="1:7" x14ac:dyDescent="0.2">
      <c r="A112" s="3" t="s">
        <v>279</v>
      </c>
      <c r="B112" s="3" t="s">
        <v>280</v>
      </c>
      <c r="C112" s="207"/>
      <c r="D112" s="199">
        <v>941</v>
      </c>
      <c r="E112" s="199">
        <v>321</v>
      </c>
      <c r="F112" s="199">
        <v>321</v>
      </c>
      <c r="G112" s="199">
        <v>321</v>
      </c>
    </row>
    <row r="113" spans="1:7" x14ac:dyDescent="0.2">
      <c r="A113" s="3" t="s">
        <v>281</v>
      </c>
      <c r="B113" s="3" t="s">
        <v>282</v>
      </c>
      <c r="C113" s="207"/>
      <c r="D113" s="199">
        <v>933</v>
      </c>
      <c r="E113" s="199">
        <v>259</v>
      </c>
      <c r="F113" s="199">
        <v>259</v>
      </c>
      <c r="G113" s="199">
        <v>259</v>
      </c>
    </row>
    <row r="114" spans="1:7" x14ac:dyDescent="0.2">
      <c r="A114" s="3" t="s">
        <v>283</v>
      </c>
      <c r="B114" s="3" t="s">
        <v>284</v>
      </c>
      <c r="C114" s="207"/>
      <c r="D114" s="199">
        <v>925</v>
      </c>
      <c r="E114" s="199">
        <v>166</v>
      </c>
      <c r="F114" s="199">
        <v>166</v>
      </c>
      <c r="G114" s="199">
        <v>166</v>
      </c>
    </row>
    <row r="115" spans="1:7" x14ac:dyDescent="0.2">
      <c r="A115" s="3" t="s">
        <v>285</v>
      </c>
      <c r="B115" s="3" t="s">
        <v>286</v>
      </c>
      <c r="C115" s="207"/>
      <c r="D115" s="199">
        <v>917</v>
      </c>
      <c r="E115" s="199">
        <v>505</v>
      </c>
      <c r="F115" s="199">
        <v>505</v>
      </c>
      <c r="G115" s="199">
        <v>505</v>
      </c>
    </row>
    <row r="116" spans="1:7" x14ac:dyDescent="0.2">
      <c r="A116" s="3" t="s">
        <v>287</v>
      </c>
      <c r="B116" s="3" t="s">
        <v>288</v>
      </c>
      <c r="C116" s="207"/>
      <c r="D116" s="199">
        <v>909</v>
      </c>
      <c r="E116" s="199">
        <v>791</v>
      </c>
      <c r="F116" s="199">
        <v>791</v>
      </c>
      <c r="G116" s="199">
        <v>791</v>
      </c>
    </row>
    <row r="117" spans="1:7" x14ac:dyDescent="0.2">
      <c r="A117" s="3" t="s">
        <v>289</v>
      </c>
      <c r="B117" s="3" t="s">
        <v>290</v>
      </c>
      <c r="C117" s="207"/>
      <c r="D117" s="199">
        <v>901</v>
      </c>
      <c r="E117" s="199">
        <v>334</v>
      </c>
      <c r="F117" s="199">
        <v>334</v>
      </c>
      <c r="G117" s="199">
        <v>334</v>
      </c>
    </row>
    <row r="118" spans="1:7" x14ac:dyDescent="0.2">
      <c r="A118" s="3" t="s">
        <v>291</v>
      </c>
      <c r="B118" s="3" t="s">
        <v>292</v>
      </c>
      <c r="C118" s="207"/>
      <c r="D118" s="199">
        <v>893</v>
      </c>
      <c r="E118" s="199">
        <v>441</v>
      </c>
      <c r="F118" s="199">
        <v>441</v>
      </c>
      <c r="G118" s="199">
        <v>441</v>
      </c>
    </row>
    <row r="119" spans="1:7" x14ac:dyDescent="0.2">
      <c r="A119" s="3" t="s">
        <v>293</v>
      </c>
      <c r="B119" s="3" t="s">
        <v>294</v>
      </c>
      <c r="C119" s="207"/>
      <c r="D119" s="199">
        <v>885</v>
      </c>
      <c r="E119" s="199">
        <v>489</v>
      </c>
      <c r="F119" s="199">
        <v>489</v>
      </c>
      <c r="G119" s="199">
        <v>489</v>
      </c>
    </row>
    <row r="120" spans="1:7" x14ac:dyDescent="0.2">
      <c r="A120" s="3" t="s">
        <v>295</v>
      </c>
      <c r="B120" s="3" t="s">
        <v>296</v>
      </c>
      <c r="C120" s="207"/>
      <c r="D120" s="199">
        <v>877</v>
      </c>
      <c r="E120" s="199">
        <v>984</v>
      </c>
      <c r="F120" s="199">
        <v>984</v>
      </c>
      <c r="G120" s="199">
        <v>984</v>
      </c>
    </row>
    <row r="121" spans="1:7" x14ac:dyDescent="0.2">
      <c r="A121" s="3" t="s">
        <v>297</v>
      </c>
      <c r="B121" s="3" t="s">
        <v>298</v>
      </c>
      <c r="C121" s="207"/>
      <c r="D121" s="199">
        <v>869</v>
      </c>
      <c r="E121" s="199">
        <v>935</v>
      </c>
      <c r="F121" s="199">
        <v>935</v>
      </c>
      <c r="G121" s="199">
        <v>935</v>
      </c>
    </row>
    <row r="122" spans="1:7" x14ac:dyDescent="0.2">
      <c r="A122" s="3" t="s">
        <v>299</v>
      </c>
      <c r="B122" s="3" t="s">
        <v>300</v>
      </c>
      <c r="C122" s="207"/>
      <c r="D122" s="199">
        <v>861</v>
      </c>
      <c r="E122" s="199">
        <v>753</v>
      </c>
      <c r="F122" s="199">
        <v>753</v>
      </c>
      <c r="G122" s="199">
        <v>753</v>
      </c>
    </row>
    <row r="123" spans="1:7" x14ac:dyDescent="0.2">
      <c r="A123" s="3" t="s">
        <v>301</v>
      </c>
      <c r="B123" s="3" t="s">
        <v>302</v>
      </c>
      <c r="C123" s="207"/>
      <c r="D123" s="199">
        <v>853</v>
      </c>
      <c r="E123" s="199">
        <v>977</v>
      </c>
      <c r="F123" s="199">
        <v>977</v>
      </c>
      <c r="G123" s="199">
        <v>977</v>
      </c>
    </row>
    <row r="124" spans="1:7" x14ac:dyDescent="0.2">
      <c r="A124" s="3" t="s">
        <v>303</v>
      </c>
      <c r="B124" s="3" t="s">
        <v>304</v>
      </c>
      <c r="C124" s="207"/>
      <c r="D124" s="199">
        <v>845</v>
      </c>
      <c r="E124" s="199">
        <v>855</v>
      </c>
      <c r="F124" s="199">
        <v>855</v>
      </c>
      <c r="G124" s="199">
        <v>855</v>
      </c>
    </row>
    <row r="125" spans="1:7" x14ac:dyDescent="0.2">
      <c r="A125" s="3" t="s">
        <v>305</v>
      </c>
      <c r="B125" s="3" t="s">
        <v>306</v>
      </c>
      <c r="C125" s="207"/>
      <c r="D125" s="199">
        <v>837</v>
      </c>
      <c r="E125" s="199">
        <v>627</v>
      </c>
      <c r="F125" s="199">
        <v>627</v>
      </c>
      <c r="G125" s="199">
        <v>627</v>
      </c>
    </row>
    <row r="126" spans="1:7" x14ac:dyDescent="0.2">
      <c r="A126" s="3" t="s">
        <v>307</v>
      </c>
      <c r="B126" s="3" t="s">
        <v>308</v>
      </c>
      <c r="C126" s="207"/>
      <c r="D126" s="199">
        <v>829</v>
      </c>
      <c r="E126" s="199">
        <v>767</v>
      </c>
      <c r="F126" s="199">
        <v>767</v>
      </c>
      <c r="G126" s="199">
        <v>767</v>
      </c>
    </row>
    <row r="127" spans="1:7" x14ac:dyDescent="0.2">
      <c r="A127" s="3" t="s">
        <v>309</v>
      </c>
      <c r="B127" s="3" t="s">
        <v>310</v>
      </c>
      <c r="C127" s="207"/>
      <c r="D127" s="199">
        <v>732</v>
      </c>
      <c r="E127" s="199">
        <v>977</v>
      </c>
      <c r="F127" s="199">
        <v>977</v>
      </c>
      <c r="G127" s="199">
        <v>977</v>
      </c>
    </row>
    <row r="128" spans="1:7" x14ac:dyDescent="0.2">
      <c r="A128" s="3" t="s">
        <v>311</v>
      </c>
      <c r="B128" s="3" t="s">
        <v>312</v>
      </c>
      <c r="C128" s="207"/>
      <c r="D128" s="199">
        <v>666</v>
      </c>
      <c r="E128" s="199">
        <v>772</v>
      </c>
      <c r="F128" s="199">
        <v>772</v>
      </c>
      <c r="G128" s="199">
        <v>772</v>
      </c>
    </row>
    <row r="129" spans="1:7" x14ac:dyDescent="0.2">
      <c r="A129" s="3" t="s">
        <v>313</v>
      </c>
      <c r="B129" s="3" t="s">
        <v>314</v>
      </c>
      <c r="C129" s="207"/>
      <c r="D129" s="199">
        <v>600</v>
      </c>
      <c r="E129" s="199">
        <v>199</v>
      </c>
      <c r="F129" s="199">
        <v>199</v>
      </c>
      <c r="G129" s="199">
        <v>199</v>
      </c>
    </row>
    <row r="130" spans="1:7" x14ac:dyDescent="0.2">
      <c r="A130" s="3" t="s">
        <v>315</v>
      </c>
      <c r="B130" s="3" t="s">
        <v>316</v>
      </c>
      <c r="C130" s="207"/>
      <c r="D130" s="199">
        <v>534</v>
      </c>
      <c r="E130" s="199">
        <v>132</v>
      </c>
      <c r="F130" s="199">
        <v>132</v>
      </c>
      <c r="G130" s="199">
        <v>132</v>
      </c>
    </row>
    <row r="131" spans="1:7" x14ac:dyDescent="0.2">
      <c r="A131" s="3" t="s">
        <v>317</v>
      </c>
      <c r="B131" s="3" t="s">
        <v>318</v>
      </c>
      <c r="C131" s="207"/>
      <c r="D131" s="199">
        <v>468</v>
      </c>
      <c r="E131" s="199">
        <v>294</v>
      </c>
      <c r="F131" s="199">
        <v>294</v>
      </c>
      <c r="G131" s="199">
        <v>294</v>
      </c>
    </row>
    <row r="132" spans="1:7" x14ac:dyDescent="0.2">
      <c r="A132" s="3" t="s">
        <v>319</v>
      </c>
      <c r="B132" s="3" t="s">
        <v>320</v>
      </c>
      <c r="C132" s="207"/>
      <c r="D132" s="199">
        <v>402</v>
      </c>
      <c r="E132" s="199">
        <v>490</v>
      </c>
      <c r="F132" s="199">
        <v>490</v>
      </c>
      <c r="G132" s="199">
        <v>490</v>
      </c>
    </row>
    <row r="133" spans="1:7" x14ac:dyDescent="0.2">
      <c r="A133" s="3" t="s">
        <v>321</v>
      </c>
      <c r="B133" s="3" t="s">
        <v>322</v>
      </c>
      <c r="C133" s="207"/>
      <c r="D133" s="199">
        <v>336</v>
      </c>
      <c r="E133" s="199">
        <v>585</v>
      </c>
      <c r="F133" s="199">
        <v>585</v>
      </c>
      <c r="G133" s="199">
        <v>585</v>
      </c>
    </row>
    <row r="134" spans="1:7" x14ac:dyDescent="0.2">
      <c r="A134" s="3" t="s">
        <v>323</v>
      </c>
      <c r="B134" s="3" t="s">
        <v>324</v>
      </c>
      <c r="C134" s="207"/>
      <c r="D134" s="199">
        <v>270</v>
      </c>
      <c r="E134" s="199">
        <v>104</v>
      </c>
      <c r="F134" s="199">
        <v>104</v>
      </c>
      <c r="G134" s="199">
        <v>104</v>
      </c>
    </row>
    <row r="135" spans="1:7" x14ac:dyDescent="0.2">
      <c r="A135" s="3" t="s">
        <v>325</v>
      </c>
      <c r="B135" s="3" t="s">
        <v>326</v>
      </c>
      <c r="C135" s="207"/>
      <c r="D135" s="199">
        <v>204</v>
      </c>
      <c r="E135" s="199">
        <v>319</v>
      </c>
      <c r="F135" s="199">
        <v>319</v>
      </c>
      <c r="G135" s="199">
        <v>319</v>
      </c>
    </row>
    <row r="136" spans="1:7" x14ac:dyDescent="0.2">
      <c r="A136" s="3" t="s">
        <v>327</v>
      </c>
      <c r="B136" s="3" t="s">
        <v>328</v>
      </c>
      <c r="C136" s="207"/>
      <c r="D136" s="199">
        <v>203</v>
      </c>
      <c r="E136" s="199">
        <v>224</v>
      </c>
      <c r="F136" s="199">
        <v>224</v>
      </c>
      <c r="G136" s="199">
        <v>224</v>
      </c>
    </row>
    <row r="137" spans="1:7" x14ac:dyDescent="0.2">
      <c r="A137" s="3" t="s">
        <v>329</v>
      </c>
      <c r="B137" s="3" t="s">
        <v>330</v>
      </c>
      <c r="C137" s="207"/>
      <c r="D137" s="199">
        <v>202</v>
      </c>
      <c r="E137" s="199">
        <v>964</v>
      </c>
      <c r="F137" s="199">
        <v>964</v>
      </c>
      <c r="G137" s="199">
        <v>964</v>
      </c>
    </row>
    <row r="138" spans="1:7" x14ac:dyDescent="0.2">
      <c r="A138" s="3" t="s">
        <v>331</v>
      </c>
      <c r="B138" s="3" t="s">
        <v>332</v>
      </c>
      <c r="C138" s="207"/>
      <c r="D138" s="199">
        <v>201</v>
      </c>
      <c r="E138" s="199">
        <v>781</v>
      </c>
      <c r="F138" s="199">
        <v>781</v>
      </c>
      <c r="G138" s="199">
        <v>781</v>
      </c>
    </row>
    <row r="139" spans="1:7" x14ac:dyDescent="0.2">
      <c r="A139" s="3" t="s">
        <v>333</v>
      </c>
      <c r="B139" s="3" t="s">
        <v>334</v>
      </c>
      <c r="C139" s="207"/>
      <c r="D139" s="199">
        <v>200</v>
      </c>
      <c r="E139" s="199">
        <v>534</v>
      </c>
      <c r="F139" s="199">
        <v>534</v>
      </c>
      <c r="G139" s="199">
        <v>534</v>
      </c>
    </row>
    <row r="140" spans="1:7" x14ac:dyDescent="0.2">
      <c r="A140" s="3" t="s">
        <v>335</v>
      </c>
      <c r="B140" s="3" t="s">
        <v>336</v>
      </c>
      <c r="C140" s="207"/>
      <c r="D140" s="199">
        <v>199</v>
      </c>
      <c r="E140" s="199">
        <v>1000</v>
      </c>
      <c r="F140" s="199">
        <v>1000</v>
      </c>
      <c r="G140" s="199">
        <v>1000</v>
      </c>
    </row>
    <row r="141" spans="1:7" x14ac:dyDescent="0.2">
      <c r="A141" s="3" t="s">
        <v>337</v>
      </c>
      <c r="B141" s="3" t="s">
        <v>338</v>
      </c>
      <c r="C141" s="207"/>
      <c r="D141" s="199">
        <v>198</v>
      </c>
      <c r="E141" s="199">
        <v>929</v>
      </c>
      <c r="F141" s="199">
        <v>929</v>
      </c>
      <c r="G141" s="199">
        <v>929</v>
      </c>
    </row>
    <row r="142" spans="1:7" x14ac:dyDescent="0.2">
      <c r="A142" s="3" t="s">
        <v>339</v>
      </c>
      <c r="B142" s="3" t="s">
        <v>340</v>
      </c>
      <c r="C142" s="207"/>
      <c r="D142" s="199">
        <v>197</v>
      </c>
      <c r="E142" s="199">
        <v>554</v>
      </c>
      <c r="F142" s="199">
        <v>554</v>
      </c>
      <c r="G142" s="199">
        <v>554</v>
      </c>
    </row>
    <row r="143" spans="1:7" x14ac:dyDescent="0.2">
      <c r="A143" s="3" t="s">
        <v>341</v>
      </c>
      <c r="B143" s="3" t="s">
        <v>342</v>
      </c>
      <c r="C143" s="207"/>
      <c r="D143" s="199">
        <v>196</v>
      </c>
      <c r="E143" s="199">
        <v>242</v>
      </c>
      <c r="F143" s="199">
        <v>242</v>
      </c>
      <c r="G143" s="199">
        <v>242</v>
      </c>
    </row>
    <row r="144" spans="1:7" x14ac:dyDescent="0.2">
      <c r="A144" s="3" t="s">
        <v>343</v>
      </c>
      <c r="B144" s="3" t="s">
        <v>344</v>
      </c>
      <c r="C144" s="207"/>
      <c r="D144" s="199">
        <v>195</v>
      </c>
      <c r="E144" s="199">
        <v>607</v>
      </c>
      <c r="F144" s="199">
        <v>607</v>
      </c>
      <c r="G144" s="199">
        <v>607</v>
      </c>
    </row>
    <row r="145" spans="1:7" x14ac:dyDescent="0.2">
      <c r="A145" s="3" t="s">
        <v>345</v>
      </c>
      <c r="B145" s="3" t="s">
        <v>346</v>
      </c>
      <c r="C145" s="207"/>
      <c r="D145" s="199">
        <v>194</v>
      </c>
      <c r="E145" s="199">
        <v>341</v>
      </c>
      <c r="F145" s="199">
        <v>341</v>
      </c>
      <c r="G145" s="199">
        <v>341</v>
      </c>
    </row>
    <row r="146" spans="1:7" x14ac:dyDescent="0.2">
      <c r="A146" s="3" t="s">
        <v>347</v>
      </c>
      <c r="B146" s="3" t="s">
        <v>348</v>
      </c>
      <c r="C146" s="207"/>
      <c r="D146" s="199">
        <v>193</v>
      </c>
      <c r="E146" s="199">
        <v>453</v>
      </c>
      <c r="F146" s="199">
        <v>453</v>
      </c>
      <c r="G146" s="199">
        <v>453</v>
      </c>
    </row>
    <row r="147" spans="1:7" x14ac:dyDescent="0.2">
      <c r="A147" s="3" t="s">
        <v>349</v>
      </c>
      <c r="B147" s="3" t="s">
        <v>350</v>
      </c>
      <c r="C147" s="207"/>
      <c r="D147" s="199">
        <v>192</v>
      </c>
      <c r="E147" s="199">
        <v>992</v>
      </c>
      <c r="F147" s="199">
        <v>992</v>
      </c>
      <c r="G147" s="199">
        <v>992</v>
      </c>
    </row>
    <row r="148" spans="1:7" x14ac:dyDescent="0.2">
      <c r="A148" s="3" t="s">
        <v>351</v>
      </c>
      <c r="B148" s="3" t="s">
        <v>352</v>
      </c>
      <c r="C148" s="207"/>
      <c r="D148" s="199">
        <v>191</v>
      </c>
      <c r="E148" s="199">
        <v>895</v>
      </c>
      <c r="F148" s="199">
        <v>895</v>
      </c>
      <c r="G148" s="199">
        <v>895</v>
      </c>
    </row>
    <row r="149" spans="1:7" x14ac:dyDescent="0.2">
      <c r="A149" s="3" t="s">
        <v>353</v>
      </c>
      <c r="B149" s="3" t="s">
        <v>354</v>
      </c>
      <c r="C149" s="207"/>
      <c r="D149" s="199">
        <v>190</v>
      </c>
      <c r="E149" s="199">
        <v>395</v>
      </c>
      <c r="F149" s="199">
        <v>395</v>
      </c>
      <c r="G149" s="199">
        <v>395</v>
      </c>
    </row>
    <row r="150" spans="1:7" x14ac:dyDescent="0.2">
      <c r="A150" s="3" t="s">
        <v>355</v>
      </c>
      <c r="B150" s="3" t="s">
        <v>356</v>
      </c>
      <c r="C150" s="207"/>
      <c r="D150" s="199">
        <v>189</v>
      </c>
      <c r="E150" s="199">
        <v>367</v>
      </c>
      <c r="F150" s="199">
        <v>367</v>
      </c>
      <c r="G150" s="199">
        <v>367</v>
      </c>
    </row>
    <row r="151" spans="1:7" x14ac:dyDescent="0.2">
      <c r="A151" s="3" t="s">
        <v>357</v>
      </c>
      <c r="B151" s="3" t="s">
        <v>358</v>
      </c>
      <c r="C151" s="207"/>
      <c r="D151" s="199">
        <v>188</v>
      </c>
      <c r="E151" s="199">
        <v>445</v>
      </c>
      <c r="F151" s="199">
        <v>445</v>
      </c>
      <c r="G151" s="199">
        <v>445</v>
      </c>
    </row>
    <row r="152" spans="1:7" x14ac:dyDescent="0.2">
      <c r="A152" s="3" t="s">
        <v>359</v>
      </c>
      <c r="B152" s="3" t="s">
        <v>360</v>
      </c>
      <c r="C152" s="207"/>
      <c r="D152" s="199">
        <v>187</v>
      </c>
      <c r="E152" s="199">
        <v>253</v>
      </c>
      <c r="F152" s="199">
        <v>253</v>
      </c>
      <c r="G152" s="199">
        <v>253</v>
      </c>
    </row>
    <row r="153" spans="1:7" x14ac:dyDescent="0.2">
      <c r="A153" s="3" t="s">
        <v>361</v>
      </c>
      <c r="B153" s="3" t="s">
        <v>362</v>
      </c>
      <c r="C153" s="207"/>
      <c r="D153" s="199">
        <v>186</v>
      </c>
      <c r="E153" s="199">
        <v>278</v>
      </c>
      <c r="F153" s="199">
        <v>278</v>
      </c>
      <c r="G153" s="199">
        <v>278</v>
      </c>
    </row>
    <row r="154" spans="1:7" x14ac:dyDescent="0.2">
      <c r="A154" s="3" t="s">
        <v>363</v>
      </c>
      <c r="B154" s="3" t="s">
        <v>364</v>
      </c>
      <c r="C154" s="207"/>
      <c r="D154" s="199">
        <v>185</v>
      </c>
      <c r="E154" s="199">
        <v>802</v>
      </c>
      <c r="F154" s="199">
        <v>802</v>
      </c>
      <c r="G154" s="199">
        <v>802</v>
      </c>
    </row>
    <row r="155" spans="1:7" x14ac:dyDescent="0.2">
      <c r="A155" s="3" t="s">
        <v>365</v>
      </c>
      <c r="B155" s="3" t="s">
        <v>366</v>
      </c>
      <c r="C155" s="207"/>
      <c r="D155" s="199">
        <v>184</v>
      </c>
      <c r="E155" s="199">
        <v>723</v>
      </c>
      <c r="F155" s="199">
        <v>723</v>
      </c>
      <c r="G155" s="199">
        <v>723</v>
      </c>
    </row>
    <row r="156" spans="1:7" x14ac:dyDescent="0.2">
      <c r="A156" s="3" t="s">
        <v>367</v>
      </c>
      <c r="B156" s="3" t="s">
        <v>368</v>
      </c>
      <c r="C156" s="207"/>
      <c r="D156" s="199">
        <v>183</v>
      </c>
      <c r="E156" s="199">
        <v>426</v>
      </c>
      <c r="F156" s="199">
        <v>426</v>
      </c>
      <c r="G156" s="199">
        <v>426</v>
      </c>
    </row>
    <row r="157" spans="1:7" x14ac:dyDescent="0.2">
      <c r="A157" s="3" t="s">
        <v>369</v>
      </c>
      <c r="B157" s="3" t="s">
        <v>370</v>
      </c>
      <c r="C157" s="207"/>
      <c r="D157" s="199">
        <v>182</v>
      </c>
      <c r="E157" s="199">
        <v>243</v>
      </c>
      <c r="F157" s="199">
        <v>243</v>
      </c>
      <c r="G157" s="199">
        <v>243</v>
      </c>
    </row>
    <row r="158" spans="1:7" x14ac:dyDescent="0.2">
      <c r="A158" s="3" t="s">
        <v>371</v>
      </c>
      <c r="B158" s="3" t="s">
        <v>372</v>
      </c>
      <c r="C158" s="207"/>
      <c r="D158" s="199">
        <v>181</v>
      </c>
      <c r="E158" s="199">
        <v>303</v>
      </c>
      <c r="F158" s="199">
        <v>303</v>
      </c>
      <c r="G158" s="199">
        <v>303</v>
      </c>
    </row>
    <row r="159" spans="1:7" x14ac:dyDescent="0.2">
      <c r="A159" s="3" t="s">
        <v>373</v>
      </c>
      <c r="B159" s="3" t="s">
        <v>374</v>
      </c>
      <c r="C159" s="207"/>
      <c r="D159" s="199">
        <v>180</v>
      </c>
      <c r="E159" s="199">
        <v>184</v>
      </c>
      <c r="F159" s="199">
        <v>184</v>
      </c>
      <c r="G159" s="199">
        <v>184</v>
      </c>
    </row>
    <row r="160" spans="1:7" x14ac:dyDescent="0.2">
      <c r="A160" s="3" t="s">
        <v>375</v>
      </c>
      <c r="B160" s="3" t="s">
        <v>376</v>
      </c>
      <c r="C160" s="207"/>
      <c r="D160" s="199">
        <v>179</v>
      </c>
      <c r="E160" s="199">
        <v>840</v>
      </c>
      <c r="F160" s="199">
        <v>840</v>
      </c>
      <c r="G160" s="199">
        <v>840</v>
      </c>
    </row>
    <row r="161" spans="1:7" x14ac:dyDescent="0.2">
      <c r="A161" s="3" t="s">
        <v>377</v>
      </c>
      <c r="B161" s="3" t="s">
        <v>378</v>
      </c>
      <c r="C161" s="207"/>
      <c r="D161" s="199">
        <v>178</v>
      </c>
      <c r="E161" s="199">
        <v>822</v>
      </c>
      <c r="F161" s="199">
        <v>822</v>
      </c>
      <c r="G161" s="199">
        <v>822</v>
      </c>
    </row>
    <row r="162" spans="1:7" x14ac:dyDescent="0.2">
      <c r="A162" s="3" t="s">
        <v>379</v>
      </c>
      <c r="B162" s="3" t="s">
        <v>380</v>
      </c>
      <c r="C162" s="207"/>
      <c r="D162" s="199">
        <v>177</v>
      </c>
      <c r="E162" s="199">
        <v>233</v>
      </c>
      <c r="F162" s="199">
        <v>233</v>
      </c>
      <c r="G162" s="199">
        <v>233</v>
      </c>
    </row>
    <row r="163" spans="1:7" x14ac:dyDescent="0.2">
      <c r="A163" s="3" t="s">
        <v>381</v>
      </c>
      <c r="B163" s="3" t="s">
        <v>382</v>
      </c>
      <c r="C163" s="207"/>
      <c r="D163" s="199">
        <v>176</v>
      </c>
      <c r="E163" s="199">
        <v>813</v>
      </c>
      <c r="F163" s="199">
        <v>813</v>
      </c>
      <c r="G163" s="199">
        <v>813</v>
      </c>
    </row>
    <row r="164" spans="1:7" x14ac:dyDescent="0.2">
      <c r="A164" s="3" t="s">
        <v>383</v>
      </c>
      <c r="B164" s="3" t="s">
        <v>384</v>
      </c>
      <c r="C164" s="207"/>
      <c r="D164" s="199">
        <v>175</v>
      </c>
      <c r="E164" s="199">
        <v>730</v>
      </c>
      <c r="F164" s="199">
        <v>730</v>
      </c>
      <c r="G164" s="199">
        <v>730</v>
      </c>
    </row>
    <row r="165" spans="1:7" x14ac:dyDescent="0.2">
      <c r="A165" s="3" t="s">
        <v>385</v>
      </c>
      <c r="B165" s="3" t="s">
        <v>386</v>
      </c>
      <c r="C165" s="207"/>
      <c r="D165" s="199">
        <v>174</v>
      </c>
      <c r="E165" s="199">
        <v>970</v>
      </c>
      <c r="F165" s="199">
        <v>970</v>
      </c>
      <c r="G165" s="199">
        <v>970</v>
      </c>
    </row>
    <row r="166" spans="1:7" x14ac:dyDescent="0.2">
      <c r="A166" s="3" t="s">
        <v>387</v>
      </c>
      <c r="B166" s="3" t="s">
        <v>388</v>
      </c>
      <c r="C166" s="207"/>
      <c r="D166" s="199">
        <v>173</v>
      </c>
      <c r="E166" s="199">
        <v>356</v>
      </c>
      <c r="F166" s="199">
        <v>356</v>
      </c>
      <c r="G166" s="199">
        <v>356</v>
      </c>
    </row>
    <row r="167" spans="1:7" x14ac:dyDescent="0.2">
      <c r="A167" s="3" t="s">
        <v>389</v>
      </c>
      <c r="B167" s="3" t="s">
        <v>390</v>
      </c>
      <c r="C167" s="207"/>
      <c r="D167" s="199">
        <v>172</v>
      </c>
      <c r="E167" s="199">
        <v>345</v>
      </c>
      <c r="F167" s="199">
        <v>345</v>
      </c>
      <c r="G167" s="199">
        <v>345</v>
      </c>
    </row>
    <row r="168" spans="1:7" x14ac:dyDescent="0.2">
      <c r="A168" s="3" t="s">
        <v>391</v>
      </c>
      <c r="B168" s="3" t="s">
        <v>392</v>
      </c>
      <c r="C168" s="207"/>
      <c r="D168" s="199">
        <v>171</v>
      </c>
      <c r="E168" s="199">
        <v>570</v>
      </c>
      <c r="F168" s="199">
        <v>570</v>
      </c>
      <c r="G168" s="199">
        <v>570</v>
      </c>
    </row>
    <row r="169" spans="1:7" x14ac:dyDescent="0.2">
      <c r="A169" s="3" t="s">
        <v>393</v>
      </c>
      <c r="B169" s="3" t="s">
        <v>394</v>
      </c>
      <c r="C169" s="207"/>
      <c r="D169" s="199">
        <v>170</v>
      </c>
      <c r="E169" s="199">
        <v>950</v>
      </c>
      <c r="F169" s="199">
        <v>950</v>
      </c>
      <c r="G169" s="199">
        <v>950</v>
      </c>
    </row>
    <row r="170" spans="1:7" x14ac:dyDescent="0.2">
      <c r="A170" s="3" t="s">
        <v>395</v>
      </c>
      <c r="B170" s="3" t="s">
        <v>396</v>
      </c>
      <c r="C170" s="207"/>
      <c r="D170" s="199">
        <v>169</v>
      </c>
      <c r="E170" s="199">
        <v>210</v>
      </c>
      <c r="F170" s="199">
        <v>210</v>
      </c>
      <c r="G170" s="199">
        <v>210</v>
      </c>
    </row>
    <row r="171" spans="1:7" x14ac:dyDescent="0.2">
      <c r="A171" s="3" t="s">
        <v>397</v>
      </c>
      <c r="B171" s="3" t="s">
        <v>398</v>
      </c>
      <c r="C171" s="207"/>
      <c r="D171" s="199">
        <v>168</v>
      </c>
      <c r="E171" s="199">
        <v>253</v>
      </c>
      <c r="F171" s="199">
        <v>253</v>
      </c>
      <c r="G171" s="199">
        <v>253</v>
      </c>
    </row>
    <row r="172" spans="1:7" x14ac:dyDescent="0.2">
      <c r="A172" s="3" t="s">
        <v>399</v>
      </c>
      <c r="B172" s="3" t="s">
        <v>400</v>
      </c>
      <c r="C172" s="207"/>
      <c r="D172" s="199">
        <v>167</v>
      </c>
      <c r="E172" s="199">
        <v>232</v>
      </c>
      <c r="F172" s="199">
        <v>232</v>
      </c>
      <c r="G172" s="199">
        <v>232</v>
      </c>
    </row>
    <row r="173" spans="1:7" x14ac:dyDescent="0.2">
      <c r="A173" s="3" t="s">
        <v>401</v>
      </c>
      <c r="B173" s="3" t="s">
        <v>402</v>
      </c>
      <c r="C173" s="207"/>
      <c r="D173" s="199">
        <v>166</v>
      </c>
      <c r="E173" s="199">
        <v>866</v>
      </c>
      <c r="F173" s="199">
        <v>866</v>
      </c>
      <c r="G173" s="199">
        <v>866</v>
      </c>
    </row>
    <row r="174" spans="1:7" x14ac:dyDescent="0.2">
      <c r="A174" s="3" t="s">
        <v>403</v>
      </c>
      <c r="B174" s="3" t="s">
        <v>404</v>
      </c>
      <c r="C174" s="207"/>
      <c r="D174" s="199">
        <v>165</v>
      </c>
      <c r="E174" s="199">
        <v>681</v>
      </c>
      <c r="F174" s="199">
        <v>681</v>
      </c>
      <c r="G174" s="199">
        <v>681</v>
      </c>
    </row>
    <row r="175" spans="1:7" x14ac:dyDescent="0.2">
      <c r="A175" s="3" t="s">
        <v>405</v>
      </c>
      <c r="B175" s="3" t="s">
        <v>406</v>
      </c>
      <c r="C175" s="207"/>
      <c r="D175" s="199">
        <v>164</v>
      </c>
      <c r="E175" s="199">
        <v>420</v>
      </c>
      <c r="F175" s="199">
        <v>420</v>
      </c>
      <c r="G175" s="199">
        <v>420</v>
      </c>
    </row>
    <row r="176" spans="1:7" x14ac:dyDescent="0.2">
      <c r="A176" s="3" t="s">
        <v>407</v>
      </c>
      <c r="B176" s="3" t="s">
        <v>408</v>
      </c>
      <c r="C176" s="207"/>
      <c r="D176" s="199">
        <v>163</v>
      </c>
      <c r="E176" s="199">
        <v>707</v>
      </c>
      <c r="F176" s="199">
        <v>707</v>
      </c>
      <c r="G176" s="199">
        <v>707</v>
      </c>
    </row>
    <row r="177" spans="1:7" x14ac:dyDescent="0.2">
      <c r="A177" s="3" t="s">
        <v>409</v>
      </c>
      <c r="B177" s="3" t="s">
        <v>410</v>
      </c>
      <c r="C177" s="207"/>
      <c r="D177" s="199">
        <v>162</v>
      </c>
      <c r="E177" s="199">
        <v>286</v>
      </c>
      <c r="F177" s="199">
        <v>286</v>
      </c>
      <c r="G177" s="199">
        <v>286</v>
      </c>
    </row>
    <row r="178" spans="1:7" x14ac:dyDescent="0.2">
      <c r="A178" s="3" t="s">
        <v>411</v>
      </c>
      <c r="B178" s="3" t="s">
        <v>412</v>
      </c>
      <c r="C178" s="207"/>
      <c r="D178" s="199">
        <v>161</v>
      </c>
      <c r="E178" s="199">
        <v>388</v>
      </c>
      <c r="F178" s="199">
        <v>388</v>
      </c>
      <c r="G178" s="199">
        <v>388</v>
      </c>
    </row>
    <row r="179" spans="1:7" x14ac:dyDescent="0.2">
      <c r="A179" s="3" t="s">
        <v>413</v>
      </c>
      <c r="B179" s="3" t="s">
        <v>414</v>
      </c>
      <c r="C179" s="207"/>
      <c r="D179" s="199">
        <v>160</v>
      </c>
      <c r="E179" s="199">
        <v>759</v>
      </c>
      <c r="F179" s="199">
        <v>759</v>
      </c>
      <c r="G179" s="199">
        <v>759</v>
      </c>
    </row>
    <row r="180" spans="1:7" x14ac:dyDescent="0.2">
      <c r="A180" s="3" t="s">
        <v>415</v>
      </c>
      <c r="B180" s="3" t="s">
        <v>416</v>
      </c>
      <c r="C180" s="207"/>
      <c r="D180" s="199">
        <v>159</v>
      </c>
      <c r="E180" s="199">
        <v>464</v>
      </c>
      <c r="F180" s="199">
        <v>464</v>
      </c>
      <c r="G180" s="199">
        <v>464</v>
      </c>
    </row>
    <row r="181" spans="1:7" x14ac:dyDescent="0.2">
      <c r="A181" s="3" t="s">
        <v>417</v>
      </c>
      <c r="B181" s="3" t="s">
        <v>418</v>
      </c>
      <c r="C181" s="207"/>
      <c r="D181" s="199">
        <v>158</v>
      </c>
      <c r="E181" s="199">
        <v>445</v>
      </c>
      <c r="F181" s="199">
        <v>445</v>
      </c>
      <c r="G181" s="199">
        <v>445</v>
      </c>
    </row>
    <row r="182" spans="1:7" x14ac:dyDescent="0.2">
      <c r="A182" s="3" t="s">
        <v>419</v>
      </c>
      <c r="B182" s="3" t="s">
        <v>420</v>
      </c>
      <c r="C182" s="207"/>
      <c r="D182" s="199">
        <v>157</v>
      </c>
      <c r="E182" s="199">
        <v>253</v>
      </c>
      <c r="F182" s="199">
        <v>253</v>
      </c>
      <c r="G182" s="199">
        <v>253</v>
      </c>
    </row>
    <row r="183" spans="1:7" x14ac:dyDescent="0.2">
      <c r="A183" s="3" t="s">
        <v>421</v>
      </c>
      <c r="B183" s="3" t="s">
        <v>422</v>
      </c>
      <c r="C183" s="207"/>
      <c r="D183" s="199">
        <v>156</v>
      </c>
      <c r="E183" s="199">
        <v>198</v>
      </c>
      <c r="F183" s="199">
        <v>198</v>
      </c>
      <c r="G183" s="199">
        <v>198</v>
      </c>
    </row>
    <row r="184" spans="1:7" x14ac:dyDescent="0.2">
      <c r="A184" s="3" t="s">
        <v>423</v>
      </c>
      <c r="B184" s="3" t="s">
        <v>424</v>
      </c>
      <c r="C184" s="207"/>
      <c r="D184" s="199">
        <v>155</v>
      </c>
      <c r="E184" s="199">
        <v>472</v>
      </c>
      <c r="F184" s="199">
        <v>472</v>
      </c>
      <c r="G184" s="199">
        <v>472</v>
      </c>
    </row>
    <row r="185" spans="1:7" x14ac:dyDescent="0.2">
      <c r="A185" s="3" t="s">
        <v>425</v>
      </c>
      <c r="B185" s="3" t="s">
        <v>426</v>
      </c>
      <c r="C185" s="207"/>
      <c r="D185" s="199">
        <v>154</v>
      </c>
      <c r="E185" s="199">
        <v>889</v>
      </c>
      <c r="F185" s="199">
        <v>889</v>
      </c>
      <c r="G185" s="199">
        <v>889</v>
      </c>
    </row>
    <row r="186" spans="1:7" x14ac:dyDescent="0.2">
      <c r="A186" s="3" t="s">
        <v>427</v>
      </c>
      <c r="B186" s="3" t="s">
        <v>428</v>
      </c>
      <c r="C186" s="207"/>
      <c r="D186" s="199">
        <v>153</v>
      </c>
      <c r="E186" s="199">
        <v>773</v>
      </c>
      <c r="F186" s="199">
        <v>773</v>
      </c>
      <c r="G186" s="199">
        <v>773</v>
      </c>
    </row>
    <row r="187" spans="1:7" x14ac:dyDescent="0.2">
      <c r="A187" s="3" t="s">
        <v>429</v>
      </c>
      <c r="B187" s="3" t="s">
        <v>430</v>
      </c>
      <c r="C187" s="207"/>
      <c r="D187" s="199">
        <v>152</v>
      </c>
      <c r="E187" s="199">
        <v>748</v>
      </c>
      <c r="F187" s="199">
        <v>748</v>
      </c>
      <c r="G187" s="199">
        <v>748</v>
      </c>
    </row>
    <row r="188" spans="1:7" x14ac:dyDescent="0.2">
      <c r="A188" s="3" t="s">
        <v>431</v>
      </c>
      <c r="B188" s="3" t="s">
        <v>432</v>
      </c>
      <c r="C188" s="207"/>
      <c r="D188" s="199">
        <v>151</v>
      </c>
      <c r="E188" s="199">
        <v>309</v>
      </c>
      <c r="F188" s="199">
        <v>309</v>
      </c>
      <c r="G188" s="199">
        <v>309</v>
      </c>
    </row>
    <row r="189" spans="1:7" x14ac:dyDescent="0.2">
      <c r="A189" s="3" t="s">
        <v>433</v>
      </c>
      <c r="B189" s="3" t="s">
        <v>434</v>
      </c>
      <c r="C189" s="207"/>
      <c r="D189" s="199">
        <v>150</v>
      </c>
      <c r="E189" s="199">
        <v>110</v>
      </c>
      <c r="F189" s="199">
        <v>110</v>
      </c>
      <c r="G189" s="199">
        <v>110</v>
      </c>
    </row>
    <row r="190" spans="1:7" x14ac:dyDescent="0.2">
      <c r="A190" s="3" t="s">
        <v>435</v>
      </c>
      <c r="B190" s="3" t="s">
        <v>436</v>
      </c>
      <c r="C190" s="207"/>
      <c r="D190" s="199">
        <v>149</v>
      </c>
      <c r="E190" s="199">
        <v>568</v>
      </c>
      <c r="F190" s="199">
        <v>568</v>
      </c>
      <c r="G190" s="199">
        <v>568</v>
      </c>
    </row>
    <row r="191" spans="1:7" x14ac:dyDescent="0.2">
      <c r="A191" s="3" t="s">
        <v>437</v>
      </c>
      <c r="B191" s="3" t="s">
        <v>438</v>
      </c>
      <c r="C191" s="207"/>
      <c r="D191" s="199">
        <v>148</v>
      </c>
      <c r="E191" s="199">
        <v>556</v>
      </c>
      <c r="F191" s="199">
        <v>556</v>
      </c>
      <c r="G191" s="199">
        <v>556</v>
      </c>
    </row>
    <row r="192" spans="1:7" x14ac:dyDescent="0.2">
      <c r="A192" s="3" t="s">
        <v>439</v>
      </c>
      <c r="B192" s="3" t="s">
        <v>440</v>
      </c>
      <c r="C192" s="207"/>
      <c r="D192" s="199">
        <v>147</v>
      </c>
      <c r="E192" s="199">
        <v>438</v>
      </c>
      <c r="F192" s="199">
        <v>438</v>
      </c>
      <c r="G192" s="199">
        <v>438</v>
      </c>
    </row>
    <row r="193" spans="1:7" x14ac:dyDescent="0.2">
      <c r="A193" s="3" t="s">
        <v>441</v>
      </c>
      <c r="B193" s="3" t="s">
        <v>442</v>
      </c>
      <c r="C193" s="207"/>
      <c r="D193" s="199">
        <v>146</v>
      </c>
      <c r="E193" s="199">
        <v>998</v>
      </c>
      <c r="F193" s="199">
        <v>998</v>
      </c>
      <c r="G193" s="199">
        <v>998</v>
      </c>
    </row>
    <row r="194" spans="1:7" x14ac:dyDescent="0.2">
      <c r="A194" s="3" t="s">
        <v>443</v>
      </c>
      <c r="B194" s="3" t="s">
        <v>444</v>
      </c>
      <c r="C194" s="207"/>
      <c r="D194" s="199">
        <v>145</v>
      </c>
      <c r="E194" s="199">
        <v>182</v>
      </c>
      <c r="F194" s="199">
        <v>182</v>
      </c>
      <c r="G194" s="199">
        <v>182</v>
      </c>
    </row>
    <row r="195" spans="1:7" x14ac:dyDescent="0.2">
      <c r="A195" s="3" t="s">
        <v>445</v>
      </c>
      <c r="B195" s="3" t="s">
        <v>446</v>
      </c>
      <c r="C195" s="207"/>
      <c r="D195" s="199">
        <v>144</v>
      </c>
      <c r="E195" s="199">
        <v>782</v>
      </c>
      <c r="F195" s="199">
        <v>782</v>
      </c>
      <c r="G195" s="199">
        <v>782</v>
      </c>
    </row>
    <row r="196" spans="1:7" x14ac:dyDescent="0.2">
      <c r="A196" s="3" t="s">
        <v>447</v>
      </c>
      <c r="B196" s="3" t="s">
        <v>448</v>
      </c>
      <c r="C196" s="207"/>
      <c r="D196" s="199">
        <v>143</v>
      </c>
      <c r="E196" s="199">
        <v>741</v>
      </c>
      <c r="F196" s="199">
        <v>741</v>
      </c>
      <c r="G196" s="199">
        <v>741</v>
      </c>
    </row>
    <row r="197" spans="1:7" x14ac:dyDescent="0.2">
      <c r="A197" s="3" t="s">
        <v>449</v>
      </c>
      <c r="B197" s="3" t="s">
        <v>450</v>
      </c>
      <c r="C197" s="207"/>
      <c r="D197" s="199">
        <v>142</v>
      </c>
      <c r="E197" s="199">
        <v>586</v>
      </c>
      <c r="F197" s="199">
        <v>586</v>
      </c>
      <c r="G197" s="199">
        <v>586</v>
      </c>
    </row>
    <row r="198" spans="1:7" x14ac:dyDescent="0.2">
      <c r="A198" s="3" t="s">
        <v>451</v>
      </c>
      <c r="B198" s="3" t="s">
        <v>452</v>
      </c>
      <c r="C198" s="207"/>
      <c r="D198" s="199">
        <v>141</v>
      </c>
      <c r="E198" s="199">
        <v>181</v>
      </c>
      <c r="F198" s="199">
        <v>181</v>
      </c>
      <c r="G198" s="199">
        <v>181</v>
      </c>
    </row>
    <row r="199" spans="1:7" x14ac:dyDescent="0.2">
      <c r="A199" s="3" t="s">
        <v>453</v>
      </c>
      <c r="B199" s="3" t="s">
        <v>454</v>
      </c>
      <c r="C199" s="207"/>
      <c r="D199" s="199">
        <v>140</v>
      </c>
      <c r="E199" s="199">
        <v>413</v>
      </c>
      <c r="F199" s="199">
        <v>413</v>
      </c>
      <c r="G199" s="199">
        <v>413</v>
      </c>
    </row>
    <row r="200" spans="1:7" x14ac:dyDescent="0.2">
      <c r="A200" s="3" t="s">
        <v>455</v>
      </c>
      <c r="B200" s="3" t="s">
        <v>456</v>
      </c>
      <c r="C200" s="207"/>
      <c r="D200" s="199">
        <v>139</v>
      </c>
      <c r="E200" s="199">
        <v>858</v>
      </c>
      <c r="F200" s="199">
        <v>858</v>
      </c>
      <c r="G200" s="199">
        <v>858</v>
      </c>
    </row>
    <row r="201" spans="1:7" x14ac:dyDescent="0.2">
      <c r="A201" s="3" t="s">
        <v>457</v>
      </c>
      <c r="B201" s="3" t="s">
        <v>458</v>
      </c>
      <c r="C201" s="207"/>
      <c r="D201" s="199">
        <v>138</v>
      </c>
      <c r="E201" s="199">
        <v>152</v>
      </c>
      <c r="F201" s="199">
        <v>152</v>
      </c>
      <c r="G201" s="199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90" zoomScaleNormal="90" workbookViewId="0">
      <selection activeCell="F1" sqref="F1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/>
      <c r="E2" s="32"/>
      <c r="F2" s="1"/>
    </row>
    <row r="3" spans="1:6" x14ac:dyDescent="0.2">
      <c r="A3" s="201" t="s">
        <v>507</v>
      </c>
      <c r="B3" s="201" t="s">
        <v>878</v>
      </c>
      <c r="C3" s="200"/>
      <c r="D3" s="202"/>
      <c r="E3" s="203"/>
      <c r="F3" s="204"/>
    </row>
    <row r="4" spans="1:6" x14ac:dyDescent="0.2">
      <c r="A4" s="201" t="s">
        <v>508</v>
      </c>
      <c r="B4" s="201" t="s">
        <v>879</v>
      </c>
      <c r="C4" s="200"/>
      <c r="D4" s="202"/>
      <c r="E4" s="203"/>
      <c r="F4" s="204"/>
    </row>
    <row r="5" spans="1:6" x14ac:dyDescent="0.2">
      <c r="A5" s="201" t="s">
        <v>509</v>
      </c>
      <c r="B5" s="201" t="s">
        <v>880</v>
      </c>
      <c r="C5" s="200"/>
      <c r="D5" s="202"/>
      <c r="E5" s="203"/>
      <c r="F5" s="204"/>
    </row>
    <row r="6" spans="1:6" x14ac:dyDescent="0.2">
      <c r="A6" s="201" t="s">
        <v>178</v>
      </c>
      <c r="B6" s="201" t="s">
        <v>179</v>
      </c>
      <c r="C6" s="200"/>
      <c r="D6" s="202"/>
      <c r="E6" s="203"/>
      <c r="F6" s="204"/>
    </row>
    <row r="7" spans="1:6" x14ac:dyDescent="0.2">
      <c r="A7" s="201" t="s">
        <v>510</v>
      </c>
      <c r="B7" s="201" t="s">
        <v>861</v>
      </c>
      <c r="C7" s="200"/>
      <c r="D7" s="202"/>
      <c r="E7" s="203"/>
      <c r="F7" s="204"/>
    </row>
    <row r="8" spans="1:6" x14ac:dyDescent="0.2">
      <c r="A8" s="201" t="s">
        <v>198</v>
      </c>
      <c r="B8" s="201" t="s">
        <v>199</v>
      </c>
      <c r="C8" s="200"/>
      <c r="D8" s="202"/>
      <c r="E8" s="203"/>
      <c r="F8" s="204"/>
    </row>
    <row r="9" spans="1:6" x14ac:dyDescent="0.2">
      <c r="A9" s="201" t="s">
        <v>203</v>
      </c>
      <c r="B9" s="201" t="s">
        <v>204</v>
      </c>
      <c r="C9" s="200"/>
      <c r="D9" s="202"/>
      <c r="E9" s="203"/>
      <c r="F9" s="204"/>
    </row>
    <row r="10" spans="1:6" x14ac:dyDescent="0.2">
      <c r="A10" s="201" t="s">
        <v>217</v>
      </c>
      <c r="B10" s="201" t="s">
        <v>218</v>
      </c>
      <c r="C10" s="200"/>
      <c r="D10" s="202"/>
      <c r="E10" s="203"/>
      <c r="F10" s="204"/>
    </row>
    <row r="11" spans="1:6" x14ac:dyDescent="0.2">
      <c r="A11" s="201" t="s">
        <v>511</v>
      </c>
      <c r="B11" s="201" t="s">
        <v>862</v>
      </c>
      <c r="C11" s="200"/>
      <c r="D11" s="202"/>
      <c r="E11" s="203"/>
      <c r="F11" s="204"/>
    </row>
    <row r="12" spans="1:6" x14ac:dyDescent="0.2">
      <c r="A12" s="201" t="s">
        <v>176</v>
      </c>
      <c r="B12" s="201" t="s">
        <v>177</v>
      </c>
      <c r="C12" s="200"/>
      <c r="D12" s="202"/>
      <c r="E12" s="203"/>
      <c r="F12" s="204"/>
    </row>
    <row r="13" spans="1:6" x14ac:dyDescent="0.2">
      <c r="A13" s="201" t="s">
        <v>512</v>
      </c>
      <c r="B13" s="201" t="s">
        <v>863</v>
      </c>
      <c r="C13" s="200"/>
      <c r="D13" s="202"/>
      <c r="E13" s="203"/>
      <c r="F13" s="204"/>
    </row>
    <row r="14" spans="1:6" x14ac:dyDescent="0.2">
      <c r="A14" s="201" t="s">
        <v>190</v>
      </c>
      <c r="B14" s="201" t="s">
        <v>191</v>
      </c>
      <c r="C14" s="200"/>
      <c r="D14" s="202"/>
      <c r="E14" s="203"/>
      <c r="F14" s="204"/>
    </row>
    <row r="15" spans="1:6" x14ac:dyDescent="0.2">
      <c r="A15" s="201" t="s">
        <v>513</v>
      </c>
      <c r="B15" s="201" t="s">
        <v>864</v>
      </c>
      <c r="C15" s="200"/>
      <c r="D15" s="202"/>
      <c r="E15" s="203"/>
      <c r="F15" s="204"/>
    </row>
    <row r="16" spans="1:6" x14ac:dyDescent="0.2">
      <c r="A16" s="201" t="s">
        <v>514</v>
      </c>
      <c r="B16" s="201" t="s">
        <v>865</v>
      </c>
      <c r="C16" s="200"/>
      <c r="D16" s="202"/>
      <c r="E16" s="203"/>
      <c r="F16" s="204"/>
    </row>
    <row r="17" spans="1:6" x14ac:dyDescent="0.2">
      <c r="A17" s="201" t="s">
        <v>515</v>
      </c>
      <c r="B17" s="201" t="s">
        <v>866</v>
      </c>
      <c r="C17" s="200"/>
      <c r="D17" s="202"/>
      <c r="E17" s="203"/>
      <c r="F17" s="204"/>
    </row>
    <row r="18" spans="1:6" x14ac:dyDescent="0.2">
      <c r="A18" s="201" t="s">
        <v>516</v>
      </c>
      <c r="B18" s="201" t="s">
        <v>868</v>
      </c>
      <c r="C18" s="200"/>
      <c r="D18" s="202"/>
      <c r="E18" s="203"/>
      <c r="F18" s="204"/>
    </row>
    <row r="19" spans="1:6" x14ac:dyDescent="0.2">
      <c r="A19" s="201" t="s">
        <v>517</v>
      </c>
      <c r="B19" s="201" t="s">
        <v>867</v>
      </c>
      <c r="C19" s="200"/>
      <c r="D19" s="202"/>
      <c r="E19" s="203"/>
      <c r="F19" s="204"/>
    </row>
    <row r="20" spans="1:6" x14ac:dyDescent="0.2">
      <c r="A20" s="201" t="s">
        <v>518</v>
      </c>
      <c r="B20" s="201" t="s">
        <v>869</v>
      </c>
      <c r="C20" s="200"/>
      <c r="D20" s="202"/>
      <c r="E20" s="203"/>
      <c r="F20" s="204"/>
    </row>
    <row r="21" spans="1:6" x14ac:dyDescent="0.2">
      <c r="A21" s="201" t="s">
        <v>519</v>
      </c>
      <c r="B21" s="201" t="s">
        <v>870</v>
      </c>
      <c r="C21" s="200"/>
      <c r="D21" s="202"/>
      <c r="E21" s="203"/>
      <c r="F21" s="204"/>
    </row>
    <row r="22" spans="1:6" x14ac:dyDescent="0.2">
      <c r="A22" s="201" t="s">
        <v>520</v>
      </c>
      <c r="B22" s="201" t="s">
        <v>871</v>
      </c>
      <c r="C22" s="200"/>
      <c r="D22" s="202"/>
      <c r="E22" s="203"/>
      <c r="F22" s="204"/>
    </row>
    <row r="23" spans="1:6" x14ac:dyDescent="0.2">
      <c r="A23" s="201" t="s">
        <v>521</v>
      </c>
      <c r="B23" s="201" t="s">
        <v>872</v>
      </c>
      <c r="C23" s="200"/>
      <c r="D23" s="202"/>
      <c r="E23" s="203"/>
      <c r="F23" s="204"/>
    </row>
    <row r="24" spans="1:6" x14ac:dyDescent="0.2">
      <c r="A24" s="201" t="s">
        <v>522</v>
      </c>
      <c r="B24" s="201" t="s">
        <v>873</v>
      </c>
      <c r="C24" s="200"/>
      <c r="D24" s="202"/>
      <c r="E24" s="203"/>
      <c r="F24" s="204"/>
    </row>
    <row r="25" spans="1:6" x14ac:dyDescent="0.2">
      <c r="A25" s="201" t="s">
        <v>523</v>
      </c>
      <c r="B25" s="201" t="s">
        <v>874</v>
      </c>
      <c r="C25" s="200"/>
      <c r="D25" s="202"/>
      <c r="E25" s="203"/>
      <c r="F25" s="204"/>
    </row>
    <row r="26" spans="1:6" x14ac:dyDescent="0.2">
      <c r="A26" s="201" t="s">
        <v>524</v>
      </c>
      <c r="B26" s="201" t="s">
        <v>875</v>
      </c>
      <c r="C26" s="200"/>
      <c r="D26" s="202"/>
      <c r="E26" s="203"/>
      <c r="F26" s="204"/>
    </row>
    <row r="27" spans="1:6" x14ac:dyDescent="0.2">
      <c r="A27" s="201" t="s">
        <v>525</v>
      </c>
      <c r="B27" s="201" t="s">
        <v>876</v>
      </c>
      <c r="C27" s="200"/>
      <c r="D27" s="202"/>
      <c r="E27" s="203"/>
      <c r="F27" s="204"/>
    </row>
    <row r="28" spans="1:6" x14ac:dyDescent="0.2">
      <c r="A28" s="201" t="s">
        <v>526</v>
      </c>
      <c r="B28" s="201" t="s">
        <v>877</v>
      </c>
      <c r="C28" s="200"/>
      <c r="D28" s="202"/>
      <c r="E28" s="203"/>
      <c r="F28" s="204"/>
    </row>
    <row r="29" spans="1:6" x14ac:dyDescent="0.2">
      <c r="A29" s="201" t="s">
        <v>527</v>
      </c>
      <c r="B29" s="201" t="s">
        <v>881</v>
      </c>
      <c r="C29" s="200"/>
      <c r="D29" s="202"/>
      <c r="E29" s="203"/>
      <c r="F29" s="204"/>
    </row>
    <row r="30" spans="1:6" x14ac:dyDescent="0.2">
      <c r="A30" s="201" t="s">
        <v>528</v>
      </c>
      <c r="B30" s="201" t="s">
        <v>882</v>
      </c>
      <c r="C30" s="200"/>
      <c r="D30" s="202"/>
      <c r="E30" s="203"/>
      <c r="F30" s="204"/>
    </row>
    <row r="31" spans="1:6" x14ac:dyDescent="0.2">
      <c r="A31" s="201" t="s">
        <v>529</v>
      </c>
      <c r="B31" s="201" t="s">
        <v>883</v>
      </c>
      <c r="C31" s="200"/>
      <c r="D31" s="202"/>
      <c r="E31" s="203"/>
      <c r="F31" s="204"/>
    </row>
    <row r="32" spans="1:6" x14ac:dyDescent="0.2">
      <c r="A32" s="201" t="s">
        <v>530</v>
      </c>
      <c r="B32" s="201" t="s">
        <v>884</v>
      </c>
      <c r="C32" s="200"/>
      <c r="D32" s="202"/>
      <c r="E32" s="203"/>
      <c r="F32" s="204"/>
    </row>
    <row r="33" spans="1:6" x14ac:dyDescent="0.2">
      <c r="A33" s="201" t="s">
        <v>531</v>
      </c>
      <c r="B33" s="201" t="s">
        <v>885</v>
      </c>
      <c r="C33" s="200"/>
      <c r="D33" s="202"/>
      <c r="E33" s="203"/>
      <c r="F33" s="204"/>
    </row>
    <row r="34" spans="1:6" x14ac:dyDescent="0.2">
      <c r="A34" s="201" t="s">
        <v>532</v>
      </c>
      <c r="B34" s="201" t="s">
        <v>886</v>
      </c>
      <c r="C34" s="200"/>
      <c r="D34" s="202"/>
      <c r="E34" s="203"/>
      <c r="F34" s="204"/>
    </row>
    <row r="35" spans="1:6" x14ac:dyDescent="0.2">
      <c r="A35" s="201" t="s">
        <v>533</v>
      </c>
      <c r="B35" s="201" t="s">
        <v>887</v>
      </c>
      <c r="C35" s="200"/>
      <c r="D35" s="202"/>
      <c r="E35" s="203"/>
      <c r="F35" s="204"/>
    </row>
    <row r="36" spans="1:6" x14ac:dyDescent="0.2">
      <c r="A36" s="201" t="s">
        <v>534</v>
      </c>
      <c r="B36" s="201" t="s">
        <v>888</v>
      </c>
      <c r="C36" s="200"/>
      <c r="D36" s="202"/>
      <c r="E36" s="203"/>
      <c r="F36" s="204"/>
    </row>
    <row r="37" spans="1:6" x14ac:dyDescent="0.2">
      <c r="A37" s="201" t="s">
        <v>535</v>
      </c>
      <c r="B37" s="201" t="s">
        <v>889</v>
      </c>
      <c r="C37" s="200"/>
      <c r="D37" s="202"/>
      <c r="E37" s="203"/>
      <c r="F37" s="204"/>
    </row>
    <row r="38" spans="1:6" x14ac:dyDescent="0.2">
      <c r="A38" s="201" t="s">
        <v>536</v>
      </c>
      <c r="B38" s="201" t="s">
        <v>890</v>
      </c>
      <c r="C38" s="200"/>
      <c r="D38" s="202"/>
      <c r="E38" s="203"/>
      <c r="F38" s="204"/>
    </row>
    <row r="39" spans="1:6" x14ac:dyDescent="0.2">
      <c r="A39" s="201" t="s">
        <v>180</v>
      </c>
      <c r="B39" s="201" t="s">
        <v>181</v>
      </c>
      <c r="C39" s="200"/>
      <c r="D39" s="202"/>
      <c r="E39" s="203"/>
      <c r="F39" s="204"/>
    </row>
    <row r="40" spans="1:6" x14ac:dyDescent="0.2">
      <c r="A40" s="201" t="s">
        <v>537</v>
      </c>
      <c r="B40" s="201" t="s">
        <v>858</v>
      </c>
      <c r="C40" s="200"/>
      <c r="D40" s="202"/>
      <c r="E40" s="203"/>
      <c r="F40" s="204"/>
    </row>
    <row r="41" spans="1:6" x14ac:dyDescent="0.2">
      <c r="A41" s="201" t="s">
        <v>538</v>
      </c>
      <c r="B41" s="201" t="s">
        <v>859</v>
      </c>
      <c r="C41" s="200"/>
      <c r="D41" s="202"/>
      <c r="E41" s="203"/>
      <c r="F41" s="204"/>
    </row>
    <row r="42" spans="1:6" x14ac:dyDescent="0.2">
      <c r="A42" s="201" t="s">
        <v>539</v>
      </c>
      <c r="B42" s="201" t="s">
        <v>860</v>
      </c>
      <c r="C42" s="200"/>
      <c r="D42" s="202"/>
      <c r="E42" s="203"/>
      <c r="F42" s="204"/>
    </row>
    <row r="43" spans="1:6" x14ac:dyDescent="0.2">
      <c r="A43" s="201" t="s">
        <v>215</v>
      </c>
      <c r="B43" s="201" t="s">
        <v>216</v>
      </c>
      <c r="C43" s="200"/>
      <c r="D43" s="202"/>
      <c r="E43" s="203"/>
      <c r="F43" s="204"/>
    </row>
    <row r="44" spans="1:6" x14ac:dyDescent="0.2">
      <c r="A44" s="201" t="s">
        <v>540</v>
      </c>
      <c r="B44" s="201" t="s">
        <v>833</v>
      </c>
      <c r="C44" s="200"/>
      <c r="D44" s="202"/>
      <c r="E44" s="203"/>
      <c r="F44" s="204"/>
    </row>
    <row r="45" spans="1:6" x14ac:dyDescent="0.2">
      <c r="A45" s="201" t="s">
        <v>211</v>
      </c>
      <c r="B45" s="201" t="s">
        <v>212</v>
      </c>
      <c r="C45" s="200"/>
      <c r="D45" s="202"/>
      <c r="E45" s="203"/>
      <c r="F45" s="204"/>
    </row>
    <row r="46" spans="1:6" x14ac:dyDescent="0.2">
      <c r="A46" s="201" t="s">
        <v>207</v>
      </c>
      <c r="B46" s="201" t="s">
        <v>208</v>
      </c>
      <c r="C46" s="200"/>
      <c r="D46" s="202"/>
      <c r="E46" s="203"/>
      <c r="F46" s="204"/>
    </row>
    <row r="47" spans="1:6" x14ac:dyDescent="0.2">
      <c r="A47" s="201" t="s">
        <v>541</v>
      </c>
      <c r="B47" s="201" t="s">
        <v>851</v>
      </c>
      <c r="C47" s="200"/>
      <c r="D47" s="202"/>
      <c r="E47" s="203"/>
      <c r="F47" s="204"/>
    </row>
    <row r="48" spans="1:6" x14ac:dyDescent="0.2">
      <c r="A48" s="201" t="s">
        <v>542</v>
      </c>
      <c r="B48" s="201" t="s">
        <v>852</v>
      </c>
      <c r="C48" s="200"/>
      <c r="D48" s="202"/>
      <c r="E48" s="203"/>
      <c r="F48" s="204"/>
    </row>
    <row r="49" spans="1:6" x14ac:dyDescent="0.2">
      <c r="A49" s="201" t="s">
        <v>543</v>
      </c>
      <c r="B49" s="201" t="s">
        <v>853</v>
      </c>
      <c r="C49" s="200"/>
      <c r="D49" s="202"/>
      <c r="E49" s="203"/>
      <c r="F49" s="204"/>
    </row>
    <row r="50" spans="1:6" x14ac:dyDescent="0.2">
      <c r="A50" s="201" t="s">
        <v>544</v>
      </c>
      <c r="B50" s="201" t="s">
        <v>854</v>
      </c>
      <c r="C50" s="200"/>
      <c r="D50" s="202"/>
      <c r="E50" s="203"/>
      <c r="F50" s="204"/>
    </row>
    <row r="51" spans="1:6" x14ac:dyDescent="0.2">
      <c r="A51" s="201" t="s">
        <v>545</v>
      </c>
      <c r="B51" s="201" t="s">
        <v>855</v>
      </c>
      <c r="C51" s="200"/>
      <c r="D51" s="202"/>
      <c r="E51" s="203"/>
      <c r="F51" s="204"/>
    </row>
    <row r="52" spans="1:6" x14ac:dyDescent="0.2">
      <c r="A52" s="201" t="s">
        <v>546</v>
      </c>
      <c r="B52" s="201" t="s">
        <v>856</v>
      </c>
      <c r="C52" s="200"/>
      <c r="D52" s="202"/>
      <c r="E52" s="203"/>
      <c r="F52" s="204"/>
    </row>
    <row r="53" spans="1:6" x14ac:dyDescent="0.2">
      <c r="A53" s="201" t="s">
        <v>547</v>
      </c>
      <c r="B53" s="201" t="s">
        <v>857</v>
      </c>
      <c r="C53" s="200"/>
      <c r="D53" s="202"/>
      <c r="E53" s="203"/>
      <c r="F53" s="204"/>
    </row>
    <row r="54" spans="1:6" x14ac:dyDescent="0.2">
      <c r="A54" s="201" t="s">
        <v>184</v>
      </c>
      <c r="B54" s="201" t="s">
        <v>185</v>
      </c>
      <c r="C54" s="200"/>
      <c r="D54" s="202"/>
      <c r="E54" s="203"/>
      <c r="F54" s="204"/>
    </row>
    <row r="55" spans="1:6" x14ac:dyDescent="0.2">
      <c r="A55" s="201" t="s">
        <v>188</v>
      </c>
      <c r="B55" s="201" t="s">
        <v>189</v>
      </c>
      <c r="C55" s="200"/>
      <c r="D55" s="202"/>
      <c r="E55" s="203"/>
      <c r="F55" s="204"/>
    </row>
    <row r="56" spans="1:6" x14ac:dyDescent="0.2">
      <c r="A56" s="201" t="s">
        <v>209</v>
      </c>
      <c r="B56" s="201" t="s">
        <v>210</v>
      </c>
      <c r="C56" s="200"/>
      <c r="D56" s="202"/>
      <c r="E56" s="203"/>
      <c r="F56" s="204"/>
    </row>
    <row r="57" spans="1:6" x14ac:dyDescent="0.2">
      <c r="A57" s="201" t="s">
        <v>548</v>
      </c>
      <c r="B57" s="201" t="s">
        <v>834</v>
      </c>
      <c r="C57" s="200"/>
      <c r="D57" s="202"/>
      <c r="E57" s="203"/>
      <c r="F57" s="204"/>
    </row>
    <row r="58" spans="1:6" x14ac:dyDescent="0.2">
      <c r="A58" s="201" t="s">
        <v>549</v>
      </c>
      <c r="B58" s="201" t="s">
        <v>835</v>
      </c>
      <c r="C58" s="200"/>
      <c r="D58" s="202"/>
      <c r="E58" s="203"/>
      <c r="F58" s="204"/>
    </row>
    <row r="59" spans="1:6" x14ac:dyDescent="0.2">
      <c r="A59" s="201" t="s">
        <v>550</v>
      </c>
      <c r="B59" s="201" t="s">
        <v>836</v>
      </c>
      <c r="C59" s="200"/>
      <c r="D59" s="202"/>
      <c r="E59" s="203"/>
      <c r="F59" s="204"/>
    </row>
    <row r="60" spans="1:6" x14ac:dyDescent="0.2">
      <c r="A60" s="201" t="s">
        <v>551</v>
      </c>
      <c r="B60" s="201" t="s">
        <v>845</v>
      </c>
      <c r="C60" s="200"/>
      <c r="D60" s="202"/>
      <c r="E60" s="203"/>
      <c r="F60" s="204"/>
    </row>
    <row r="61" spans="1:6" x14ac:dyDescent="0.2">
      <c r="A61" s="201" t="s">
        <v>552</v>
      </c>
      <c r="B61" s="201" t="s">
        <v>846</v>
      </c>
      <c r="C61" s="200"/>
      <c r="D61" s="202"/>
      <c r="E61" s="203"/>
      <c r="F61" s="204"/>
    </row>
    <row r="62" spans="1:6" x14ac:dyDescent="0.2">
      <c r="A62" s="201" t="s">
        <v>553</v>
      </c>
      <c r="B62" s="201" t="s">
        <v>847</v>
      </c>
      <c r="C62" s="200"/>
      <c r="D62" s="202"/>
      <c r="E62" s="203"/>
      <c r="F62" s="204"/>
    </row>
    <row r="63" spans="1:6" x14ac:dyDescent="0.2">
      <c r="A63" s="201" t="s">
        <v>554</v>
      </c>
      <c r="B63" s="201" t="s">
        <v>848</v>
      </c>
      <c r="C63" s="200"/>
      <c r="D63" s="202"/>
      <c r="E63" s="203"/>
      <c r="F63" s="204"/>
    </row>
    <row r="64" spans="1:6" x14ac:dyDescent="0.2">
      <c r="A64" s="201" t="s">
        <v>555</v>
      </c>
      <c r="B64" s="201" t="s">
        <v>849</v>
      </c>
      <c r="C64" s="200"/>
      <c r="D64" s="202"/>
      <c r="E64" s="203"/>
      <c r="F64" s="204"/>
    </row>
    <row r="65" spans="1:6" x14ac:dyDescent="0.2">
      <c r="A65" s="201" t="s">
        <v>556</v>
      </c>
      <c r="B65" s="201" t="s">
        <v>850</v>
      </c>
      <c r="C65" s="200"/>
      <c r="D65" s="202"/>
      <c r="E65" s="203"/>
      <c r="F65" s="204"/>
    </row>
    <row r="66" spans="1:6" x14ac:dyDescent="0.2">
      <c r="A66" s="201" t="s">
        <v>182</v>
      </c>
      <c r="B66" s="201" t="s">
        <v>183</v>
      </c>
      <c r="C66" s="200"/>
      <c r="D66" s="202"/>
      <c r="E66" s="203"/>
      <c r="F66" s="204"/>
    </row>
    <row r="67" spans="1:6" x14ac:dyDescent="0.2">
      <c r="A67" s="201" t="s">
        <v>557</v>
      </c>
      <c r="B67" s="201" t="s">
        <v>837</v>
      </c>
      <c r="C67" s="200"/>
      <c r="D67" s="202"/>
      <c r="E67" s="203"/>
      <c r="F67" s="204"/>
    </row>
    <row r="68" spans="1:6" x14ac:dyDescent="0.2">
      <c r="A68" s="201" t="s">
        <v>192</v>
      </c>
      <c r="B68" s="201" t="s">
        <v>193</v>
      </c>
      <c r="C68" s="200"/>
      <c r="D68" s="202"/>
      <c r="E68" s="203"/>
      <c r="F68" s="204"/>
    </row>
    <row r="69" spans="1:6" x14ac:dyDescent="0.2">
      <c r="A69" s="201" t="s">
        <v>558</v>
      </c>
      <c r="B69" s="201" t="s">
        <v>838</v>
      </c>
      <c r="C69" s="200"/>
      <c r="D69" s="202"/>
      <c r="E69" s="203"/>
      <c r="F69" s="204"/>
    </row>
    <row r="70" spans="1:6" x14ac:dyDescent="0.2">
      <c r="A70" s="201" t="s">
        <v>186</v>
      </c>
      <c r="B70" s="201" t="s">
        <v>187</v>
      </c>
      <c r="C70" s="200"/>
      <c r="D70" s="202"/>
      <c r="E70" s="203"/>
      <c r="F70" s="204"/>
    </row>
    <row r="71" spans="1:6" x14ac:dyDescent="0.2">
      <c r="A71" s="201" t="s">
        <v>194</v>
      </c>
      <c r="B71" s="201" t="s">
        <v>195</v>
      </c>
      <c r="C71" s="200"/>
      <c r="D71" s="202"/>
      <c r="E71" s="203"/>
      <c r="F71" s="204"/>
    </row>
    <row r="72" spans="1:6" x14ac:dyDescent="0.2">
      <c r="A72" s="201" t="s">
        <v>196</v>
      </c>
      <c r="B72" s="201" t="s">
        <v>197</v>
      </c>
      <c r="C72" s="200"/>
      <c r="D72" s="202"/>
      <c r="E72" s="203"/>
      <c r="F72" s="204"/>
    </row>
    <row r="73" spans="1:6" x14ac:dyDescent="0.2">
      <c r="A73" s="201" t="s">
        <v>202</v>
      </c>
      <c r="B73" s="201" t="s">
        <v>839</v>
      </c>
      <c r="C73" s="200"/>
      <c r="D73" s="202"/>
      <c r="E73" s="203"/>
      <c r="F73" s="204"/>
    </row>
    <row r="74" spans="1:6" x14ac:dyDescent="0.2">
      <c r="A74" s="201" t="s">
        <v>221</v>
      </c>
      <c r="B74" s="201" t="s">
        <v>222</v>
      </c>
      <c r="C74" s="200"/>
      <c r="D74" s="202"/>
      <c r="E74" s="203"/>
      <c r="F74" s="204"/>
    </row>
    <row r="75" spans="1:6" x14ac:dyDescent="0.2">
      <c r="A75" s="201" t="s">
        <v>200</v>
      </c>
      <c r="B75" s="201" t="s">
        <v>201</v>
      </c>
      <c r="C75" s="200"/>
      <c r="D75" s="202"/>
      <c r="E75" s="203"/>
      <c r="F75" s="204"/>
    </row>
    <row r="76" spans="1:6" x14ac:dyDescent="0.2">
      <c r="A76" s="201" t="s">
        <v>205</v>
      </c>
      <c r="B76" s="201" t="s">
        <v>206</v>
      </c>
      <c r="C76" s="200"/>
      <c r="D76" s="202"/>
      <c r="E76" s="203"/>
      <c r="F76" s="204"/>
    </row>
    <row r="77" spans="1:6" x14ac:dyDescent="0.2">
      <c r="A77" s="201" t="s">
        <v>559</v>
      </c>
      <c r="B77" s="201" t="s">
        <v>840</v>
      </c>
      <c r="C77" s="200"/>
      <c r="D77" s="202"/>
      <c r="E77" s="203"/>
      <c r="F77" s="204"/>
    </row>
    <row r="78" spans="1:6" x14ac:dyDescent="0.2">
      <c r="A78" s="201" t="s">
        <v>560</v>
      </c>
      <c r="B78" s="201" t="s">
        <v>841</v>
      </c>
      <c r="C78" s="200"/>
      <c r="D78" s="202"/>
      <c r="E78" s="203"/>
      <c r="F78" s="204"/>
    </row>
    <row r="79" spans="1:6" x14ac:dyDescent="0.2">
      <c r="A79" s="201" t="s">
        <v>561</v>
      </c>
      <c r="B79" s="201" t="s">
        <v>842</v>
      </c>
      <c r="C79" s="200"/>
      <c r="D79" s="202"/>
      <c r="E79" s="203"/>
      <c r="F79" s="204"/>
    </row>
    <row r="80" spans="1:6" x14ac:dyDescent="0.2">
      <c r="A80" s="201" t="s">
        <v>562</v>
      </c>
      <c r="B80" s="201" t="s">
        <v>843</v>
      </c>
      <c r="C80" s="200"/>
      <c r="D80" s="202"/>
      <c r="E80" s="203"/>
      <c r="F80" s="204"/>
    </row>
    <row r="81" spans="1:6" x14ac:dyDescent="0.2">
      <c r="A81" s="201" t="s">
        <v>563</v>
      </c>
      <c r="B81" s="201" t="s">
        <v>844</v>
      </c>
      <c r="C81" s="200"/>
      <c r="D81" s="202"/>
      <c r="E81" s="203"/>
      <c r="F81" s="204"/>
    </row>
    <row r="82" spans="1:6" x14ac:dyDescent="0.2">
      <c r="A82" s="201" t="s">
        <v>213</v>
      </c>
      <c r="B82" s="201" t="s">
        <v>214</v>
      </c>
      <c r="C82" s="200"/>
      <c r="D82" s="202"/>
      <c r="E82" s="203"/>
      <c r="F82" s="204"/>
    </row>
    <row r="83" spans="1:6" x14ac:dyDescent="0.2">
      <c r="A83" s="201" t="s">
        <v>219</v>
      </c>
      <c r="B83" s="201" t="s">
        <v>220</v>
      </c>
      <c r="C83" s="200"/>
      <c r="D83" s="202"/>
      <c r="E83" s="203"/>
      <c r="F83" s="204"/>
    </row>
    <row r="84" spans="1:6" x14ac:dyDescent="0.2">
      <c r="A84" s="201" t="s">
        <v>564</v>
      </c>
      <c r="B84" s="201" t="s">
        <v>832</v>
      </c>
      <c r="C84" s="200"/>
      <c r="D84" s="202"/>
      <c r="E84" s="203"/>
      <c r="F84" s="204"/>
    </row>
    <row r="85" spans="1:6" x14ac:dyDescent="0.2">
      <c r="A85" s="201" t="s">
        <v>223</v>
      </c>
      <c r="B85" s="201" t="s">
        <v>224</v>
      </c>
      <c r="C85" s="200"/>
      <c r="D85" s="202"/>
      <c r="E85" s="203"/>
      <c r="F85" s="204"/>
    </row>
    <row r="86" spans="1:6" x14ac:dyDescent="0.2">
      <c r="A86" s="201" t="s">
        <v>225</v>
      </c>
      <c r="B86" s="201" t="s">
        <v>226</v>
      </c>
      <c r="C86" s="200"/>
      <c r="D86" s="202"/>
      <c r="E86" s="203"/>
      <c r="F86" s="204"/>
    </row>
    <row r="87" spans="1:6" x14ac:dyDescent="0.2">
      <c r="A87" s="201" t="s">
        <v>227</v>
      </c>
      <c r="B87" s="201" t="s">
        <v>228</v>
      </c>
      <c r="C87" s="200"/>
      <c r="D87" s="202"/>
      <c r="E87" s="203"/>
      <c r="F87" s="204"/>
    </row>
    <row r="88" spans="1:6" x14ac:dyDescent="0.2">
      <c r="A88" s="201" t="s">
        <v>229</v>
      </c>
      <c r="B88" s="201" t="s">
        <v>230</v>
      </c>
      <c r="C88" s="200"/>
      <c r="D88" s="202"/>
      <c r="E88" s="203"/>
      <c r="F88" s="204"/>
    </row>
    <row r="89" spans="1:6" x14ac:dyDescent="0.2">
      <c r="A89" s="201" t="s">
        <v>231</v>
      </c>
      <c r="B89" s="201" t="s">
        <v>232</v>
      </c>
      <c r="C89" s="200"/>
      <c r="D89" s="202"/>
      <c r="E89" s="203"/>
      <c r="F89" s="204"/>
    </row>
    <row r="90" spans="1:6" x14ac:dyDescent="0.2">
      <c r="A90" s="201" t="s">
        <v>233</v>
      </c>
      <c r="B90" s="201" t="s">
        <v>234</v>
      </c>
      <c r="C90" s="200"/>
      <c r="D90" s="202"/>
      <c r="E90" s="203"/>
      <c r="F90" s="204"/>
    </row>
    <row r="91" spans="1:6" x14ac:dyDescent="0.2">
      <c r="A91" s="201" t="s">
        <v>235</v>
      </c>
      <c r="B91" s="201" t="s">
        <v>236</v>
      </c>
      <c r="C91" s="200"/>
      <c r="D91" s="202"/>
      <c r="E91" s="203"/>
      <c r="F91" s="204"/>
    </row>
    <row r="92" spans="1:6" x14ac:dyDescent="0.2">
      <c r="A92" s="201" t="s">
        <v>237</v>
      </c>
      <c r="B92" s="201" t="s">
        <v>238</v>
      </c>
      <c r="C92" s="200"/>
      <c r="D92" s="202"/>
      <c r="E92" s="203"/>
      <c r="F92" s="204"/>
    </row>
    <row r="93" spans="1:6" x14ac:dyDescent="0.2">
      <c r="A93" s="201" t="s">
        <v>239</v>
      </c>
      <c r="B93" s="201" t="s">
        <v>240</v>
      </c>
      <c r="C93" s="200"/>
      <c r="D93" s="202"/>
      <c r="E93" s="203"/>
      <c r="F93" s="204"/>
    </row>
    <row r="94" spans="1:6" x14ac:dyDescent="0.2">
      <c r="A94" s="201" t="s">
        <v>241</v>
      </c>
      <c r="B94" s="201" t="s">
        <v>242</v>
      </c>
      <c r="C94" s="200"/>
      <c r="D94" s="202"/>
      <c r="E94" s="203"/>
      <c r="F94" s="204"/>
    </row>
    <row r="95" spans="1:6" x14ac:dyDescent="0.2">
      <c r="A95" s="201" t="s">
        <v>243</v>
      </c>
      <c r="B95" s="201" t="s">
        <v>244</v>
      </c>
      <c r="C95" s="200"/>
      <c r="D95" s="202"/>
      <c r="E95" s="203"/>
      <c r="F95" s="204"/>
    </row>
    <row r="96" spans="1:6" x14ac:dyDescent="0.2">
      <c r="A96" s="201" t="s">
        <v>245</v>
      </c>
      <c r="B96" s="201" t="s">
        <v>246</v>
      </c>
      <c r="C96" s="200"/>
      <c r="D96" s="202"/>
      <c r="E96" s="203"/>
      <c r="F96" s="204"/>
    </row>
    <row r="97" spans="1:6" x14ac:dyDescent="0.2">
      <c r="A97" s="201" t="s">
        <v>247</v>
      </c>
      <c r="B97" s="201" t="s">
        <v>248</v>
      </c>
      <c r="C97" s="200"/>
      <c r="D97" s="202"/>
      <c r="E97" s="203"/>
      <c r="F97" s="204"/>
    </row>
    <row r="98" spans="1:6" x14ac:dyDescent="0.2">
      <c r="A98" s="201" t="s">
        <v>249</v>
      </c>
      <c r="B98" s="201" t="s">
        <v>250</v>
      </c>
      <c r="C98" s="200"/>
      <c r="D98" s="202"/>
      <c r="E98" s="203"/>
      <c r="F98" s="204"/>
    </row>
    <row r="99" spans="1:6" x14ac:dyDescent="0.2">
      <c r="A99" s="201" t="s">
        <v>251</v>
      </c>
      <c r="B99" s="201" t="s">
        <v>252</v>
      </c>
      <c r="C99" s="200"/>
      <c r="D99" s="202"/>
      <c r="E99" s="203"/>
      <c r="F99" s="204"/>
    </row>
    <row r="100" spans="1:6" x14ac:dyDescent="0.2">
      <c r="A100" s="201" t="s">
        <v>253</v>
      </c>
      <c r="B100" s="201" t="s">
        <v>254</v>
      </c>
      <c r="C100" s="200"/>
      <c r="D100" s="202"/>
      <c r="E100" s="203"/>
      <c r="F100" s="204"/>
    </row>
    <row r="101" spans="1:6" x14ac:dyDescent="0.2">
      <c r="A101" s="201" t="s">
        <v>255</v>
      </c>
      <c r="B101" s="201" t="s">
        <v>256</v>
      </c>
      <c r="C101" s="200"/>
      <c r="D101" s="202"/>
      <c r="E101" s="203"/>
      <c r="F101" s="204"/>
    </row>
    <row r="102" spans="1:6" x14ac:dyDescent="0.2">
      <c r="A102" s="201" t="s">
        <v>257</v>
      </c>
      <c r="B102" s="201" t="s">
        <v>258</v>
      </c>
      <c r="C102" s="200"/>
      <c r="D102" s="202"/>
      <c r="E102" s="203"/>
      <c r="F102" s="204"/>
    </row>
    <row r="103" spans="1:6" x14ac:dyDescent="0.2">
      <c r="A103" s="201" t="s">
        <v>259</v>
      </c>
      <c r="B103" s="201" t="s">
        <v>260</v>
      </c>
      <c r="C103" s="200"/>
      <c r="D103" s="202"/>
      <c r="E103" s="203"/>
      <c r="F103" s="204"/>
    </row>
    <row r="104" spans="1:6" x14ac:dyDescent="0.2">
      <c r="A104" s="201" t="s">
        <v>261</v>
      </c>
      <c r="B104" s="201" t="s">
        <v>262</v>
      </c>
      <c r="C104" s="200"/>
      <c r="D104" s="202"/>
      <c r="E104" s="203"/>
      <c r="F104" s="204"/>
    </row>
    <row r="105" spans="1:6" x14ac:dyDescent="0.2">
      <c r="A105" s="201" t="s">
        <v>263</v>
      </c>
      <c r="B105" s="201" t="s">
        <v>264</v>
      </c>
      <c r="C105" s="200"/>
      <c r="D105" s="202"/>
      <c r="E105" s="203"/>
      <c r="F105" s="204"/>
    </row>
    <row r="106" spans="1:6" x14ac:dyDescent="0.2">
      <c r="A106" s="201" t="s">
        <v>265</v>
      </c>
      <c r="B106" s="201" t="s">
        <v>266</v>
      </c>
      <c r="C106" s="200"/>
      <c r="D106" s="202"/>
      <c r="E106" s="203"/>
      <c r="F106" s="204"/>
    </row>
    <row r="107" spans="1:6" x14ac:dyDescent="0.2">
      <c r="A107" s="201" t="s">
        <v>267</v>
      </c>
      <c r="B107" s="201" t="s">
        <v>268</v>
      </c>
      <c r="C107" s="200"/>
      <c r="D107" s="202"/>
      <c r="E107" s="203"/>
      <c r="F107" s="204"/>
    </row>
    <row r="108" spans="1:6" x14ac:dyDescent="0.2">
      <c r="A108" s="201" t="s">
        <v>269</v>
      </c>
      <c r="B108" s="201" t="s">
        <v>270</v>
      </c>
      <c r="C108" s="200"/>
      <c r="D108" s="202"/>
      <c r="E108" s="203"/>
      <c r="F108" s="204"/>
    </row>
    <row r="109" spans="1:6" x14ac:dyDescent="0.2">
      <c r="A109" s="201" t="s">
        <v>271</v>
      </c>
      <c r="B109" s="201" t="s">
        <v>272</v>
      </c>
      <c r="C109" s="200"/>
      <c r="D109" s="202"/>
      <c r="E109" s="203"/>
      <c r="F109" s="204"/>
    </row>
    <row r="110" spans="1:6" x14ac:dyDescent="0.2">
      <c r="A110" s="201" t="s">
        <v>273</v>
      </c>
      <c r="B110" s="201" t="s">
        <v>274</v>
      </c>
      <c r="C110" s="200"/>
      <c r="D110" s="202"/>
      <c r="E110" s="203"/>
      <c r="F110" s="204"/>
    </row>
    <row r="111" spans="1:6" x14ac:dyDescent="0.2">
      <c r="A111" s="201" t="s">
        <v>275</v>
      </c>
      <c r="B111" s="201" t="s">
        <v>276</v>
      </c>
      <c r="C111" s="200"/>
      <c r="D111" s="202"/>
      <c r="E111" s="203"/>
      <c r="F111" s="204"/>
    </row>
    <row r="112" spans="1:6" x14ac:dyDescent="0.2">
      <c r="A112" s="201" t="s">
        <v>277</v>
      </c>
      <c r="B112" s="201" t="s">
        <v>278</v>
      </c>
      <c r="C112" s="200"/>
      <c r="D112" s="202"/>
      <c r="E112" s="203"/>
      <c r="F112" s="204"/>
    </row>
    <row r="113" spans="1:6" x14ac:dyDescent="0.2">
      <c r="A113" s="201" t="s">
        <v>279</v>
      </c>
      <c r="B113" s="201" t="s">
        <v>280</v>
      </c>
      <c r="C113" s="200"/>
      <c r="D113" s="202"/>
      <c r="E113" s="203"/>
      <c r="F113" s="204"/>
    </row>
    <row r="114" spans="1:6" x14ac:dyDescent="0.2">
      <c r="A114" s="201" t="s">
        <v>281</v>
      </c>
      <c r="B114" s="201" t="s">
        <v>282</v>
      </c>
      <c r="C114" s="200"/>
      <c r="D114" s="202"/>
      <c r="E114" s="203"/>
      <c r="F114" s="204"/>
    </row>
    <row r="115" spans="1:6" x14ac:dyDescent="0.2">
      <c r="A115" s="201" t="s">
        <v>283</v>
      </c>
      <c r="B115" s="201" t="s">
        <v>284</v>
      </c>
      <c r="C115" s="200"/>
      <c r="D115" s="202"/>
      <c r="E115" s="203"/>
      <c r="F115" s="204"/>
    </row>
    <row r="116" spans="1:6" x14ac:dyDescent="0.2">
      <c r="A116" s="201" t="s">
        <v>285</v>
      </c>
      <c r="B116" s="201" t="s">
        <v>286</v>
      </c>
      <c r="C116" s="200"/>
      <c r="D116" s="202"/>
      <c r="E116" s="203"/>
      <c r="F116" s="204"/>
    </row>
    <row r="117" spans="1:6" x14ac:dyDescent="0.2">
      <c r="A117" s="201" t="s">
        <v>287</v>
      </c>
      <c r="B117" s="201" t="s">
        <v>288</v>
      </c>
      <c r="C117" s="200"/>
      <c r="D117" s="202"/>
      <c r="E117" s="203"/>
      <c r="F117" s="204"/>
    </row>
    <row r="118" spans="1:6" x14ac:dyDescent="0.2">
      <c r="A118" s="201" t="s">
        <v>289</v>
      </c>
      <c r="B118" s="201" t="s">
        <v>290</v>
      </c>
      <c r="C118" s="200"/>
      <c r="D118" s="202"/>
      <c r="E118" s="203"/>
      <c r="F118" s="204"/>
    </row>
    <row r="119" spans="1:6" x14ac:dyDescent="0.2">
      <c r="A119" s="201" t="s">
        <v>291</v>
      </c>
      <c r="B119" s="201" t="s">
        <v>292</v>
      </c>
      <c r="C119" s="200"/>
      <c r="D119" s="202"/>
      <c r="E119" s="203"/>
      <c r="F119" s="204"/>
    </row>
    <row r="120" spans="1:6" x14ac:dyDescent="0.2">
      <c r="A120" s="201" t="s">
        <v>293</v>
      </c>
      <c r="B120" s="201" t="s">
        <v>294</v>
      </c>
      <c r="C120" s="200"/>
      <c r="D120" s="202"/>
      <c r="E120" s="203"/>
      <c r="F120" s="204"/>
    </row>
    <row r="121" spans="1:6" x14ac:dyDescent="0.2">
      <c r="A121" s="201" t="s">
        <v>295</v>
      </c>
      <c r="B121" s="201" t="s">
        <v>296</v>
      </c>
      <c r="C121" s="200"/>
      <c r="D121" s="202"/>
      <c r="E121" s="203"/>
      <c r="F121" s="204"/>
    </row>
    <row r="122" spans="1:6" x14ac:dyDescent="0.2">
      <c r="A122" s="201" t="s">
        <v>297</v>
      </c>
      <c r="B122" s="201" t="s">
        <v>298</v>
      </c>
      <c r="C122" s="200"/>
      <c r="D122" s="202"/>
      <c r="E122" s="203"/>
      <c r="F122" s="204"/>
    </row>
    <row r="123" spans="1:6" x14ac:dyDescent="0.2">
      <c r="A123" s="201" t="s">
        <v>299</v>
      </c>
      <c r="B123" s="201" t="s">
        <v>300</v>
      </c>
      <c r="C123" s="200"/>
      <c r="D123" s="202"/>
      <c r="E123" s="203"/>
      <c r="F123" s="204"/>
    </row>
    <row r="124" spans="1:6" x14ac:dyDescent="0.2">
      <c r="A124" s="201" t="s">
        <v>301</v>
      </c>
      <c r="B124" s="201" t="s">
        <v>302</v>
      </c>
      <c r="C124" s="200"/>
      <c r="D124" s="202"/>
      <c r="E124" s="203"/>
      <c r="F124" s="204"/>
    </row>
    <row r="125" spans="1:6" x14ac:dyDescent="0.2">
      <c r="A125" s="201" t="s">
        <v>303</v>
      </c>
      <c r="B125" s="201" t="s">
        <v>304</v>
      </c>
      <c r="C125" s="200"/>
      <c r="D125" s="202"/>
      <c r="E125" s="203"/>
      <c r="F125" s="204"/>
    </row>
    <row r="126" spans="1:6" x14ac:dyDescent="0.2">
      <c r="A126" s="201" t="s">
        <v>305</v>
      </c>
      <c r="B126" s="201" t="s">
        <v>306</v>
      </c>
      <c r="C126" s="200"/>
      <c r="D126" s="202"/>
      <c r="E126" s="203"/>
      <c r="F126" s="204"/>
    </row>
    <row r="127" spans="1:6" x14ac:dyDescent="0.2">
      <c r="A127" s="201" t="s">
        <v>307</v>
      </c>
      <c r="B127" s="201" t="s">
        <v>308</v>
      </c>
      <c r="C127" s="200"/>
      <c r="D127" s="202"/>
      <c r="E127" s="203"/>
      <c r="F127" s="204"/>
    </row>
    <row r="128" spans="1:6" x14ac:dyDescent="0.2">
      <c r="A128" s="201" t="s">
        <v>309</v>
      </c>
      <c r="B128" s="201" t="s">
        <v>310</v>
      </c>
      <c r="C128" s="200"/>
      <c r="D128" s="202"/>
      <c r="E128" s="203"/>
      <c r="F128" s="204"/>
    </row>
    <row r="129" spans="1:6" x14ac:dyDescent="0.2">
      <c r="A129" s="201" t="s">
        <v>311</v>
      </c>
      <c r="B129" s="201" t="s">
        <v>312</v>
      </c>
      <c r="C129" s="200"/>
      <c r="D129" s="202"/>
      <c r="E129" s="203"/>
      <c r="F129" s="204"/>
    </row>
    <row r="130" spans="1:6" x14ac:dyDescent="0.2">
      <c r="A130" s="201" t="s">
        <v>313</v>
      </c>
      <c r="B130" s="201" t="s">
        <v>314</v>
      </c>
      <c r="C130" s="200"/>
      <c r="D130" s="202"/>
      <c r="E130" s="203"/>
      <c r="F130" s="204"/>
    </row>
    <row r="131" spans="1:6" x14ac:dyDescent="0.2">
      <c r="A131" s="201" t="s">
        <v>315</v>
      </c>
      <c r="B131" s="201" t="s">
        <v>316</v>
      </c>
      <c r="C131" s="200"/>
      <c r="D131" s="202"/>
      <c r="E131" s="203"/>
      <c r="F131" s="204"/>
    </row>
    <row r="132" spans="1:6" x14ac:dyDescent="0.2">
      <c r="A132" s="201" t="s">
        <v>317</v>
      </c>
      <c r="B132" s="201" t="s">
        <v>318</v>
      </c>
      <c r="C132" s="200"/>
      <c r="D132" s="202"/>
      <c r="E132" s="203"/>
      <c r="F132" s="204"/>
    </row>
    <row r="133" spans="1:6" x14ac:dyDescent="0.2">
      <c r="A133" s="201" t="s">
        <v>319</v>
      </c>
      <c r="B133" s="201" t="s">
        <v>320</v>
      </c>
      <c r="C133" s="200"/>
      <c r="D133" s="202"/>
      <c r="E133" s="203"/>
      <c r="F133" s="204"/>
    </row>
    <row r="134" spans="1:6" x14ac:dyDescent="0.2">
      <c r="A134" s="201" t="s">
        <v>321</v>
      </c>
      <c r="B134" s="201" t="s">
        <v>322</v>
      </c>
      <c r="C134" s="200"/>
      <c r="D134" s="202"/>
      <c r="E134" s="203"/>
      <c r="F134" s="204"/>
    </row>
    <row r="135" spans="1:6" x14ac:dyDescent="0.2">
      <c r="A135" s="201" t="s">
        <v>323</v>
      </c>
      <c r="B135" s="201" t="s">
        <v>324</v>
      </c>
      <c r="C135" s="200"/>
      <c r="D135" s="202"/>
      <c r="E135" s="203"/>
      <c r="F135" s="204"/>
    </row>
    <row r="136" spans="1:6" x14ac:dyDescent="0.2">
      <c r="A136" s="201" t="s">
        <v>325</v>
      </c>
      <c r="B136" s="201" t="s">
        <v>326</v>
      </c>
      <c r="C136" s="200"/>
      <c r="D136" s="202"/>
      <c r="E136" s="203"/>
      <c r="F136" s="204"/>
    </row>
    <row r="137" spans="1:6" x14ac:dyDescent="0.2">
      <c r="A137" s="201" t="s">
        <v>327</v>
      </c>
      <c r="B137" s="201" t="s">
        <v>328</v>
      </c>
      <c r="C137" s="200"/>
      <c r="D137" s="202"/>
      <c r="E137" s="203"/>
      <c r="F137" s="204"/>
    </row>
    <row r="138" spans="1:6" x14ac:dyDescent="0.2">
      <c r="A138" s="201" t="s">
        <v>329</v>
      </c>
      <c r="B138" s="201" t="s">
        <v>330</v>
      </c>
      <c r="C138" s="200"/>
      <c r="D138" s="202"/>
      <c r="E138" s="203"/>
      <c r="F138" s="204"/>
    </row>
    <row r="139" spans="1:6" x14ac:dyDescent="0.2">
      <c r="A139" s="201" t="s">
        <v>331</v>
      </c>
      <c r="B139" s="201" t="s">
        <v>332</v>
      </c>
      <c r="C139" s="200"/>
      <c r="D139" s="202"/>
      <c r="E139" s="203"/>
      <c r="F139" s="204"/>
    </row>
    <row r="140" spans="1:6" x14ac:dyDescent="0.2">
      <c r="A140" s="201" t="s">
        <v>333</v>
      </c>
      <c r="B140" s="201" t="s">
        <v>334</v>
      </c>
      <c r="C140" s="200"/>
      <c r="D140" s="202"/>
      <c r="E140" s="203"/>
      <c r="F140" s="204"/>
    </row>
    <row r="141" spans="1:6" x14ac:dyDescent="0.2">
      <c r="A141" s="201" t="s">
        <v>335</v>
      </c>
      <c r="B141" s="201" t="s">
        <v>336</v>
      </c>
      <c r="C141" s="200"/>
      <c r="D141" s="202"/>
      <c r="E141" s="203"/>
      <c r="F141" s="204"/>
    </row>
    <row r="142" spans="1:6" x14ac:dyDescent="0.2">
      <c r="A142" s="201" t="s">
        <v>337</v>
      </c>
      <c r="B142" s="201" t="s">
        <v>338</v>
      </c>
      <c r="C142" s="200"/>
      <c r="D142" s="202"/>
      <c r="E142" s="203"/>
      <c r="F142" s="204"/>
    </row>
    <row r="143" spans="1:6" x14ac:dyDescent="0.2">
      <c r="A143" s="201" t="s">
        <v>339</v>
      </c>
      <c r="B143" s="201" t="s">
        <v>340</v>
      </c>
      <c r="C143" s="200"/>
      <c r="D143" s="202"/>
      <c r="E143" s="203"/>
      <c r="F143" s="204"/>
    </row>
    <row r="144" spans="1:6" x14ac:dyDescent="0.2">
      <c r="A144" s="201" t="s">
        <v>341</v>
      </c>
      <c r="B144" s="201" t="s">
        <v>342</v>
      </c>
      <c r="C144" s="200"/>
      <c r="D144" s="202"/>
      <c r="E144" s="203"/>
      <c r="F144" s="204"/>
    </row>
    <row r="145" spans="1:6" x14ac:dyDescent="0.2">
      <c r="A145" s="201" t="s">
        <v>343</v>
      </c>
      <c r="B145" s="201" t="s">
        <v>344</v>
      </c>
      <c r="C145" s="200"/>
      <c r="D145" s="202"/>
      <c r="E145" s="203"/>
      <c r="F145" s="204"/>
    </row>
    <row r="146" spans="1:6" x14ac:dyDescent="0.2">
      <c r="A146" s="201" t="s">
        <v>345</v>
      </c>
      <c r="B146" s="201" t="s">
        <v>346</v>
      </c>
      <c r="C146" s="200"/>
      <c r="D146" s="202"/>
      <c r="E146" s="203"/>
      <c r="F146" s="204"/>
    </row>
    <row r="147" spans="1:6" x14ac:dyDescent="0.2">
      <c r="A147" s="201" t="s">
        <v>347</v>
      </c>
      <c r="B147" s="201" t="s">
        <v>348</v>
      </c>
      <c r="C147" s="200"/>
      <c r="D147" s="202"/>
      <c r="E147" s="203"/>
      <c r="F147" s="204"/>
    </row>
    <row r="148" spans="1:6" x14ac:dyDescent="0.2">
      <c r="A148" s="201" t="s">
        <v>349</v>
      </c>
      <c r="B148" s="201" t="s">
        <v>350</v>
      </c>
      <c r="C148" s="200"/>
      <c r="D148" s="202"/>
      <c r="E148" s="203"/>
      <c r="F148" s="204"/>
    </row>
    <row r="149" spans="1:6" x14ac:dyDescent="0.2">
      <c r="A149" s="201" t="s">
        <v>351</v>
      </c>
      <c r="B149" s="201" t="s">
        <v>352</v>
      </c>
      <c r="C149" s="200"/>
      <c r="D149" s="202"/>
      <c r="E149" s="203"/>
      <c r="F149" s="204"/>
    </row>
    <row r="150" spans="1:6" x14ac:dyDescent="0.2">
      <c r="A150" s="201" t="s">
        <v>353</v>
      </c>
      <c r="B150" s="201" t="s">
        <v>354</v>
      </c>
      <c r="C150" s="200"/>
      <c r="D150" s="202"/>
      <c r="E150" s="203"/>
      <c r="F150" s="204"/>
    </row>
    <row r="151" spans="1:6" x14ac:dyDescent="0.2">
      <c r="A151" s="201" t="s">
        <v>355</v>
      </c>
      <c r="B151" s="201" t="s">
        <v>356</v>
      </c>
      <c r="C151" s="200"/>
      <c r="D151" s="202"/>
      <c r="E151" s="203"/>
      <c r="F151" s="204"/>
    </row>
    <row r="152" spans="1:6" x14ac:dyDescent="0.2">
      <c r="A152" s="201" t="s">
        <v>357</v>
      </c>
      <c r="B152" s="201" t="s">
        <v>358</v>
      </c>
      <c r="C152" s="200"/>
      <c r="D152" s="202"/>
      <c r="E152" s="203"/>
      <c r="F152" s="204"/>
    </row>
    <row r="153" spans="1:6" x14ac:dyDescent="0.2">
      <c r="A153" s="201" t="s">
        <v>359</v>
      </c>
      <c r="B153" s="201" t="s">
        <v>360</v>
      </c>
      <c r="C153" s="200"/>
      <c r="D153" s="202"/>
      <c r="E153" s="203"/>
      <c r="F153" s="204"/>
    </row>
    <row r="154" spans="1:6" x14ac:dyDescent="0.2">
      <c r="A154" s="201" t="s">
        <v>361</v>
      </c>
      <c r="B154" s="201" t="s">
        <v>362</v>
      </c>
      <c r="C154" s="200"/>
      <c r="D154" s="202"/>
      <c r="E154" s="203"/>
      <c r="F154" s="204"/>
    </row>
    <row r="155" spans="1:6" x14ac:dyDescent="0.2">
      <c r="A155" s="201" t="s">
        <v>363</v>
      </c>
      <c r="B155" s="201" t="s">
        <v>364</v>
      </c>
      <c r="C155" s="200"/>
      <c r="D155" s="202"/>
      <c r="E155" s="203"/>
      <c r="F155" s="204"/>
    </row>
    <row r="156" spans="1:6" x14ac:dyDescent="0.2">
      <c r="A156" s="201" t="s">
        <v>365</v>
      </c>
      <c r="B156" s="201" t="s">
        <v>366</v>
      </c>
      <c r="C156" s="200"/>
      <c r="D156" s="202"/>
      <c r="E156" s="203"/>
      <c r="F156" s="204"/>
    </row>
    <row r="157" spans="1:6" x14ac:dyDescent="0.2">
      <c r="A157" s="201" t="s">
        <v>367</v>
      </c>
      <c r="B157" s="201" t="s">
        <v>368</v>
      </c>
      <c r="C157" s="200"/>
      <c r="D157" s="202"/>
      <c r="E157" s="203"/>
      <c r="F157" s="204"/>
    </row>
    <row r="158" spans="1:6" x14ac:dyDescent="0.2">
      <c r="A158" s="201" t="s">
        <v>369</v>
      </c>
      <c r="B158" s="201" t="s">
        <v>370</v>
      </c>
      <c r="C158" s="200"/>
      <c r="D158" s="202"/>
      <c r="E158" s="203"/>
      <c r="F158" s="204"/>
    </row>
    <row r="159" spans="1:6" x14ac:dyDescent="0.2">
      <c r="A159" s="201" t="s">
        <v>371</v>
      </c>
      <c r="B159" s="201" t="s">
        <v>372</v>
      </c>
      <c r="C159" s="200"/>
      <c r="D159" s="202"/>
      <c r="E159" s="203"/>
      <c r="F159" s="204"/>
    </row>
    <row r="160" spans="1:6" x14ac:dyDescent="0.2">
      <c r="A160" s="201" t="s">
        <v>373</v>
      </c>
      <c r="B160" s="201" t="s">
        <v>374</v>
      </c>
      <c r="C160" s="200"/>
      <c r="D160" s="202"/>
      <c r="E160" s="203"/>
      <c r="F160" s="204"/>
    </row>
    <row r="161" spans="1:6" x14ac:dyDescent="0.2">
      <c r="A161" s="201" t="s">
        <v>375</v>
      </c>
      <c r="B161" s="201" t="s">
        <v>376</v>
      </c>
      <c r="C161" s="200"/>
      <c r="D161" s="202"/>
      <c r="E161" s="203"/>
      <c r="F161" s="204"/>
    </row>
    <row r="162" spans="1:6" x14ac:dyDescent="0.2">
      <c r="A162" s="201" t="s">
        <v>377</v>
      </c>
      <c r="B162" s="201" t="s">
        <v>378</v>
      </c>
      <c r="C162" s="200"/>
      <c r="D162" s="202"/>
      <c r="E162" s="203"/>
      <c r="F162" s="204"/>
    </row>
    <row r="163" spans="1:6" x14ac:dyDescent="0.2">
      <c r="A163" s="201" t="s">
        <v>379</v>
      </c>
      <c r="B163" s="201" t="s">
        <v>380</v>
      </c>
      <c r="C163" s="200"/>
      <c r="D163" s="202"/>
      <c r="E163" s="203"/>
      <c r="F163" s="204"/>
    </row>
    <row r="164" spans="1:6" x14ac:dyDescent="0.2">
      <c r="A164" s="201" t="s">
        <v>381</v>
      </c>
      <c r="B164" s="201" t="s">
        <v>382</v>
      </c>
      <c r="C164" s="200"/>
      <c r="D164" s="202"/>
      <c r="E164" s="203"/>
      <c r="F164" s="204"/>
    </row>
    <row r="165" spans="1:6" x14ac:dyDescent="0.2">
      <c r="A165" s="201" t="s">
        <v>383</v>
      </c>
      <c r="B165" s="201" t="s">
        <v>384</v>
      </c>
      <c r="C165" s="200"/>
      <c r="D165" s="202"/>
      <c r="E165" s="203"/>
      <c r="F165" s="204"/>
    </row>
    <row r="166" spans="1:6" x14ac:dyDescent="0.2">
      <c r="A166" s="201" t="s">
        <v>385</v>
      </c>
      <c r="B166" s="201" t="s">
        <v>386</v>
      </c>
      <c r="C166" s="200"/>
      <c r="D166" s="202"/>
      <c r="E166" s="203"/>
      <c r="F166" s="204"/>
    </row>
    <row r="167" spans="1:6" x14ac:dyDescent="0.2">
      <c r="A167" s="201" t="s">
        <v>387</v>
      </c>
      <c r="B167" s="201" t="s">
        <v>388</v>
      </c>
      <c r="C167" s="200"/>
      <c r="D167" s="202"/>
      <c r="E167" s="203"/>
      <c r="F167" s="204"/>
    </row>
    <row r="168" spans="1:6" x14ac:dyDescent="0.2">
      <c r="A168" s="201" t="s">
        <v>389</v>
      </c>
      <c r="B168" s="201" t="s">
        <v>390</v>
      </c>
      <c r="C168" s="200"/>
      <c r="D168" s="202"/>
      <c r="E168" s="203"/>
      <c r="F168" s="204"/>
    </row>
    <row r="169" spans="1:6" x14ac:dyDescent="0.2">
      <c r="A169" s="201" t="s">
        <v>391</v>
      </c>
      <c r="B169" s="201" t="s">
        <v>392</v>
      </c>
      <c r="C169" s="200"/>
      <c r="D169" s="202"/>
      <c r="E169" s="203"/>
      <c r="F169" s="204"/>
    </row>
    <row r="170" spans="1:6" x14ac:dyDescent="0.2">
      <c r="A170" s="201" t="s">
        <v>393</v>
      </c>
      <c r="B170" s="201" t="s">
        <v>394</v>
      </c>
      <c r="C170" s="200"/>
      <c r="D170" s="202"/>
      <c r="E170" s="203"/>
      <c r="F170" s="204"/>
    </row>
    <row r="171" spans="1:6" x14ac:dyDescent="0.2">
      <c r="A171" s="201" t="s">
        <v>395</v>
      </c>
      <c r="B171" s="201" t="s">
        <v>396</v>
      </c>
      <c r="C171" s="200"/>
      <c r="D171" s="202"/>
      <c r="E171" s="203"/>
      <c r="F171" s="204"/>
    </row>
    <row r="172" spans="1:6" x14ac:dyDescent="0.2">
      <c r="A172" s="201" t="s">
        <v>397</v>
      </c>
      <c r="B172" s="201" t="s">
        <v>398</v>
      </c>
      <c r="C172" s="200"/>
      <c r="D172" s="202"/>
      <c r="E172" s="203"/>
      <c r="F172" s="204"/>
    </row>
    <row r="173" spans="1:6" x14ac:dyDescent="0.2">
      <c r="A173" s="201" t="s">
        <v>399</v>
      </c>
      <c r="B173" s="201" t="s">
        <v>400</v>
      </c>
      <c r="C173" s="200"/>
      <c r="D173" s="202"/>
      <c r="E173" s="203"/>
      <c r="F173" s="204"/>
    </row>
    <row r="174" spans="1:6" x14ac:dyDescent="0.2">
      <c r="A174" s="201" t="s">
        <v>401</v>
      </c>
      <c r="B174" s="201" t="s">
        <v>402</v>
      </c>
      <c r="C174" s="200"/>
      <c r="D174" s="202"/>
      <c r="E174" s="203"/>
      <c r="F174" s="204"/>
    </row>
    <row r="175" spans="1:6" x14ac:dyDescent="0.2">
      <c r="A175" s="201" t="s">
        <v>403</v>
      </c>
      <c r="B175" s="201" t="s">
        <v>404</v>
      </c>
      <c r="C175" s="200"/>
      <c r="D175" s="202"/>
      <c r="E175" s="203"/>
      <c r="F175" s="204"/>
    </row>
    <row r="176" spans="1:6" x14ac:dyDescent="0.2">
      <c r="A176" s="201" t="s">
        <v>405</v>
      </c>
      <c r="B176" s="201" t="s">
        <v>406</v>
      </c>
      <c r="C176" s="200"/>
      <c r="D176" s="202"/>
      <c r="E176" s="203"/>
      <c r="F176" s="204"/>
    </row>
    <row r="177" spans="1:6" x14ac:dyDescent="0.2">
      <c r="A177" s="201" t="s">
        <v>407</v>
      </c>
      <c r="B177" s="201" t="s">
        <v>408</v>
      </c>
      <c r="C177" s="200"/>
      <c r="D177" s="202"/>
      <c r="E177" s="203"/>
      <c r="F177" s="204"/>
    </row>
    <row r="178" spans="1:6" x14ac:dyDescent="0.2">
      <c r="A178" s="201" t="s">
        <v>409</v>
      </c>
      <c r="B178" s="201" t="s">
        <v>410</v>
      </c>
      <c r="C178" s="200"/>
      <c r="D178" s="202"/>
      <c r="E178" s="203"/>
      <c r="F178" s="204"/>
    </row>
    <row r="179" spans="1:6" x14ac:dyDescent="0.2">
      <c r="A179" s="201" t="s">
        <v>411</v>
      </c>
      <c r="B179" s="201" t="s">
        <v>412</v>
      </c>
      <c r="C179" s="200"/>
      <c r="D179" s="202"/>
      <c r="E179" s="203"/>
      <c r="F179" s="204"/>
    </row>
    <row r="180" spans="1:6" x14ac:dyDescent="0.2">
      <c r="A180" s="201" t="s">
        <v>413</v>
      </c>
      <c r="B180" s="201" t="s">
        <v>414</v>
      </c>
      <c r="C180" s="200"/>
      <c r="D180" s="202"/>
      <c r="E180" s="203"/>
      <c r="F180" s="204"/>
    </row>
    <row r="181" spans="1:6" x14ac:dyDescent="0.2">
      <c r="A181" s="201" t="s">
        <v>415</v>
      </c>
      <c r="B181" s="201" t="s">
        <v>416</v>
      </c>
      <c r="C181" s="200"/>
      <c r="D181" s="202"/>
      <c r="E181" s="203"/>
      <c r="F181" s="204"/>
    </row>
    <row r="182" spans="1:6" x14ac:dyDescent="0.2">
      <c r="A182" s="201" t="s">
        <v>417</v>
      </c>
      <c r="B182" s="201" t="s">
        <v>418</v>
      </c>
      <c r="C182" s="200"/>
      <c r="D182" s="202"/>
      <c r="E182" s="203"/>
      <c r="F182" s="204"/>
    </row>
    <row r="183" spans="1:6" x14ac:dyDescent="0.2">
      <c r="A183" s="201" t="s">
        <v>419</v>
      </c>
      <c r="B183" s="201" t="s">
        <v>420</v>
      </c>
      <c r="C183" s="200"/>
      <c r="D183" s="202"/>
      <c r="E183" s="203"/>
      <c r="F183" s="204"/>
    </row>
    <row r="184" spans="1:6" x14ac:dyDescent="0.2">
      <c r="A184" s="201" t="s">
        <v>421</v>
      </c>
      <c r="B184" s="201" t="s">
        <v>422</v>
      </c>
      <c r="C184" s="200"/>
      <c r="D184" s="202"/>
      <c r="E184" s="203"/>
      <c r="F184" s="204"/>
    </row>
    <row r="185" spans="1:6" x14ac:dyDescent="0.2">
      <c r="A185" s="201" t="s">
        <v>423</v>
      </c>
      <c r="B185" s="201" t="s">
        <v>424</v>
      </c>
      <c r="C185" s="200"/>
      <c r="D185" s="202"/>
      <c r="E185" s="203"/>
      <c r="F185" s="204"/>
    </row>
    <row r="186" spans="1:6" x14ac:dyDescent="0.2">
      <c r="A186" s="201" t="s">
        <v>425</v>
      </c>
      <c r="B186" s="201" t="s">
        <v>426</v>
      </c>
      <c r="C186" s="200"/>
      <c r="D186" s="202"/>
      <c r="E186" s="203"/>
      <c r="F186" s="204"/>
    </row>
    <row r="187" spans="1:6" x14ac:dyDescent="0.2">
      <c r="A187" s="201" t="s">
        <v>427</v>
      </c>
      <c r="B187" s="201" t="s">
        <v>428</v>
      </c>
      <c r="C187" s="200"/>
      <c r="D187" s="202"/>
      <c r="E187" s="203"/>
      <c r="F187" s="204"/>
    </row>
    <row r="188" spans="1:6" x14ac:dyDescent="0.2">
      <c r="A188" s="201" t="s">
        <v>429</v>
      </c>
      <c r="B188" s="201" t="s">
        <v>430</v>
      </c>
      <c r="C188" s="200"/>
      <c r="D188" s="202"/>
      <c r="E188" s="203"/>
      <c r="F188" s="204"/>
    </row>
    <row r="189" spans="1:6" x14ac:dyDescent="0.2">
      <c r="A189" s="201" t="s">
        <v>431</v>
      </c>
      <c r="B189" s="201" t="s">
        <v>432</v>
      </c>
      <c r="C189" s="200"/>
      <c r="D189" s="202"/>
      <c r="E189" s="203"/>
      <c r="F189" s="204"/>
    </row>
    <row r="190" spans="1:6" x14ac:dyDescent="0.2">
      <c r="A190" s="201" t="s">
        <v>433</v>
      </c>
      <c r="B190" s="201" t="s">
        <v>434</v>
      </c>
      <c r="C190" s="200"/>
      <c r="D190" s="202"/>
      <c r="E190" s="203"/>
      <c r="F190" s="204"/>
    </row>
    <row r="191" spans="1:6" x14ac:dyDescent="0.2">
      <c r="A191" s="201" t="s">
        <v>435</v>
      </c>
      <c r="B191" s="201" t="s">
        <v>436</v>
      </c>
      <c r="C191" s="200"/>
      <c r="D191" s="202"/>
      <c r="E191" s="203"/>
      <c r="F191" s="204"/>
    </row>
    <row r="192" spans="1:6" x14ac:dyDescent="0.2">
      <c r="A192" s="201" t="s">
        <v>437</v>
      </c>
      <c r="B192" s="201" t="s">
        <v>438</v>
      </c>
      <c r="C192" s="200"/>
      <c r="D192" s="202"/>
      <c r="E192" s="203"/>
      <c r="F192" s="204"/>
    </row>
    <row r="193" spans="1:6" x14ac:dyDescent="0.2">
      <c r="A193" s="201" t="s">
        <v>439</v>
      </c>
      <c r="B193" s="201" t="s">
        <v>440</v>
      </c>
      <c r="C193" s="200"/>
      <c r="D193" s="202"/>
      <c r="E193" s="203"/>
      <c r="F193" s="204"/>
    </row>
    <row r="194" spans="1:6" x14ac:dyDescent="0.2">
      <c r="A194" s="201" t="s">
        <v>441</v>
      </c>
      <c r="B194" s="201" t="s">
        <v>442</v>
      </c>
      <c r="C194" s="200"/>
      <c r="D194" s="202"/>
      <c r="E194" s="203"/>
      <c r="F194" s="204"/>
    </row>
    <row r="195" spans="1:6" x14ac:dyDescent="0.2">
      <c r="A195" s="201" t="s">
        <v>443</v>
      </c>
      <c r="B195" s="201" t="s">
        <v>444</v>
      </c>
      <c r="C195" s="200"/>
      <c r="D195" s="202"/>
      <c r="E195" s="203"/>
      <c r="F195" s="204"/>
    </row>
    <row r="196" spans="1:6" x14ac:dyDescent="0.2">
      <c r="A196" s="201" t="s">
        <v>445</v>
      </c>
      <c r="B196" s="201" t="s">
        <v>446</v>
      </c>
      <c r="C196" s="200"/>
      <c r="D196" s="202"/>
      <c r="E196" s="203"/>
      <c r="F196" s="204"/>
    </row>
    <row r="197" spans="1:6" x14ac:dyDescent="0.2">
      <c r="A197" s="201" t="s">
        <v>447</v>
      </c>
      <c r="B197" s="201" t="s">
        <v>448</v>
      </c>
      <c r="C197" s="200"/>
      <c r="D197" s="202"/>
      <c r="E197" s="203"/>
      <c r="F197" s="204"/>
    </row>
    <row r="198" spans="1:6" x14ac:dyDescent="0.2">
      <c r="A198" s="201" t="s">
        <v>449</v>
      </c>
      <c r="B198" s="201" t="s">
        <v>450</v>
      </c>
      <c r="C198" s="200"/>
      <c r="D198" s="202"/>
      <c r="E198" s="203"/>
      <c r="F198" s="204"/>
    </row>
    <row r="199" spans="1:6" x14ac:dyDescent="0.2">
      <c r="A199" s="201" t="s">
        <v>451</v>
      </c>
      <c r="B199" s="201" t="s">
        <v>452</v>
      </c>
      <c r="C199" s="200"/>
      <c r="D199" s="202"/>
      <c r="E199" s="203"/>
      <c r="F199" s="204"/>
    </row>
    <row r="200" spans="1:6" x14ac:dyDescent="0.2">
      <c r="A200" s="201" t="s">
        <v>453</v>
      </c>
      <c r="B200" s="201" t="s">
        <v>454</v>
      </c>
      <c r="C200" s="200"/>
      <c r="D200" s="202"/>
      <c r="E200" s="203"/>
      <c r="F200" s="204"/>
    </row>
    <row r="201" spans="1:6" x14ac:dyDescent="0.2">
      <c r="A201" s="201" t="s">
        <v>455</v>
      </c>
      <c r="B201" s="201" t="s">
        <v>456</v>
      </c>
      <c r="C201" s="200"/>
      <c r="D201" s="202"/>
      <c r="E201" s="203"/>
      <c r="F201" s="204"/>
    </row>
    <row r="202" spans="1:6" x14ac:dyDescent="0.2">
      <c r="A202" s="201" t="s">
        <v>457</v>
      </c>
      <c r="B202" s="201" t="s">
        <v>458</v>
      </c>
      <c r="C202" s="200"/>
      <c r="D202" s="202"/>
      <c r="E202" s="203"/>
      <c r="F202" s="204"/>
    </row>
  </sheetData>
  <autoFilter ref="A2:F202" xr:uid="{3BB14687-D928-9641-8775-4D0CF07C5EAF}">
    <sortState xmlns:xlrd2="http://schemas.microsoft.com/office/spreadsheetml/2017/richdata2" ref="A3:F202">
      <sortCondition ref="A2:A202"/>
    </sortState>
  </autoFilter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2AC6-3541-4045-874F-84ECB1AB6A89}">
  <sheetPr codeName="Sheet9"/>
  <dimension ref="A1:AF62"/>
  <sheetViews>
    <sheetView zoomScale="69" workbookViewId="0">
      <selection activeCell="AE1" sqref="AE1"/>
    </sheetView>
  </sheetViews>
  <sheetFormatPr baseColWidth="10" defaultRowHeight="16" x14ac:dyDescent="0.2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0" bestFit="1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 ht="18" thickTop="1" thickBo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9" t="s">
        <v>934</v>
      </c>
      <c r="M1" s="70">
        <v>1000</v>
      </c>
      <c r="P1" s="69" t="s">
        <v>622</v>
      </c>
      <c r="Q1" s="70" t="s">
        <v>936</v>
      </c>
      <c r="AB1" s="71" t="s">
        <v>624</v>
      </c>
      <c r="AC1" s="72" t="s">
        <v>625</v>
      </c>
      <c r="AD1" s="72" t="s">
        <v>626</v>
      </c>
      <c r="AE1" s="73" t="s">
        <v>627</v>
      </c>
      <c r="AF1" s="74" t="s">
        <v>628</v>
      </c>
    </row>
    <row r="2" spans="1:32" ht="17" thickTop="1" x14ac:dyDescent="0.2">
      <c r="A2" s="223"/>
      <c r="L2" s="69" t="s">
        <v>935</v>
      </c>
      <c r="M2" s="70" t="s">
        <v>629</v>
      </c>
      <c r="P2" s="69" t="s">
        <v>630</v>
      </c>
      <c r="Q2" s="75">
        <v>43490</v>
      </c>
      <c r="AB2" s="76" t="s">
        <v>631</v>
      </c>
      <c r="AC2" s="77" t="s">
        <v>632</v>
      </c>
      <c r="AD2" s="78">
        <v>0</v>
      </c>
      <c r="AE2" s="79" t="s">
        <v>633</v>
      </c>
      <c r="AF2" s="80" t="s">
        <v>634</v>
      </c>
    </row>
    <row r="3" spans="1:32" ht="17" thickBot="1" x14ac:dyDescent="0.25">
      <c r="A3" s="81"/>
      <c r="L3" s="69" t="s">
        <v>635</v>
      </c>
      <c r="M3" s="70" t="s">
        <v>633</v>
      </c>
      <c r="P3" s="69" t="s">
        <v>636</v>
      </c>
      <c r="Q3" s="70" t="s">
        <v>623</v>
      </c>
      <c r="AB3" s="82" t="s">
        <v>637</v>
      </c>
      <c r="AC3" s="77" t="s">
        <v>638</v>
      </c>
      <c r="AD3" s="78">
        <v>1</v>
      </c>
      <c r="AE3" s="77" t="s">
        <v>639</v>
      </c>
      <c r="AF3" s="83" t="s">
        <v>640</v>
      </c>
    </row>
    <row r="4" spans="1:32" ht="17" thickBot="1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AC4" s="77" t="s">
        <v>641</v>
      </c>
      <c r="AD4" s="78">
        <v>2</v>
      </c>
      <c r="AE4" s="77" t="s">
        <v>642</v>
      </c>
    </row>
    <row r="5" spans="1:32" ht="18" thickTop="1" thickBot="1" x14ac:dyDescent="0.25">
      <c r="A5" s="300" t="s">
        <v>643</v>
      </c>
      <c r="B5" s="301"/>
      <c r="C5" s="301"/>
      <c r="D5" s="301"/>
      <c r="E5" s="301"/>
      <c r="F5" s="301"/>
      <c r="G5" s="301"/>
      <c r="H5" s="301"/>
      <c r="I5" s="301"/>
      <c r="J5" s="302"/>
      <c r="K5" s="86"/>
      <c r="AC5" s="77" t="s">
        <v>644</v>
      </c>
      <c r="AD5" s="78">
        <v>3</v>
      </c>
      <c r="AE5" s="77" t="s">
        <v>645</v>
      </c>
    </row>
    <row r="6" spans="1:32" ht="18" thickTop="1" thickBot="1" x14ac:dyDescent="0.25">
      <c r="A6" s="87" t="s">
        <v>646</v>
      </c>
      <c r="B6" s="88" t="s">
        <v>647</v>
      </c>
      <c r="C6" s="89" t="s">
        <v>648</v>
      </c>
      <c r="D6" s="89" t="s">
        <v>649</v>
      </c>
      <c r="E6" s="89" t="s">
        <v>650</v>
      </c>
      <c r="F6" s="89" t="s">
        <v>651</v>
      </c>
      <c r="G6" s="89" t="s">
        <v>652</v>
      </c>
      <c r="H6" s="90" t="s">
        <v>653</v>
      </c>
      <c r="I6" s="89" t="s">
        <v>654</v>
      </c>
      <c r="J6" s="91" t="s">
        <v>655</v>
      </c>
      <c r="K6" s="92" t="s">
        <v>656</v>
      </c>
      <c r="L6" s="93" t="s">
        <v>657</v>
      </c>
      <c r="M6" s="93" t="s">
        <v>658</v>
      </c>
      <c r="N6" s="93" t="s">
        <v>659</v>
      </c>
      <c r="O6" s="93" t="s">
        <v>660</v>
      </c>
      <c r="P6" s="93" t="s">
        <v>661</v>
      </c>
      <c r="Q6" s="92" t="s">
        <v>662</v>
      </c>
      <c r="R6" s="73" t="s">
        <v>663</v>
      </c>
      <c r="S6" s="93" t="s">
        <v>664</v>
      </c>
      <c r="T6" s="93" t="s">
        <v>665</v>
      </c>
      <c r="U6" s="93" t="s">
        <v>666</v>
      </c>
      <c r="V6" s="93" t="s">
        <v>667</v>
      </c>
      <c r="W6" s="93" t="s">
        <v>668</v>
      </c>
      <c r="X6" s="94" t="s">
        <v>669</v>
      </c>
      <c r="Y6" s="95"/>
      <c r="AC6" s="77" t="s">
        <v>670</v>
      </c>
      <c r="AD6" s="78">
        <v>4</v>
      </c>
      <c r="AE6" s="77" t="s">
        <v>671</v>
      </c>
    </row>
    <row r="7" spans="1:32" ht="18" thickTop="1" x14ac:dyDescent="0.2">
      <c r="A7" s="96">
        <v>0</v>
      </c>
      <c r="B7" s="97" t="str">
        <f t="shared" ref="B7:B62" si="0">IF($A7=0, $AB$2,"")</f>
        <v>•</v>
      </c>
      <c r="C7" s="97" t="str">
        <f t="shared" ref="C7:C62" si="1">IF($A7=1, $AB$2,"")</f>
        <v/>
      </c>
      <c r="D7" s="97" t="str">
        <f t="shared" ref="D7:D62" si="2">IF($A7=3, $AB$2,"")</f>
        <v/>
      </c>
      <c r="E7" s="97" t="str">
        <f t="shared" ref="E7:E62" si="3">IF($A7=4, $AB$2,"")</f>
        <v/>
      </c>
      <c r="F7" s="97" t="str">
        <f t="shared" ref="F7:F62" si="4">IF($A7=5, $AB$2,"")</f>
        <v/>
      </c>
      <c r="G7" s="97" t="str">
        <f t="shared" ref="G7:G62" si="5">IF($A7=6, $AB$2,"")</f>
        <v/>
      </c>
      <c r="H7" s="97" t="str">
        <f t="shared" ref="H7:H62" si="6">IF($A7=7, $AB$2,"")</f>
        <v/>
      </c>
      <c r="I7" s="97" t="str">
        <f t="shared" ref="I7:I62" si="7">IF($A7=8, $AB$2,"")</f>
        <v/>
      </c>
      <c r="J7" s="97" t="str">
        <f t="shared" ref="J7:J62" si="8">IF($A7=9, $AB$2,"")</f>
        <v/>
      </c>
      <c r="K7" s="98">
        <v>1</v>
      </c>
      <c r="L7" s="98">
        <f>M1</f>
        <v>1000</v>
      </c>
      <c r="M7" s="99" t="str">
        <f>M2</f>
        <v>VERTAXIS 2.5 kW</v>
      </c>
      <c r="N7" s="98" t="str">
        <f>M3</f>
        <v>A</v>
      </c>
      <c r="O7" s="98">
        <v>1</v>
      </c>
      <c r="P7" s="98"/>
      <c r="Q7" s="100"/>
      <c r="R7" s="99"/>
      <c r="S7" s="99" t="s">
        <v>672</v>
      </c>
      <c r="T7" s="99"/>
      <c r="U7" s="101">
        <f>SUM(U8:U28)*0.9</f>
        <v>4077</v>
      </c>
      <c r="V7" s="99"/>
      <c r="W7" s="99"/>
      <c r="X7" s="99"/>
      <c r="AC7" s="77" t="s">
        <v>673</v>
      </c>
      <c r="AD7" s="78">
        <v>5</v>
      </c>
      <c r="AE7" s="77" t="s">
        <v>674</v>
      </c>
    </row>
    <row r="8" spans="1:32" ht="17" x14ac:dyDescent="0.2">
      <c r="A8" s="96">
        <v>1</v>
      </c>
      <c r="B8" s="102" t="str">
        <f t="shared" si="0"/>
        <v/>
      </c>
      <c r="C8" s="102" t="str">
        <f t="shared" si="1"/>
        <v>•</v>
      </c>
      <c r="D8" s="102" t="str">
        <f t="shared" si="2"/>
        <v/>
      </c>
      <c r="E8" s="102" t="str">
        <f t="shared" si="3"/>
        <v/>
      </c>
      <c r="F8" s="102" t="str">
        <f t="shared" si="4"/>
        <v/>
      </c>
      <c r="G8" s="102" t="str">
        <f t="shared" si="5"/>
        <v/>
      </c>
      <c r="H8" s="102" t="str">
        <f t="shared" si="6"/>
        <v/>
      </c>
      <c r="I8" s="102" t="str">
        <f t="shared" si="7"/>
        <v/>
      </c>
      <c r="J8" s="102" t="str">
        <f t="shared" si="8"/>
        <v/>
      </c>
      <c r="K8" s="103">
        <v>2</v>
      </c>
      <c r="L8" s="103"/>
      <c r="M8" s="104" t="s">
        <v>675</v>
      </c>
      <c r="N8" s="103"/>
      <c r="O8" s="103"/>
      <c r="P8" s="103"/>
      <c r="Q8" s="105"/>
      <c r="R8" s="104"/>
      <c r="S8" s="104" t="s">
        <v>672</v>
      </c>
      <c r="T8" s="104"/>
      <c r="U8" s="106"/>
      <c r="V8" s="106"/>
      <c r="W8" s="104"/>
      <c r="X8" s="106">
        <f>SUM(U10:U12)</f>
        <v>920</v>
      </c>
      <c r="AC8" s="77" t="s">
        <v>676</v>
      </c>
      <c r="AD8" s="78">
        <v>6</v>
      </c>
      <c r="AE8" s="77" t="s">
        <v>677</v>
      </c>
    </row>
    <row r="9" spans="1:32" ht="17" x14ac:dyDescent="0.2">
      <c r="A9" s="96">
        <v>2</v>
      </c>
      <c r="B9" s="102" t="str">
        <f t="shared" si="0"/>
        <v/>
      </c>
      <c r="C9" s="102" t="str">
        <f t="shared" si="1"/>
        <v/>
      </c>
      <c r="D9" s="102" t="str">
        <f t="shared" si="2"/>
        <v/>
      </c>
      <c r="E9" s="102" t="str">
        <f t="shared" si="3"/>
        <v/>
      </c>
      <c r="F9" s="102" t="str">
        <f t="shared" si="4"/>
        <v/>
      </c>
      <c r="G9" s="102" t="str">
        <f t="shared" si="5"/>
        <v/>
      </c>
      <c r="H9" s="102" t="str">
        <f t="shared" si="6"/>
        <v/>
      </c>
      <c r="I9" s="102" t="str">
        <f t="shared" si="7"/>
        <v/>
      </c>
      <c r="J9" s="102" t="str">
        <f t="shared" si="8"/>
        <v/>
      </c>
      <c r="K9" s="103">
        <v>3</v>
      </c>
      <c r="L9" s="103" t="s">
        <v>937</v>
      </c>
      <c r="M9" s="104" t="s">
        <v>678</v>
      </c>
      <c r="N9" s="103"/>
      <c r="O9" s="103">
        <v>1</v>
      </c>
      <c r="P9" s="103"/>
      <c r="Q9" s="105"/>
      <c r="R9" s="104"/>
      <c r="S9" s="104" t="s">
        <v>672</v>
      </c>
      <c r="T9" s="104"/>
      <c r="U9" s="106"/>
      <c r="V9" s="106" t="s">
        <v>938</v>
      </c>
      <c r="W9" s="104"/>
      <c r="X9" s="104"/>
      <c r="AC9" s="77" t="s">
        <v>679</v>
      </c>
      <c r="AD9" s="78">
        <v>7</v>
      </c>
      <c r="AE9" s="77" t="s">
        <v>680</v>
      </c>
    </row>
    <row r="10" spans="1:32" ht="17" x14ac:dyDescent="0.2">
      <c r="A10" s="96">
        <v>3</v>
      </c>
      <c r="B10" s="102" t="str">
        <f t="shared" si="0"/>
        <v/>
      </c>
      <c r="C10" s="102" t="str">
        <f t="shared" si="1"/>
        <v/>
      </c>
      <c r="D10" s="102" t="str">
        <f t="shared" si="2"/>
        <v>•</v>
      </c>
      <c r="E10" s="102" t="str">
        <f t="shared" si="3"/>
        <v/>
      </c>
      <c r="F10" s="102" t="str">
        <f t="shared" si="4"/>
        <v/>
      </c>
      <c r="G10" s="102" t="str">
        <f t="shared" si="5"/>
        <v/>
      </c>
      <c r="H10" s="102" t="str">
        <f t="shared" si="6"/>
        <v/>
      </c>
      <c r="I10" s="102" t="str">
        <f t="shared" si="7"/>
        <v/>
      </c>
      <c r="J10" s="102" t="str">
        <f t="shared" si="8"/>
        <v/>
      </c>
      <c r="K10" s="103">
        <v>4</v>
      </c>
      <c r="L10" s="103"/>
      <c r="M10" s="104" t="s">
        <v>681</v>
      </c>
      <c r="N10" s="103"/>
      <c r="O10" s="103">
        <v>1</v>
      </c>
      <c r="P10" s="103"/>
      <c r="Q10" s="105"/>
      <c r="R10" s="104"/>
      <c r="S10" s="104" t="s">
        <v>672</v>
      </c>
      <c r="T10" s="104"/>
      <c r="U10" s="106">
        <v>120</v>
      </c>
      <c r="V10" s="104" t="s">
        <v>682</v>
      </c>
      <c r="W10" s="104"/>
      <c r="X10" s="106"/>
      <c r="AC10" s="77" t="s">
        <v>683</v>
      </c>
      <c r="AD10" s="78">
        <v>8</v>
      </c>
      <c r="AE10" s="77" t="s">
        <v>684</v>
      </c>
    </row>
    <row r="11" spans="1:32" ht="18" thickBot="1" x14ac:dyDescent="0.25">
      <c r="A11" s="96">
        <v>3</v>
      </c>
      <c r="B11" s="102" t="str">
        <f t="shared" si="0"/>
        <v/>
      </c>
      <c r="C11" s="102" t="str">
        <f t="shared" si="1"/>
        <v/>
      </c>
      <c r="D11" s="102" t="str">
        <f t="shared" si="2"/>
        <v>•</v>
      </c>
      <c r="E11" s="102" t="str">
        <f t="shared" si="3"/>
        <v/>
      </c>
      <c r="F11" s="102" t="str">
        <f t="shared" si="4"/>
        <v/>
      </c>
      <c r="G11" s="102" t="str">
        <f t="shared" si="5"/>
        <v/>
      </c>
      <c r="H11" s="102" t="str">
        <f t="shared" si="6"/>
        <v/>
      </c>
      <c r="I11" s="102" t="str">
        <f t="shared" si="7"/>
        <v/>
      </c>
      <c r="J11" s="102" t="str">
        <f t="shared" si="8"/>
        <v/>
      </c>
      <c r="K11" s="103">
        <v>5</v>
      </c>
      <c r="L11" s="103"/>
      <c r="M11" s="104" t="s">
        <v>685</v>
      </c>
      <c r="N11" s="103"/>
      <c r="O11" s="103">
        <v>3</v>
      </c>
      <c r="P11" s="103"/>
      <c r="Q11" s="105"/>
      <c r="R11" s="104"/>
      <c r="S11" s="104" t="s">
        <v>672</v>
      </c>
      <c r="T11" s="104"/>
      <c r="U11" s="106">
        <v>50</v>
      </c>
      <c r="V11" s="104" t="s">
        <v>686</v>
      </c>
      <c r="W11" s="104"/>
      <c r="X11" s="106"/>
      <c r="AC11" s="77" t="s">
        <v>687</v>
      </c>
      <c r="AD11" s="82" t="s">
        <v>637</v>
      </c>
      <c r="AE11" s="77" t="s">
        <v>688</v>
      </c>
    </row>
    <row r="12" spans="1:32" ht="17" x14ac:dyDescent="0.2">
      <c r="A12" s="96">
        <v>2</v>
      </c>
      <c r="B12" s="102" t="str">
        <f t="shared" si="0"/>
        <v/>
      </c>
      <c r="C12" s="102" t="str">
        <f t="shared" si="1"/>
        <v/>
      </c>
      <c r="D12" s="102" t="str">
        <f t="shared" si="2"/>
        <v/>
      </c>
      <c r="E12" s="102" t="str">
        <f t="shared" si="3"/>
        <v/>
      </c>
      <c r="F12" s="102" t="str">
        <f t="shared" si="4"/>
        <v/>
      </c>
      <c r="G12" s="102" t="str">
        <f t="shared" si="5"/>
        <v/>
      </c>
      <c r="H12" s="102" t="str">
        <f t="shared" si="6"/>
        <v/>
      </c>
      <c r="I12" s="102" t="str">
        <f t="shared" si="7"/>
        <v/>
      </c>
      <c r="J12" s="102" t="str">
        <f t="shared" si="8"/>
        <v/>
      </c>
      <c r="K12" s="103">
        <v>6</v>
      </c>
      <c r="L12" s="103"/>
      <c r="M12" s="104" t="s">
        <v>689</v>
      </c>
      <c r="N12" s="103"/>
      <c r="O12" s="103">
        <v>4</v>
      </c>
      <c r="P12" s="103"/>
      <c r="Q12" s="105"/>
      <c r="R12" s="104"/>
      <c r="S12" s="104" t="s">
        <v>672</v>
      </c>
      <c r="T12" s="104"/>
      <c r="U12" s="106">
        <v>750</v>
      </c>
      <c r="V12" s="104" t="s">
        <v>690</v>
      </c>
      <c r="W12" s="104"/>
      <c r="X12" s="106"/>
      <c r="AC12" s="77" t="s">
        <v>691</v>
      </c>
      <c r="AE12" s="77" t="s">
        <v>683</v>
      </c>
    </row>
    <row r="13" spans="1:32" ht="17" x14ac:dyDescent="0.2">
      <c r="A13" s="96">
        <v>1</v>
      </c>
      <c r="B13" s="102" t="str">
        <f t="shared" si="0"/>
        <v/>
      </c>
      <c r="C13" s="102" t="str">
        <f t="shared" si="1"/>
        <v>•</v>
      </c>
      <c r="D13" s="102" t="str">
        <f t="shared" si="2"/>
        <v/>
      </c>
      <c r="E13" s="102" t="str">
        <f t="shared" si="3"/>
        <v/>
      </c>
      <c r="F13" s="102" t="str">
        <f t="shared" si="4"/>
        <v/>
      </c>
      <c r="G13" s="102" t="str">
        <f t="shared" si="5"/>
        <v/>
      </c>
      <c r="H13" s="102" t="str">
        <f t="shared" si="6"/>
        <v/>
      </c>
      <c r="I13" s="102" t="str">
        <f t="shared" si="7"/>
        <v/>
      </c>
      <c r="J13" s="102" t="str">
        <f t="shared" si="8"/>
        <v/>
      </c>
      <c r="K13" s="103">
        <v>8</v>
      </c>
      <c r="L13" s="103"/>
      <c r="M13" s="104" t="s">
        <v>692</v>
      </c>
      <c r="N13" s="103"/>
      <c r="O13" s="103">
        <v>3</v>
      </c>
      <c r="P13" s="103"/>
      <c r="Q13" s="105"/>
      <c r="R13" s="104"/>
      <c r="S13" s="104" t="s">
        <v>672</v>
      </c>
      <c r="T13" s="104"/>
      <c r="U13" s="106"/>
      <c r="V13" s="106"/>
      <c r="W13" s="104"/>
      <c r="X13" s="106">
        <f>SUM(U14:U18)</f>
        <v>400</v>
      </c>
      <c r="AC13" s="77" t="s">
        <v>693</v>
      </c>
      <c r="AE13" s="77" t="s">
        <v>687</v>
      </c>
    </row>
    <row r="14" spans="1:32" ht="17" x14ac:dyDescent="0.2">
      <c r="A14" s="96">
        <v>2</v>
      </c>
      <c r="B14" s="102" t="str">
        <f t="shared" si="0"/>
        <v/>
      </c>
      <c r="C14" s="102" t="str">
        <f t="shared" si="1"/>
        <v/>
      </c>
      <c r="D14" s="102" t="str">
        <f t="shared" si="2"/>
        <v/>
      </c>
      <c r="E14" s="102" t="str">
        <f t="shared" si="3"/>
        <v/>
      </c>
      <c r="F14" s="102" t="str">
        <f t="shared" si="4"/>
        <v/>
      </c>
      <c r="G14" s="102" t="str">
        <f t="shared" si="5"/>
        <v/>
      </c>
      <c r="H14" s="102" t="str">
        <f t="shared" si="6"/>
        <v/>
      </c>
      <c r="I14" s="102" t="str">
        <f t="shared" si="7"/>
        <v/>
      </c>
      <c r="J14" s="102" t="str">
        <f t="shared" si="8"/>
        <v/>
      </c>
      <c r="K14" s="103">
        <v>9</v>
      </c>
      <c r="L14" s="103"/>
      <c r="M14" s="104" t="s">
        <v>694</v>
      </c>
      <c r="N14" s="103"/>
      <c r="O14" s="103">
        <v>1</v>
      </c>
      <c r="P14" s="103"/>
      <c r="Q14" s="105"/>
      <c r="R14" s="104"/>
      <c r="S14" s="104" t="s">
        <v>672</v>
      </c>
      <c r="T14" s="104"/>
      <c r="U14" s="106">
        <v>250</v>
      </c>
      <c r="V14" s="104" t="s">
        <v>695</v>
      </c>
      <c r="W14" s="104"/>
      <c r="X14" s="106"/>
      <c r="AC14" s="77" t="s">
        <v>696</v>
      </c>
      <c r="AE14" s="77" t="s">
        <v>697</v>
      </c>
    </row>
    <row r="15" spans="1:32" ht="18" thickBot="1" x14ac:dyDescent="0.25">
      <c r="A15" s="96">
        <v>2</v>
      </c>
      <c r="B15" s="102" t="str">
        <f t="shared" si="0"/>
        <v/>
      </c>
      <c r="C15" s="102" t="str">
        <f t="shared" si="1"/>
        <v/>
      </c>
      <c r="D15" s="102" t="str">
        <f t="shared" si="2"/>
        <v/>
      </c>
      <c r="E15" s="102" t="str">
        <f t="shared" si="3"/>
        <v/>
      </c>
      <c r="F15" s="102" t="str">
        <f t="shared" si="4"/>
        <v/>
      </c>
      <c r="G15" s="102" t="str">
        <f t="shared" si="5"/>
        <v/>
      </c>
      <c r="H15" s="102" t="str">
        <f t="shared" si="6"/>
        <v/>
      </c>
      <c r="I15" s="102" t="str">
        <f t="shared" si="7"/>
        <v/>
      </c>
      <c r="J15" s="102" t="str">
        <f t="shared" si="8"/>
        <v/>
      </c>
      <c r="K15" s="103">
        <v>10</v>
      </c>
      <c r="L15" s="103"/>
      <c r="M15" s="104" t="s">
        <v>698</v>
      </c>
      <c r="N15" s="103"/>
      <c r="O15" s="103">
        <v>1</v>
      </c>
      <c r="P15" s="103"/>
      <c r="Q15" s="105"/>
      <c r="R15" s="104"/>
      <c r="S15" s="104" t="s">
        <v>672</v>
      </c>
      <c r="T15" s="104"/>
      <c r="U15" s="106">
        <v>40</v>
      </c>
      <c r="V15" s="104" t="s">
        <v>690</v>
      </c>
      <c r="W15" s="104"/>
      <c r="X15" s="106"/>
      <c r="AC15" s="107" t="s">
        <v>699</v>
      </c>
      <c r="AE15" s="77" t="s">
        <v>700</v>
      </c>
    </row>
    <row r="16" spans="1:32" ht="17" x14ac:dyDescent="0.2">
      <c r="A16" s="96">
        <v>3</v>
      </c>
      <c r="B16" s="102" t="str">
        <f t="shared" si="0"/>
        <v/>
      </c>
      <c r="C16" s="102" t="str">
        <f t="shared" si="1"/>
        <v/>
      </c>
      <c r="D16" s="102" t="str">
        <f t="shared" si="2"/>
        <v>•</v>
      </c>
      <c r="E16" s="102" t="str">
        <f t="shared" si="3"/>
        <v/>
      </c>
      <c r="F16" s="102" t="str">
        <f t="shared" si="4"/>
        <v/>
      </c>
      <c r="G16" s="102" t="str">
        <f t="shared" si="5"/>
        <v/>
      </c>
      <c r="H16" s="102" t="str">
        <f t="shared" si="6"/>
        <v/>
      </c>
      <c r="I16" s="102" t="str">
        <f t="shared" si="7"/>
        <v/>
      </c>
      <c r="J16" s="102" t="str">
        <f t="shared" si="8"/>
        <v/>
      </c>
      <c r="K16" s="103">
        <v>11</v>
      </c>
      <c r="L16" s="103"/>
      <c r="M16" s="104" t="s">
        <v>701</v>
      </c>
      <c r="N16" s="103"/>
      <c r="O16" s="103">
        <v>3</v>
      </c>
      <c r="P16" s="103"/>
      <c r="Q16" s="105"/>
      <c r="R16" s="104"/>
      <c r="S16" s="104" t="s">
        <v>672</v>
      </c>
      <c r="T16" s="104"/>
      <c r="U16" s="106">
        <v>35</v>
      </c>
      <c r="V16" s="104" t="s">
        <v>702</v>
      </c>
      <c r="W16" s="104"/>
      <c r="X16" s="106"/>
      <c r="AC16" s="96"/>
      <c r="AE16" s="77" t="s">
        <v>703</v>
      </c>
    </row>
    <row r="17" spans="1:31" ht="17" x14ac:dyDescent="0.2">
      <c r="A17" s="96">
        <v>2</v>
      </c>
      <c r="B17" s="102" t="str">
        <f t="shared" si="0"/>
        <v/>
      </c>
      <c r="C17" s="102" t="str">
        <f t="shared" si="1"/>
        <v/>
      </c>
      <c r="D17" s="102" t="str">
        <f t="shared" si="2"/>
        <v/>
      </c>
      <c r="E17" s="102" t="str">
        <f t="shared" si="3"/>
        <v/>
      </c>
      <c r="F17" s="102" t="str">
        <f t="shared" si="4"/>
        <v/>
      </c>
      <c r="G17" s="102" t="str">
        <f t="shared" si="5"/>
        <v/>
      </c>
      <c r="H17" s="102" t="str">
        <f t="shared" si="6"/>
        <v/>
      </c>
      <c r="I17" s="102" t="str">
        <f t="shared" si="7"/>
        <v/>
      </c>
      <c r="J17" s="102" t="str">
        <f t="shared" si="8"/>
        <v/>
      </c>
      <c r="K17" s="103">
        <v>12</v>
      </c>
      <c r="L17" s="103"/>
      <c r="M17" s="104" t="s">
        <v>704</v>
      </c>
      <c r="N17" s="103"/>
      <c r="O17" s="103">
        <v>1</v>
      </c>
      <c r="P17" s="103"/>
      <c r="Q17" s="105"/>
      <c r="R17" s="104"/>
      <c r="S17" s="104" t="s">
        <v>672</v>
      </c>
      <c r="T17" s="104"/>
      <c r="U17" s="106">
        <v>40</v>
      </c>
      <c r="V17" s="104" t="s">
        <v>690</v>
      </c>
      <c r="W17" s="104"/>
      <c r="X17" s="106"/>
      <c r="AE17" s="77" t="s">
        <v>705</v>
      </c>
    </row>
    <row r="18" spans="1:31" ht="17" x14ac:dyDescent="0.2">
      <c r="A18" s="96">
        <v>3</v>
      </c>
      <c r="B18" s="102" t="str">
        <f t="shared" si="0"/>
        <v/>
      </c>
      <c r="C18" s="102" t="str">
        <f t="shared" si="1"/>
        <v/>
      </c>
      <c r="D18" s="102" t="str">
        <f t="shared" si="2"/>
        <v>•</v>
      </c>
      <c r="E18" s="102" t="str">
        <f t="shared" si="3"/>
        <v/>
      </c>
      <c r="F18" s="102" t="str">
        <f t="shared" si="4"/>
        <v/>
      </c>
      <c r="G18" s="102" t="str">
        <f t="shared" si="5"/>
        <v/>
      </c>
      <c r="H18" s="102" t="str">
        <f t="shared" si="6"/>
        <v/>
      </c>
      <c r="I18" s="102" t="str">
        <f t="shared" si="7"/>
        <v/>
      </c>
      <c r="J18" s="102" t="str">
        <f t="shared" si="8"/>
        <v/>
      </c>
      <c r="K18" s="103">
        <v>13</v>
      </c>
      <c r="L18" s="103"/>
      <c r="M18" s="104" t="s">
        <v>706</v>
      </c>
      <c r="N18" s="103"/>
      <c r="O18" s="103">
        <v>3</v>
      </c>
      <c r="P18" s="103"/>
      <c r="Q18" s="105"/>
      <c r="R18" s="104"/>
      <c r="S18" s="104" t="s">
        <v>672</v>
      </c>
      <c r="T18" s="104"/>
      <c r="U18" s="106">
        <v>35</v>
      </c>
      <c r="V18" s="104" t="s">
        <v>702</v>
      </c>
      <c r="W18" s="104"/>
      <c r="X18" s="106"/>
      <c r="AE18" s="77" t="s">
        <v>707</v>
      </c>
    </row>
    <row r="19" spans="1:31" ht="17" x14ac:dyDescent="0.2">
      <c r="A19" s="96">
        <v>1</v>
      </c>
      <c r="B19" s="102" t="str">
        <f t="shared" si="0"/>
        <v/>
      </c>
      <c r="C19" s="102" t="str">
        <f t="shared" si="1"/>
        <v>•</v>
      </c>
      <c r="D19" s="102" t="str">
        <f t="shared" si="2"/>
        <v/>
      </c>
      <c r="E19" s="102" t="str">
        <f t="shared" si="3"/>
        <v/>
      </c>
      <c r="F19" s="102" t="str">
        <f t="shared" si="4"/>
        <v/>
      </c>
      <c r="G19" s="102" t="str">
        <f t="shared" si="5"/>
        <v/>
      </c>
      <c r="H19" s="102" t="str">
        <f t="shared" si="6"/>
        <v/>
      </c>
      <c r="I19" s="102" t="str">
        <f t="shared" si="7"/>
        <v/>
      </c>
      <c r="J19" s="102" t="str">
        <f t="shared" si="8"/>
        <v/>
      </c>
      <c r="K19" s="103">
        <v>14</v>
      </c>
      <c r="L19" s="103"/>
      <c r="M19" s="104" t="s">
        <v>708</v>
      </c>
      <c r="N19" s="103"/>
      <c r="O19" s="103">
        <v>1</v>
      </c>
      <c r="P19" s="103"/>
      <c r="Q19" s="105"/>
      <c r="R19" s="104"/>
      <c r="S19" s="104" t="s">
        <v>709</v>
      </c>
      <c r="T19" s="104"/>
      <c r="U19" s="106"/>
      <c r="V19" s="106"/>
      <c r="W19" s="104"/>
      <c r="X19" s="106">
        <f>SUM(U20:U23)</f>
        <v>260</v>
      </c>
      <c r="AE19" s="77" t="s">
        <v>710</v>
      </c>
    </row>
    <row r="20" spans="1:31" ht="17" x14ac:dyDescent="0.2">
      <c r="A20" s="96">
        <v>2</v>
      </c>
      <c r="B20" s="102" t="str">
        <f t="shared" si="0"/>
        <v/>
      </c>
      <c r="C20" s="102" t="str">
        <f t="shared" si="1"/>
        <v/>
      </c>
      <c r="D20" s="102" t="str">
        <f t="shared" si="2"/>
        <v/>
      </c>
      <c r="E20" s="102" t="str">
        <f t="shared" si="3"/>
        <v/>
      </c>
      <c r="F20" s="102" t="str">
        <f t="shared" si="4"/>
        <v/>
      </c>
      <c r="G20" s="102" t="str">
        <f t="shared" si="5"/>
        <v/>
      </c>
      <c r="H20" s="102" t="str">
        <f t="shared" si="6"/>
        <v/>
      </c>
      <c r="I20" s="102" t="str">
        <f t="shared" si="7"/>
        <v/>
      </c>
      <c r="J20" s="102" t="str">
        <f t="shared" si="8"/>
        <v/>
      </c>
      <c r="K20" s="103">
        <v>15</v>
      </c>
      <c r="L20" s="103"/>
      <c r="M20" s="104" t="s">
        <v>711</v>
      </c>
      <c r="N20" s="103"/>
      <c r="O20" s="103">
        <v>1</v>
      </c>
      <c r="P20" s="103"/>
      <c r="Q20" s="105"/>
      <c r="R20" s="104"/>
      <c r="S20" s="104" t="s">
        <v>709</v>
      </c>
      <c r="T20" s="104"/>
      <c r="U20" s="106">
        <v>25</v>
      </c>
      <c r="V20" s="104" t="s">
        <v>712</v>
      </c>
      <c r="W20" s="104"/>
      <c r="X20" s="106"/>
      <c r="AE20" s="77" t="s">
        <v>713</v>
      </c>
    </row>
    <row r="21" spans="1:31" ht="17" x14ac:dyDescent="0.2">
      <c r="A21" s="96">
        <v>3</v>
      </c>
      <c r="B21" s="102" t="str">
        <f t="shared" si="0"/>
        <v/>
      </c>
      <c r="C21" s="102" t="str">
        <f t="shared" si="1"/>
        <v/>
      </c>
      <c r="D21" s="102" t="str">
        <f t="shared" si="2"/>
        <v>•</v>
      </c>
      <c r="E21" s="102" t="str">
        <f t="shared" si="3"/>
        <v/>
      </c>
      <c r="F21" s="102" t="str">
        <f t="shared" si="4"/>
        <v/>
      </c>
      <c r="G21" s="102" t="str">
        <f t="shared" si="5"/>
        <v/>
      </c>
      <c r="H21" s="102" t="str">
        <f t="shared" si="6"/>
        <v/>
      </c>
      <c r="I21" s="102" t="str">
        <f t="shared" si="7"/>
        <v/>
      </c>
      <c r="J21" s="102" t="str">
        <f t="shared" si="8"/>
        <v/>
      </c>
      <c r="K21" s="103">
        <v>17</v>
      </c>
      <c r="L21" s="103"/>
      <c r="M21" s="104" t="s">
        <v>714</v>
      </c>
      <c r="N21" s="103"/>
      <c r="O21" s="103">
        <v>1</v>
      </c>
      <c r="P21" s="103"/>
      <c r="Q21" s="105"/>
      <c r="R21" s="104"/>
      <c r="S21" s="104" t="s">
        <v>709</v>
      </c>
      <c r="T21" s="104"/>
      <c r="U21" s="106">
        <v>130</v>
      </c>
      <c r="V21" s="104" t="s">
        <v>715</v>
      </c>
      <c r="W21" s="104"/>
      <c r="X21" s="106"/>
      <c r="AE21" s="77" t="s">
        <v>716</v>
      </c>
    </row>
    <row r="22" spans="1:31" ht="17" x14ac:dyDescent="0.2">
      <c r="A22" s="96">
        <v>2</v>
      </c>
      <c r="B22" s="102" t="str">
        <f t="shared" si="0"/>
        <v/>
      </c>
      <c r="C22" s="102" t="str">
        <f t="shared" si="1"/>
        <v/>
      </c>
      <c r="D22" s="102" t="str">
        <f t="shared" si="2"/>
        <v/>
      </c>
      <c r="E22" s="102" t="str">
        <f t="shared" si="3"/>
        <v/>
      </c>
      <c r="F22" s="102" t="str">
        <f t="shared" si="4"/>
        <v/>
      </c>
      <c r="G22" s="102" t="str">
        <f t="shared" si="5"/>
        <v/>
      </c>
      <c r="H22" s="102" t="str">
        <f t="shared" si="6"/>
        <v/>
      </c>
      <c r="I22" s="102" t="str">
        <f t="shared" si="7"/>
        <v/>
      </c>
      <c r="J22" s="102" t="str">
        <f t="shared" si="8"/>
        <v/>
      </c>
      <c r="K22" s="103">
        <v>18</v>
      </c>
      <c r="L22" s="103"/>
      <c r="M22" s="104" t="s">
        <v>717</v>
      </c>
      <c r="N22" s="103"/>
      <c r="O22" s="103">
        <v>1</v>
      </c>
      <c r="P22" s="103"/>
      <c r="Q22" s="105"/>
      <c r="R22" s="104"/>
      <c r="S22" s="104" t="s">
        <v>709</v>
      </c>
      <c r="T22" s="104"/>
      <c r="U22" s="106">
        <v>25</v>
      </c>
      <c r="V22" s="104" t="s">
        <v>712</v>
      </c>
      <c r="W22" s="104"/>
      <c r="X22" s="106"/>
      <c r="AE22" s="77" t="s">
        <v>718</v>
      </c>
    </row>
    <row r="23" spans="1:31" ht="17" x14ac:dyDescent="0.2">
      <c r="A23" s="96">
        <v>3</v>
      </c>
      <c r="B23" s="102" t="str">
        <f t="shared" si="0"/>
        <v/>
      </c>
      <c r="C23" s="102" t="str">
        <f t="shared" si="1"/>
        <v/>
      </c>
      <c r="D23" s="102" t="str">
        <f t="shared" si="2"/>
        <v>•</v>
      </c>
      <c r="E23" s="102" t="str">
        <f t="shared" si="3"/>
        <v/>
      </c>
      <c r="F23" s="102" t="str">
        <f t="shared" si="4"/>
        <v/>
      </c>
      <c r="G23" s="102" t="str">
        <f t="shared" si="5"/>
        <v/>
      </c>
      <c r="H23" s="102" t="str">
        <f t="shared" si="6"/>
        <v/>
      </c>
      <c r="I23" s="102" t="str">
        <f t="shared" si="7"/>
        <v/>
      </c>
      <c r="J23" s="102" t="str">
        <f t="shared" si="8"/>
        <v/>
      </c>
      <c r="K23" s="103">
        <v>21</v>
      </c>
      <c r="L23" s="103"/>
      <c r="M23" s="104" t="s">
        <v>719</v>
      </c>
      <c r="N23" s="103"/>
      <c r="O23" s="103">
        <v>1</v>
      </c>
      <c r="P23" s="103"/>
      <c r="Q23" s="105"/>
      <c r="R23" s="104"/>
      <c r="S23" s="104" t="s">
        <v>709</v>
      </c>
      <c r="T23" s="104"/>
      <c r="U23" s="106">
        <v>80</v>
      </c>
      <c r="V23" s="104" t="s">
        <v>720</v>
      </c>
      <c r="W23" s="104"/>
      <c r="X23" s="106"/>
      <c r="AE23" s="77" t="s">
        <v>721</v>
      </c>
    </row>
    <row r="24" spans="1:31" ht="17" x14ac:dyDescent="0.2">
      <c r="A24" s="96">
        <v>1</v>
      </c>
      <c r="B24" s="102" t="str">
        <f t="shared" si="0"/>
        <v/>
      </c>
      <c r="C24" s="102" t="str">
        <f t="shared" si="1"/>
        <v>•</v>
      </c>
      <c r="D24" s="102" t="str">
        <f t="shared" si="2"/>
        <v/>
      </c>
      <c r="E24" s="102" t="str">
        <f t="shared" si="3"/>
        <v/>
      </c>
      <c r="F24" s="102" t="str">
        <f t="shared" si="4"/>
        <v/>
      </c>
      <c r="G24" s="102" t="str">
        <f t="shared" si="5"/>
        <v/>
      </c>
      <c r="H24" s="102" t="str">
        <f t="shared" si="6"/>
        <v/>
      </c>
      <c r="I24" s="102" t="str">
        <f t="shared" si="7"/>
        <v/>
      </c>
      <c r="J24" s="102" t="str">
        <f t="shared" si="8"/>
        <v/>
      </c>
      <c r="K24" s="103">
        <v>22</v>
      </c>
      <c r="L24" s="103"/>
      <c r="M24" s="104" t="s">
        <v>722</v>
      </c>
      <c r="N24" s="103"/>
      <c r="O24" s="103">
        <v>1</v>
      </c>
      <c r="P24" s="103"/>
      <c r="Q24" s="105"/>
      <c r="R24" s="104"/>
      <c r="S24" s="104" t="s">
        <v>709</v>
      </c>
      <c r="T24" s="104" t="s">
        <v>723</v>
      </c>
      <c r="U24" s="106">
        <v>500</v>
      </c>
      <c r="V24" s="104"/>
      <c r="W24" s="104"/>
      <c r="X24" s="106"/>
      <c r="AE24" s="77" t="s">
        <v>724</v>
      </c>
    </row>
    <row r="25" spans="1:31" ht="17" x14ac:dyDescent="0.2">
      <c r="A25" s="96">
        <v>1</v>
      </c>
      <c r="B25" s="102" t="str">
        <f t="shared" si="0"/>
        <v/>
      </c>
      <c r="C25" s="102" t="str">
        <f t="shared" si="1"/>
        <v>•</v>
      </c>
      <c r="D25" s="102" t="str">
        <f t="shared" si="2"/>
        <v/>
      </c>
      <c r="E25" s="102" t="str">
        <f t="shared" si="3"/>
        <v/>
      </c>
      <c r="F25" s="102" t="str">
        <f t="shared" si="4"/>
        <v/>
      </c>
      <c r="G25" s="102" t="str">
        <f t="shared" si="5"/>
        <v/>
      </c>
      <c r="H25" s="102" t="str">
        <f t="shared" si="6"/>
        <v/>
      </c>
      <c r="I25" s="102" t="str">
        <f t="shared" si="7"/>
        <v/>
      </c>
      <c r="J25" s="102" t="str">
        <f t="shared" si="8"/>
        <v/>
      </c>
      <c r="K25" s="103">
        <v>23</v>
      </c>
      <c r="L25" s="103"/>
      <c r="M25" s="104" t="s">
        <v>725</v>
      </c>
      <c r="N25" s="103"/>
      <c r="O25" s="103">
        <v>1</v>
      </c>
      <c r="P25" s="103"/>
      <c r="Q25" s="105"/>
      <c r="R25" s="104"/>
      <c r="S25" s="104" t="s">
        <v>709</v>
      </c>
      <c r="T25" s="104" t="s">
        <v>723</v>
      </c>
      <c r="U25" s="106">
        <v>200</v>
      </c>
      <c r="V25" s="104"/>
      <c r="W25" s="104"/>
      <c r="X25" s="106"/>
      <c r="AE25" s="77" t="s">
        <v>726</v>
      </c>
    </row>
    <row r="26" spans="1:31" ht="17" x14ac:dyDescent="0.2">
      <c r="A26" s="96">
        <v>1</v>
      </c>
      <c r="B26" s="102" t="str">
        <f t="shared" si="0"/>
        <v/>
      </c>
      <c r="C26" s="102" t="str">
        <f t="shared" si="1"/>
        <v>•</v>
      </c>
      <c r="D26" s="102" t="str">
        <f t="shared" si="2"/>
        <v/>
      </c>
      <c r="E26" s="102" t="str">
        <f t="shared" si="3"/>
        <v/>
      </c>
      <c r="F26" s="102" t="str">
        <f t="shared" si="4"/>
        <v/>
      </c>
      <c r="G26" s="102" t="str">
        <f t="shared" si="5"/>
        <v/>
      </c>
      <c r="H26" s="102" t="str">
        <f t="shared" si="6"/>
        <v/>
      </c>
      <c r="I26" s="102" t="str">
        <f t="shared" si="7"/>
        <v/>
      </c>
      <c r="J26" s="102" t="str">
        <f t="shared" si="8"/>
        <v/>
      </c>
      <c r="K26" s="103">
        <v>24</v>
      </c>
      <c r="L26" s="103"/>
      <c r="M26" s="104" t="s">
        <v>727</v>
      </c>
      <c r="N26" s="103"/>
      <c r="O26" s="103">
        <v>1</v>
      </c>
      <c r="P26" s="103"/>
      <c r="Q26" s="105"/>
      <c r="R26" s="104"/>
      <c r="S26" s="104" t="s">
        <v>709</v>
      </c>
      <c r="T26" s="104" t="s">
        <v>723</v>
      </c>
      <c r="U26" s="106">
        <v>2000</v>
      </c>
      <c r="V26" s="104"/>
      <c r="W26" s="104"/>
      <c r="X26" s="106"/>
      <c r="AE26" s="77" t="s">
        <v>728</v>
      </c>
    </row>
    <row r="27" spans="1:31" ht="17" x14ac:dyDescent="0.2">
      <c r="A27" s="96">
        <v>1</v>
      </c>
      <c r="B27" s="102" t="str">
        <f t="shared" si="0"/>
        <v/>
      </c>
      <c r="C27" s="102" t="str">
        <f t="shared" si="1"/>
        <v>•</v>
      </c>
      <c r="D27" s="102" t="str">
        <f t="shared" si="2"/>
        <v/>
      </c>
      <c r="E27" s="102" t="str">
        <f t="shared" si="3"/>
        <v/>
      </c>
      <c r="F27" s="102" t="str">
        <f t="shared" si="4"/>
        <v/>
      </c>
      <c r="G27" s="102" t="str">
        <f t="shared" si="5"/>
        <v/>
      </c>
      <c r="H27" s="102" t="str">
        <f t="shared" si="6"/>
        <v/>
      </c>
      <c r="I27" s="102" t="str">
        <f t="shared" si="7"/>
        <v/>
      </c>
      <c r="J27" s="102" t="str">
        <f t="shared" si="8"/>
        <v/>
      </c>
      <c r="K27" s="103">
        <v>25</v>
      </c>
      <c r="L27" s="103"/>
      <c r="M27" s="104" t="s">
        <v>729</v>
      </c>
      <c r="N27" s="103"/>
      <c r="O27" s="103">
        <v>1</v>
      </c>
      <c r="P27" s="103"/>
      <c r="Q27" s="105"/>
      <c r="R27" s="104"/>
      <c r="S27" s="104" t="s">
        <v>709</v>
      </c>
      <c r="T27" s="104" t="s">
        <v>723</v>
      </c>
      <c r="U27" s="106">
        <v>200</v>
      </c>
      <c r="V27" s="104"/>
      <c r="W27" s="104"/>
      <c r="X27" s="106"/>
      <c r="AE27" s="77" t="s">
        <v>730</v>
      </c>
    </row>
    <row r="28" spans="1:31" ht="17" x14ac:dyDescent="0.2">
      <c r="A28" s="96">
        <v>1</v>
      </c>
      <c r="B28" s="102" t="str">
        <f t="shared" si="0"/>
        <v/>
      </c>
      <c r="C28" s="102" t="str">
        <f t="shared" si="1"/>
        <v>•</v>
      </c>
      <c r="D28" s="102" t="str">
        <f t="shared" si="2"/>
        <v/>
      </c>
      <c r="E28" s="102" t="str">
        <f t="shared" si="3"/>
        <v/>
      </c>
      <c r="F28" s="102" t="str">
        <f t="shared" si="4"/>
        <v/>
      </c>
      <c r="G28" s="102" t="str">
        <f t="shared" si="5"/>
        <v/>
      </c>
      <c r="H28" s="102" t="str">
        <f t="shared" si="6"/>
        <v/>
      </c>
      <c r="I28" s="102" t="str">
        <f t="shared" si="7"/>
        <v/>
      </c>
      <c r="J28" s="102" t="str">
        <f t="shared" si="8"/>
        <v/>
      </c>
      <c r="K28" s="103">
        <v>26</v>
      </c>
      <c r="L28" s="103"/>
      <c r="M28" s="104" t="s">
        <v>731</v>
      </c>
      <c r="N28" s="103"/>
      <c r="O28" s="103">
        <v>2</v>
      </c>
      <c r="P28" s="103"/>
      <c r="Q28" s="105"/>
      <c r="R28" s="104"/>
      <c r="S28" s="104" t="s">
        <v>709</v>
      </c>
      <c r="T28" s="104" t="s">
        <v>723</v>
      </c>
      <c r="U28" s="106">
        <v>50</v>
      </c>
      <c r="V28" s="104"/>
      <c r="W28" s="104"/>
      <c r="X28" s="106"/>
      <c r="AE28" s="77" t="s">
        <v>732</v>
      </c>
    </row>
    <row r="29" spans="1:31" x14ac:dyDescent="0.2">
      <c r="A29" s="96">
        <v>1</v>
      </c>
      <c r="B29" s="102" t="str">
        <f t="shared" si="0"/>
        <v/>
      </c>
      <c r="C29" s="102" t="str">
        <f t="shared" si="1"/>
        <v>•</v>
      </c>
      <c r="D29" s="102" t="str">
        <f t="shared" si="2"/>
        <v/>
      </c>
      <c r="E29" s="102" t="str">
        <f t="shared" si="3"/>
        <v/>
      </c>
      <c r="F29" s="102" t="str">
        <f t="shared" si="4"/>
        <v/>
      </c>
      <c r="G29" s="102" t="str">
        <f t="shared" si="5"/>
        <v/>
      </c>
      <c r="H29" s="102" t="str">
        <f t="shared" si="6"/>
        <v/>
      </c>
      <c r="I29" s="102" t="str">
        <f t="shared" si="7"/>
        <v/>
      </c>
      <c r="J29" s="102" t="str">
        <f t="shared" si="8"/>
        <v/>
      </c>
      <c r="K29" s="103">
        <v>27</v>
      </c>
      <c r="L29" s="103"/>
      <c r="M29" s="104"/>
      <c r="N29" s="103"/>
      <c r="O29" s="103"/>
      <c r="P29" s="103"/>
      <c r="Q29" s="105"/>
      <c r="R29" s="104"/>
      <c r="S29" s="104"/>
      <c r="T29" s="104"/>
      <c r="U29" s="106"/>
      <c r="V29" s="104"/>
      <c r="W29" s="104"/>
      <c r="X29" s="104"/>
      <c r="AE29" s="77" t="s">
        <v>733</v>
      </c>
    </row>
    <row r="30" spans="1:31" x14ac:dyDescent="0.2">
      <c r="A30" s="96">
        <v>1</v>
      </c>
      <c r="B30" s="102" t="str">
        <f t="shared" si="0"/>
        <v/>
      </c>
      <c r="C30" s="102" t="str">
        <f t="shared" si="1"/>
        <v>•</v>
      </c>
      <c r="D30" s="102" t="str">
        <f t="shared" si="2"/>
        <v/>
      </c>
      <c r="E30" s="102" t="str">
        <f t="shared" si="3"/>
        <v/>
      </c>
      <c r="F30" s="102" t="str">
        <f t="shared" si="4"/>
        <v/>
      </c>
      <c r="G30" s="102" t="str">
        <f t="shared" si="5"/>
        <v/>
      </c>
      <c r="H30" s="102" t="str">
        <f t="shared" si="6"/>
        <v/>
      </c>
      <c r="I30" s="102" t="str">
        <f t="shared" si="7"/>
        <v/>
      </c>
      <c r="J30" s="102" t="str">
        <f t="shared" si="8"/>
        <v/>
      </c>
      <c r="K30" s="103">
        <v>28</v>
      </c>
      <c r="L30" s="103"/>
      <c r="M30" s="104"/>
      <c r="N30" s="103"/>
      <c r="O30" s="103"/>
      <c r="P30" s="103"/>
      <c r="Q30" s="105"/>
      <c r="R30" s="104"/>
      <c r="S30" s="104"/>
      <c r="T30" s="104"/>
      <c r="U30" s="106"/>
      <c r="V30" s="104"/>
      <c r="W30" s="104"/>
      <c r="X30" s="104"/>
      <c r="AE30" s="77" t="s">
        <v>734</v>
      </c>
    </row>
    <row r="31" spans="1:31" x14ac:dyDescent="0.2">
      <c r="A31" s="96">
        <v>1</v>
      </c>
      <c r="B31" s="102" t="str">
        <f t="shared" si="0"/>
        <v/>
      </c>
      <c r="C31" s="102" t="str">
        <f t="shared" si="1"/>
        <v>•</v>
      </c>
      <c r="D31" s="102" t="str">
        <f t="shared" si="2"/>
        <v/>
      </c>
      <c r="E31" s="102" t="str">
        <f t="shared" si="3"/>
        <v/>
      </c>
      <c r="F31" s="102" t="str">
        <f t="shared" si="4"/>
        <v/>
      </c>
      <c r="G31" s="102" t="str">
        <f t="shared" si="5"/>
        <v/>
      </c>
      <c r="H31" s="102" t="str">
        <f t="shared" si="6"/>
        <v/>
      </c>
      <c r="I31" s="102" t="str">
        <f t="shared" si="7"/>
        <v/>
      </c>
      <c r="J31" s="102" t="str">
        <f t="shared" si="8"/>
        <v/>
      </c>
      <c r="K31" s="103">
        <v>29</v>
      </c>
      <c r="L31" s="103"/>
      <c r="M31" s="104"/>
      <c r="N31" s="103"/>
      <c r="O31" s="103"/>
      <c r="P31" s="103"/>
      <c r="Q31" s="105"/>
      <c r="R31" s="104"/>
      <c r="S31" s="104"/>
      <c r="T31" s="104"/>
      <c r="U31" s="106"/>
      <c r="V31" s="104"/>
      <c r="W31" s="104"/>
      <c r="X31" s="104"/>
      <c r="AE31" s="77" t="s">
        <v>735</v>
      </c>
    </row>
    <row r="32" spans="1:31" x14ac:dyDescent="0.2">
      <c r="A32" s="96">
        <v>1</v>
      </c>
      <c r="B32" s="102" t="str">
        <f t="shared" si="0"/>
        <v/>
      </c>
      <c r="C32" s="102" t="str">
        <f t="shared" si="1"/>
        <v>•</v>
      </c>
      <c r="D32" s="102" t="str">
        <f t="shared" si="2"/>
        <v/>
      </c>
      <c r="E32" s="102" t="str">
        <f t="shared" si="3"/>
        <v/>
      </c>
      <c r="F32" s="102" t="str">
        <f t="shared" si="4"/>
        <v/>
      </c>
      <c r="G32" s="102" t="str">
        <f t="shared" si="5"/>
        <v/>
      </c>
      <c r="H32" s="102" t="str">
        <f t="shared" si="6"/>
        <v/>
      </c>
      <c r="I32" s="102" t="str">
        <f t="shared" si="7"/>
        <v/>
      </c>
      <c r="J32" s="102" t="str">
        <f t="shared" si="8"/>
        <v/>
      </c>
      <c r="K32" s="103">
        <v>30</v>
      </c>
      <c r="L32" s="103"/>
      <c r="M32" s="104"/>
      <c r="N32" s="103"/>
      <c r="O32" s="103"/>
      <c r="P32" s="103"/>
      <c r="Q32" s="105"/>
      <c r="R32" s="104"/>
      <c r="S32" s="104"/>
      <c r="T32" s="104"/>
      <c r="U32" s="106"/>
      <c r="V32" s="104"/>
      <c r="W32" s="104"/>
      <c r="X32" s="104"/>
      <c r="AE32" s="77" t="s">
        <v>736</v>
      </c>
    </row>
    <row r="33" spans="1:31" x14ac:dyDescent="0.2">
      <c r="A33" s="96">
        <v>1</v>
      </c>
      <c r="B33" s="102" t="str">
        <f t="shared" si="0"/>
        <v/>
      </c>
      <c r="C33" s="102" t="str">
        <f t="shared" si="1"/>
        <v>•</v>
      </c>
      <c r="D33" s="102" t="str">
        <f t="shared" si="2"/>
        <v/>
      </c>
      <c r="E33" s="102" t="str">
        <f t="shared" si="3"/>
        <v/>
      </c>
      <c r="F33" s="102" t="str">
        <f t="shared" si="4"/>
        <v/>
      </c>
      <c r="G33" s="102" t="str">
        <f t="shared" si="5"/>
        <v/>
      </c>
      <c r="H33" s="102" t="str">
        <f t="shared" si="6"/>
        <v/>
      </c>
      <c r="I33" s="102" t="str">
        <f t="shared" si="7"/>
        <v/>
      </c>
      <c r="J33" s="102" t="str">
        <f t="shared" si="8"/>
        <v/>
      </c>
      <c r="K33" s="103">
        <v>31</v>
      </c>
      <c r="L33" s="103"/>
      <c r="M33" s="104"/>
      <c r="N33" s="103"/>
      <c r="O33" s="103"/>
      <c r="P33" s="103"/>
      <c r="Q33" s="105"/>
      <c r="R33" s="104"/>
      <c r="S33" s="104"/>
      <c r="T33" s="104"/>
      <c r="U33" s="106"/>
      <c r="V33" s="104"/>
      <c r="W33" s="104"/>
      <c r="X33" s="104"/>
      <c r="AE33" s="77" t="s">
        <v>737</v>
      </c>
    </row>
    <row r="34" spans="1:31" x14ac:dyDescent="0.2">
      <c r="A34" s="96">
        <v>1</v>
      </c>
      <c r="B34" s="102" t="str">
        <f t="shared" si="0"/>
        <v/>
      </c>
      <c r="C34" s="102" t="str">
        <f t="shared" si="1"/>
        <v>•</v>
      </c>
      <c r="D34" s="102" t="str">
        <f t="shared" si="2"/>
        <v/>
      </c>
      <c r="E34" s="102" t="str">
        <f t="shared" si="3"/>
        <v/>
      </c>
      <c r="F34" s="102" t="str">
        <f t="shared" si="4"/>
        <v/>
      </c>
      <c r="G34" s="102" t="str">
        <f t="shared" si="5"/>
        <v/>
      </c>
      <c r="H34" s="102" t="str">
        <f t="shared" si="6"/>
        <v/>
      </c>
      <c r="I34" s="102" t="str">
        <f t="shared" si="7"/>
        <v/>
      </c>
      <c r="J34" s="102" t="str">
        <f t="shared" si="8"/>
        <v/>
      </c>
      <c r="K34" s="103">
        <v>32</v>
      </c>
      <c r="L34" s="103"/>
      <c r="M34" s="104"/>
      <c r="N34" s="103"/>
      <c r="O34" s="103"/>
      <c r="P34" s="103"/>
      <c r="Q34" s="105"/>
      <c r="R34" s="104"/>
      <c r="S34" s="104"/>
      <c r="T34" s="104"/>
      <c r="U34" s="106"/>
      <c r="V34" s="104"/>
      <c r="W34" s="104"/>
      <c r="X34" s="104"/>
      <c r="AE34" s="77" t="s">
        <v>738</v>
      </c>
    </row>
    <row r="35" spans="1:31" x14ac:dyDescent="0.2">
      <c r="A35" s="96">
        <v>1</v>
      </c>
      <c r="B35" s="102" t="str">
        <f t="shared" si="0"/>
        <v/>
      </c>
      <c r="C35" s="102" t="str">
        <f t="shared" si="1"/>
        <v>•</v>
      </c>
      <c r="D35" s="102" t="str">
        <f t="shared" si="2"/>
        <v/>
      </c>
      <c r="E35" s="102" t="str">
        <f t="shared" si="3"/>
        <v/>
      </c>
      <c r="F35" s="102" t="str">
        <f t="shared" si="4"/>
        <v/>
      </c>
      <c r="G35" s="102" t="str">
        <f t="shared" si="5"/>
        <v/>
      </c>
      <c r="H35" s="102" t="str">
        <f t="shared" si="6"/>
        <v/>
      </c>
      <c r="I35" s="102" t="str">
        <f t="shared" si="7"/>
        <v/>
      </c>
      <c r="J35" s="102" t="str">
        <f t="shared" si="8"/>
        <v/>
      </c>
      <c r="K35" s="103">
        <v>33</v>
      </c>
      <c r="L35" s="103"/>
      <c r="M35" s="104"/>
      <c r="N35" s="103"/>
      <c r="O35" s="103"/>
      <c r="P35" s="103"/>
      <c r="Q35" s="105"/>
      <c r="R35" s="104"/>
      <c r="S35" s="104"/>
      <c r="T35" s="104"/>
      <c r="U35" s="106"/>
      <c r="V35" s="104"/>
      <c r="W35" s="104"/>
      <c r="X35" s="104"/>
      <c r="AE35" s="77" t="s">
        <v>739</v>
      </c>
    </row>
    <row r="36" spans="1:31" ht="17" x14ac:dyDescent="0.2">
      <c r="A36" s="96">
        <v>1</v>
      </c>
      <c r="B36" s="102" t="str">
        <f t="shared" si="0"/>
        <v/>
      </c>
      <c r="C36" s="102" t="str">
        <f t="shared" si="1"/>
        <v>•</v>
      </c>
      <c r="D36" s="102" t="str">
        <f t="shared" si="2"/>
        <v/>
      </c>
      <c r="E36" s="102" t="str">
        <f t="shared" si="3"/>
        <v/>
      </c>
      <c r="F36" s="102" t="str">
        <f t="shared" si="4"/>
        <v/>
      </c>
      <c r="G36" s="102" t="str">
        <f t="shared" si="5"/>
        <v/>
      </c>
      <c r="H36" s="102" t="str">
        <f t="shared" si="6"/>
        <v/>
      </c>
      <c r="I36" s="102" t="str">
        <f t="shared" si="7"/>
        <v/>
      </c>
      <c r="J36" s="102" t="str">
        <f t="shared" si="8"/>
        <v/>
      </c>
      <c r="K36" s="103">
        <v>34</v>
      </c>
      <c r="L36" s="103"/>
      <c r="M36" s="104"/>
      <c r="N36" s="103"/>
      <c r="O36" s="103"/>
      <c r="P36" s="103"/>
      <c r="Q36" s="105"/>
      <c r="R36" s="104"/>
      <c r="S36" s="104"/>
      <c r="T36" s="104"/>
      <c r="U36" s="106"/>
      <c r="V36" s="104" t="s">
        <v>637</v>
      </c>
      <c r="W36" s="104"/>
      <c r="X36" s="104"/>
      <c r="AE36" s="77" t="s">
        <v>740</v>
      </c>
    </row>
    <row r="37" spans="1:31" x14ac:dyDescent="0.2">
      <c r="A37" s="96">
        <v>1</v>
      </c>
      <c r="B37" s="102" t="str">
        <f t="shared" si="0"/>
        <v/>
      </c>
      <c r="C37" s="102" t="str">
        <f t="shared" si="1"/>
        <v>•</v>
      </c>
      <c r="D37" s="102" t="str">
        <f t="shared" si="2"/>
        <v/>
      </c>
      <c r="E37" s="102" t="str">
        <f t="shared" si="3"/>
        <v/>
      </c>
      <c r="F37" s="102" t="str">
        <f t="shared" si="4"/>
        <v/>
      </c>
      <c r="G37" s="102" t="str">
        <f t="shared" si="5"/>
        <v/>
      </c>
      <c r="H37" s="102" t="str">
        <f t="shared" si="6"/>
        <v/>
      </c>
      <c r="I37" s="102" t="str">
        <f t="shared" si="7"/>
        <v/>
      </c>
      <c r="J37" s="102" t="str">
        <f t="shared" si="8"/>
        <v/>
      </c>
      <c r="K37" s="103">
        <v>35</v>
      </c>
      <c r="L37" s="103"/>
      <c r="M37" s="104"/>
      <c r="N37" s="103"/>
      <c r="O37" s="103"/>
      <c r="P37" s="103"/>
      <c r="Q37" s="105"/>
      <c r="R37" s="104"/>
      <c r="S37" s="104"/>
      <c r="T37" s="104"/>
      <c r="U37" s="106"/>
      <c r="V37" s="104"/>
      <c r="W37" s="104"/>
      <c r="X37" s="104"/>
      <c r="AE37" s="77" t="s">
        <v>741</v>
      </c>
    </row>
    <row r="38" spans="1:31" x14ac:dyDescent="0.2">
      <c r="A38" s="96">
        <v>1</v>
      </c>
      <c r="B38" s="102" t="str">
        <f t="shared" si="0"/>
        <v/>
      </c>
      <c r="C38" s="102" t="str">
        <f t="shared" si="1"/>
        <v>•</v>
      </c>
      <c r="D38" s="102" t="str">
        <f t="shared" si="2"/>
        <v/>
      </c>
      <c r="E38" s="102" t="str">
        <f t="shared" si="3"/>
        <v/>
      </c>
      <c r="F38" s="102" t="str">
        <f t="shared" si="4"/>
        <v/>
      </c>
      <c r="G38" s="102" t="str">
        <f t="shared" si="5"/>
        <v/>
      </c>
      <c r="H38" s="102" t="str">
        <f t="shared" si="6"/>
        <v/>
      </c>
      <c r="I38" s="102" t="str">
        <f t="shared" si="7"/>
        <v/>
      </c>
      <c r="J38" s="102" t="str">
        <f t="shared" si="8"/>
        <v/>
      </c>
      <c r="K38" s="103">
        <v>36</v>
      </c>
      <c r="L38" s="103"/>
      <c r="M38" s="104"/>
      <c r="N38" s="103"/>
      <c r="O38" s="103"/>
      <c r="P38" s="103"/>
      <c r="Q38" s="105"/>
      <c r="R38" s="104"/>
      <c r="S38" s="104"/>
      <c r="T38" s="104"/>
      <c r="U38" s="106"/>
      <c r="V38" s="104"/>
      <c r="W38" s="104"/>
      <c r="X38" s="104"/>
      <c r="AE38" s="77" t="s">
        <v>742</v>
      </c>
    </row>
    <row r="39" spans="1:31" x14ac:dyDescent="0.2">
      <c r="A39" s="96">
        <v>1</v>
      </c>
      <c r="B39" s="102" t="str">
        <f t="shared" si="0"/>
        <v/>
      </c>
      <c r="C39" s="102" t="str">
        <f t="shared" si="1"/>
        <v>•</v>
      </c>
      <c r="D39" s="102" t="str">
        <f t="shared" si="2"/>
        <v/>
      </c>
      <c r="E39" s="102" t="str">
        <f t="shared" si="3"/>
        <v/>
      </c>
      <c r="F39" s="102" t="str">
        <f t="shared" si="4"/>
        <v/>
      </c>
      <c r="G39" s="102" t="str">
        <f t="shared" si="5"/>
        <v/>
      </c>
      <c r="H39" s="102" t="str">
        <f t="shared" si="6"/>
        <v/>
      </c>
      <c r="I39" s="102" t="str">
        <f t="shared" si="7"/>
        <v/>
      </c>
      <c r="J39" s="102" t="str">
        <f t="shared" si="8"/>
        <v/>
      </c>
      <c r="K39" s="103">
        <v>37</v>
      </c>
      <c r="L39" s="103"/>
      <c r="M39" s="104"/>
      <c r="N39" s="103"/>
      <c r="O39" s="103"/>
      <c r="P39" s="103"/>
      <c r="Q39" s="105"/>
      <c r="R39" s="104"/>
      <c r="S39" s="104"/>
      <c r="T39" s="104"/>
      <c r="U39" s="106"/>
      <c r="V39" s="104"/>
      <c r="W39" s="104"/>
      <c r="X39" s="104"/>
      <c r="AE39" s="77" t="s">
        <v>743</v>
      </c>
    </row>
    <row r="40" spans="1:31" x14ac:dyDescent="0.2">
      <c r="A40" s="96">
        <v>1</v>
      </c>
      <c r="B40" s="102" t="str">
        <f t="shared" si="0"/>
        <v/>
      </c>
      <c r="C40" s="102" t="str">
        <f t="shared" si="1"/>
        <v>•</v>
      </c>
      <c r="D40" s="102" t="str">
        <f t="shared" si="2"/>
        <v/>
      </c>
      <c r="E40" s="102" t="str">
        <f t="shared" si="3"/>
        <v/>
      </c>
      <c r="F40" s="102" t="str">
        <f t="shared" si="4"/>
        <v/>
      </c>
      <c r="G40" s="102" t="str">
        <f t="shared" si="5"/>
        <v/>
      </c>
      <c r="H40" s="102" t="str">
        <f t="shared" si="6"/>
        <v/>
      </c>
      <c r="I40" s="102" t="str">
        <f t="shared" si="7"/>
        <v/>
      </c>
      <c r="J40" s="102" t="str">
        <f t="shared" si="8"/>
        <v/>
      </c>
      <c r="K40" s="103">
        <v>38</v>
      </c>
      <c r="L40" s="103"/>
      <c r="M40" s="104"/>
      <c r="N40" s="103"/>
      <c r="O40" s="103"/>
      <c r="P40" s="103"/>
      <c r="Q40" s="105"/>
      <c r="R40" s="104"/>
      <c r="S40" s="104"/>
      <c r="T40" s="104"/>
      <c r="U40" s="106"/>
      <c r="V40" s="104"/>
      <c r="W40" s="104"/>
      <c r="X40" s="104"/>
      <c r="AE40" s="77" t="s">
        <v>744</v>
      </c>
    </row>
    <row r="41" spans="1:31" ht="17" thickBot="1" x14ac:dyDescent="0.25">
      <c r="A41" s="96">
        <v>1</v>
      </c>
      <c r="B41" s="102" t="str">
        <f t="shared" si="0"/>
        <v/>
      </c>
      <c r="C41" s="102" t="str">
        <f t="shared" si="1"/>
        <v>•</v>
      </c>
      <c r="D41" s="102" t="str">
        <f t="shared" si="2"/>
        <v/>
      </c>
      <c r="E41" s="102" t="str">
        <f t="shared" si="3"/>
        <v/>
      </c>
      <c r="F41" s="102" t="str">
        <f t="shared" si="4"/>
        <v/>
      </c>
      <c r="G41" s="102" t="str">
        <f t="shared" si="5"/>
        <v/>
      </c>
      <c r="H41" s="102" t="str">
        <f t="shared" si="6"/>
        <v/>
      </c>
      <c r="I41" s="102" t="str">
        <f t="shared" si="7"/>
        <v/>
      </c>
      <c r="J41" s="102" t="str">
        <f t="shared" si="8"/>
        <v/>
      </c>
      <c r="K41" s="103">
        <v>39</v>
      </c>
      <c r="L41" s="103"/>
      <c r="M41" s="104"/>
      <c r="N41" s="103"/>
      <c r="O41" s="103"/>
      <c r="P41" s="103"/>
      <c r="Q41" s="105"/>
      <c r="R41" s="104"/>
      <c r="S41" s="104"/>
      <c r="T41" s="104"/>
      <c r="U41" s="106"/>
      <c r="V41" s="104"/>
      <c r="W41" s="104"/>
      <c r="X41" s="104"/>
      <c r="AE41" s="107" t="s">
        <v>745</v>
      </c>
    </row>
    <row r="42" spans="1:31" x14ac:dyDescent="0.2">
      <c r="A42" s="96">
        <v>1</v>
      </c>
      <c r="B42" s="102" t="str">
        <f t="shared" si="0"/>
        <v/>
      </c>
      <c r="C42" s="102" t="str">
        <f t="shared" si="1"/>
        <v>•</v>
      </c>
      <c r="D42" s="102" t="str">
        <f t="shared" si="2"/>
        <v/>
      </c>
      <c r="E42" s="102" t="str">
        <f t="shared" si="3"/>
        <v/>
      </c>
      <c r="F42" s="102" t="str">
        <f t="shared" si="4"/>
        <v/>
      </c>
      <c r="G42" s="102" t="str">
        <f t="shared" si="5"/>
        <v/>
      </c>
      <c r="H42" s="102" t="str">
        <f t="shared" si="6"/>
        <v/>
      </c>
      <c r="I42" s="102" t="str">
        <f t="shared" si="7"/>
        <v/>
      </c>
      <c r="J42" s="102" t="str">
        <f t="shared" si="8"/>
        <v/>
      </c>
      <c r="K42" s="103">
        <v>40</v>
      </c>
      <c r="L42" s="103"/>
      <c r="M42" s="104"/>
      <c r="N42" s="103"/>
      <c r="O42" s="103"/>
      <c r="P42" s="103"/>
      <c r="Q42" s="105"/>
      <c r="R42" s="104"/>
      <c r="S42" s="104"/>
      <c r="T42" s="104"/>
      <c r="U42" s="106"/>
      <c r="V42" s="104"/>
      <c r="W42" s="104"/>
      <c r="X42" s="104"/>
    </row>
    <row r="43" spans="1:31" x14ac:dyDescent="0.2">
      <c r="A43" s="96">
        <v>1</v>
      </c>
      <c r="B43" s="102" t="str">
        <f t="shared" si="0"/>
        <v/>
      </c>
      <c r="C43" s="102" t="str">
        <f t="shared" si="1"/>
        <v>•</v>
      </c>
      <c r="D43" s="102" t="str">
        <f t="shared" si="2"/>
        <v/>
      </c>
      <c r="E43" s="102" t="str">
        <f t="shared" si="3"/>
        <v/>
      </c>
      <c r="F43" s="102" t="str">
        <f t="shared" si="4"/>
        <v/>
      </c>
      <c r="G43" s="102" t="str">
        <f t="shared" si="5"/>
        <v/>
      </c>
      <c r="H43" s="102" t="str">
        <f t="shared" si="6"/>
        <v/>
      </c>
      <c r="I43" s="102" t="str">
        <f t="shared" si="7"/>
        <v/>
      </c>
      <c r="J43" s="102" t="str">
        <f t="shared" si="8"/>
        <v/>
      </c>
      <c r="K43" s="103">
        <v>41</v>
      </c>
      <c r="L43" s="103"/>
      <c r="M43" s="104"/>
      <c r="N43" s="103"/>
      <c r="O43" s="103"/>
      <c r="P43" s="103"/>
      <c r="Q43" s="105"/>
      <c r="R43" s="104"/>
      <c r="S43" s="104"/>
      <c r="T43" s="104"/>
      <c r="U43" s="106"/>
      <c r="V43" s="104"/>
      <c r="W43" s="104"/>
      <c r="X43" s="104"/>
    </row>
    <row r="44" spans="1:31" x14ac:dyDescent="0.2">
      <c r="A44" s="96">
        <v>1</v>
      </c>
      <c r="B44" s="102" t="str">
        <f t="shared" si="0"/>
        <v/>
      </c>
      <c r="C44" s="102" t="str">
        <f t="shared" si="1"/>
        <v>•</v>
      </c>
      <c r="D44" s="102" t="str">
        <f t="shared" si="2"/>
        <v/>
      </c>
      <c r="E44" s="102" t="str">
        <f t="shared" si="3"/>
        <v/>
      </c>
      <c r="F44" s="102" t="str">
        <f t="shared" si="4"/>
        <v/>
      </c>
      <c r="G44" s="102" t="str">
        <f t="shared" si="5"/>
        <v/>
      </c>
      <c r="H44" s="102" t="str">
        <f t="shared" si="6"/>
        <v/>
      </c>
      <c r="I44" s="102" t="str">
        <f t="shared" si="7"/>
        <v/>
      </c>
      <c r="J44" s="102" t="str">
        <f t="shared" si="8"/>
        <v/>
      </c>
      <c r="K44" s="103">
        <v>42</v>
      </c>
      <c r="L44" s="103"/>
      <c r="M44" s="104"/>
      <c r="N44" s="103"/>
      <c r="O44" s="103"/>
      <c r="P44" s="103"/>
      <c r="Q44" s="105"/>
      <c r="R44" s="104"/>
      <c r="S44" s="104"/>
      <c r="T44" s="104"/>
      <c r="U44" s="106"/>
      <c r="V44" s="104"/>
      <c r="W44" s="104"/>
      <c r="X44" s="104"/>
    </row>
    <row r="45" spans="1:31" x14ac:dyDescent="0.2">
      <c r="A45" s="96">
        <v>1</v>
      </c>
      <c r="B45" s="102" t="str">
        <f t="shared" si="0"/>
        <v/>
      </c>
      <c r="C45" s="102" t="str">
        <f t="shared" si="1"/>
        <v>•</v>
      </c>
      <c r="D45" s="102" t="str">
        <f t="shared" si="2"/>
        <v/>
      </c>
      <c r="E45" s="102" t="str">
        <f t="shared" si="3"/>
        <v/>
      </c>
      <c r="F45" s="102" t="str">
        <f t="shared" si="4"/>
        <v/>
      </c>
      <c r="G45" s="102" t="str">
        <f t="shared" si="5"/>
        <v/>
      </c>
      <c r="H45" s="102" t="str">
        <f t="shared" si="6"/>
        <v/>
      </c>
      <c r="I45" s="102" t="str">
        <f t="shared" si="7"/>
        <v/>
      </c>
      <c r="J45" s="102" t="str">
        <f t="shared" si="8"/>
        <v/>
      </c>
      <c r="K45" s="103">
        <v>43</v>
      </c>
      <c r="L45" s="103"/>
      <c r="M45" s="104"/>
      <c r="N45" s="103"/>
      <c r="O45" s="103"/>
      <c r="P45" s="103"/>
      <c r="Q45" s="105"/>
      <c r="R45" s="104"/>
      <c r="S45" s="104"/>
      <c r="T45" s="104"/>
      <c r="U45" s="106"/>
      <c r="V45" s="104"/>
      <c r="W45" s="104"/>
      <c r="X45" s="104"/>
    </row>
    <row r="46" spans="1:31" x14ac:dyDescent="0.2">
      <c r="A46" s="96">
        <v>1</v>
      </c>
      <c r="B46" s="102" t="str">
        <f t="shared" si="0"/>
        <v/>
      </c>
      <c r="C46" s="102" t="str">
        <f t="shared" si="1"/>
        <v>•</v>
      </c>
      <c r="D46" s="102" t="str">
        <f t="shared" si="2"/>
        <v/>
      </c>
      <c r="E46" s="102" t="str">
        <f t="shared" si="3"/>
        <v/>
      </c>
      <c r="F46" s="102" t="str">
        <f t="shared" si="4"/>
        <v/>
      </c>
      <c r="G46" s="102" t="str">
        <f t="shared" si="5"/>
        <v/>
      </c>
      <c r="H46" s="102" t="str">
        <f t="shared" si="6"/>
        <v/>
      </c>
      <c r="I46" s="102" t="str">
        <f t="shared" si="7"/>
        <v/>
      </c>
      <c r="J46" s="102" t="str">
        <f t="shared" si="8"/>
        <v/>
      </c>
      <c r="K46" s="103">
        <v>44</v>
      </c>
      <c r="L46" s="103"/>
      <c r="M46" s="104"/>
      <c r="N46" s="103"/>
      <c r="O46" s="103"/>
      <c r="P46" s="103"/>
      <c r="Q46" s="105"/>
      <c r="R46" s="104"/>
      <c r="S46" s="104"/>
      <c r="T46" s="104"/>
      <c r="U46" s="106"/>
      <c r="V46" s="104"/>
      <c r="W46" s="104"/>
      <c r="X46" s="105"/>
    </row>
    <row r="47" spans="1:31" x14ac:dyDescent="0.2">
      <c r="A47" s="96">
        <v>1</v>
      </c>
      <c r="B47" s="102" t="str">
        <f t="shared" si="0"/>
        <v/>
      </c>
      <c r="C47" s="102" t="str">
        <f t="shared" si="1"/>
        <v>•</v>
      </c>
      <c r="D47" s="102" t="str">
        <f t="shared" si="2"/>
        <v/>
      </c>
      <c r="E47" s="102" t="str">
        <f t="shared" si="3"/>
        <v/>
      </c>
      <c r="F47" s="102" t="str">
        <f t="shared" si="4"/>
        <v/>
      </c>
      <c r="G47" s="102" t="str">
        <f t="shared" si="5"/>
        <v/>
      </c>
      <c r="H47" s="102" t="str">
        <f t="shared" si="6"/>
        <v/>
      </c>
      <c r="I47" s="102" t="str">
        <f t="shared" si="7"/>
        <v/>
      </c>
      <c r="J47" s="102" t="str">
        <f t="shared" si="8"/>
        <v/>
      </c>
      <c r="K47" s="103">
        <v>45</v>
      </c>
      <c r="L47" s="103"/>
      <c r="M47" s="104"/>
      <c r="N47" s="103"/>
      <c r="O47" s="103"/>
      <c r="P47" s="103"/>
      <c r="Q47" s="105"/>
      <c r="R47" s="104"/>
      <c r="S47" s="104"/>
      <c r="T47" s="104"/>
      <c r="U47" s="106"/>
      <c r="V47" s="104"/>
      <c r="W47" s="104"/>
      <c r="X47" s="105"/>
    </row>
    <row r="48" spans="1:31" x14ac:dyDescent="0.2">
      <c r="A48" s="96">
        <v>1</v>
      </c>
      <c r="B48" s="102" t="str">
        <f t="shared" si="0"/>
        <v/>
      </c>
      <c r="C48" s="102" t="str">
        <f t="shared" si="1"/>
        <v>•</v>
      </c>
      <c r="D48" s="102" t="str">
        <f t="shared" si="2"/>
        <v/>
      </c>
      <c r="E48" s="102" t="str">
        <f t="shared" si="3"/>
        <v/>
      </c>
      <c r="F48" s="102" t="str">
        <f t="shared" si="4"/>
        <v/>
      </c>
      <c r="G48" s="102" t="str">
        <f t="shared" si="5"/>
        <v/>
      </c>
      <c r="H48" s="102" t="str">
        <f t="shared" si="6"/>
        <v/>
      </c>
      <c r="I48" s="102" t="str">
        <f t="shared" si="7"/>
        <v/>
      </c>
      <c r="J48" s="102" t="str">
        <f t="shared" si="8"/>
        <v/>
      </c>
      <c r="K48" s="103">
        <v>46</v>
      </c>
      <c r="L48" s="103"/>
      <c r="M48" s="104"/>
      <c r="N48" s="103"/>
      <c r="O48" s="103"/>
      <c r="P48" s="103"/>
      <c r="Q48" s="105"/>
      <c r="R48" s="104"/>
      <c r="S48" s="104"/>
      <c r="T48" s="104"/>
      <c r="U48" s="106"/>
      <c r="V48" s="104"/>
      <c r="W48" s="104"/>
      <c r="X48" s="105"/>
    </row>
    <row r="49" spans="1:24" x14ac:dyDescent="0.2">
      <c r="A49" s="96">
        <v>1</v>
      </c>
      <c r="B49" s="102" t="str">
        <f t="shared" si="0"/>
        <v/>
      </c>
      <c r="C49" s="102" t="str">
        <f t="shared" si="1"/>
        <v>•</v>
      </c>
      <c r="D49" s="102" t="str">
        <f t="shared" si="2"/>
        <v/>
      </c>
      <c r="E49" s="102" t="str">
        <f t="shared" si="3"/>
        <v/>
      </c>
      <c r="F49" s="102" t="str">
        <f t="shared" si="4"/>
        <v/>
      </c>
      <c r="G49" s="102" t="str">
        <f t="shared" si="5"/>
        <v/>
      </c>
      <c r="H49" s="102" t="str">
        <f t="shared" si="6"/>
        <v/>
      </c>
      <c r="I49" s="102" t="str">
        <f t="shared" si="7"/>
        <v/>
      </c>
      <c r="J49" s="102" t="str">
        <f t="shared" si="8"/>
        <v/>
      </c>
      <c r="K49" s="103">
        <v>47</v>
      </c>
      <c r="L49" s="103"/>
      <c r="M49" s="104"/>
      <c r="N49" s="103"/>
      <c r="O49" s="103"/>
      <c r="P49" s="103"/>
      <c r="Q49" s="105"/>
      <c r="R49" s="104"/>
      <c r="S49" s="104"/>
      <c r="T49" s="104"/>
      <c r="U49" s="106"/>
      <c r="V49" s="104"/>
      <c r="W49" s="104"/>
      <c r="X49" s="105"/>
    </row>
    <row r="50" spans="1:24" x14ac:dyDescent="0.2">
      <c r="A50" s="96">
        <v>1</v>
      </c>
      <c r="B50" s="102" t="str">
        <f t="shared" si="0"/>
        <v/>
      </c>
      <c r="C50" s="102" t="str">
        <f t="shared" si="1"/>
        <v>•</v>
      </c>
      <c r="D50" s="102" t="str">
        <f t="shared" si="2"/>
        <v/>
      </c>
      <c r="E50" s="102" t="str">
        <f t="shared" si="3"/>
        <v/>
      </c>
      <c r="F50" s="102" t="str">
        <f t="shared" si="4"/>
        <v/>
      </c>
      <c r="G50" s="102" t="str">
        <f t="shared" si="5"/>
        <v/>
      </c>
      <c r="H50" s="102" t="str">
        <f t="shared" si="6"/>
        <v/>
      </c>
      <c r="I50" s="102" t="str">
        <f t="shared" si="7"/>
        <v/>
      </c>
      <c r="J50" s="102" t="str">
        <f t="shared" si="8"/>
        <v/>
      </c>
      <c r="K50" s="103">
        <v>48</v>
      </c>
      <c r="L50" s="103"/>
      <c r="M50" s="104"/>
      <c r="N50" s="103"/>
      <c r="O50" s="103"/>
      <c r="P50" s="103"/>
      <c r="Q50" s="105"/>
      <c r="R50" s="104"/>
      <c r="S50" s="104"/>
      <c r="T50" s="104"/>
      <c r="U50" s="106"/>
      <c r="V50" s="104"/>
      <c r="W50" s="104"/>
      <c r="X50" s="105"/>
    </row>
    <row r="51" spans="1:24" x14ac:dyDescent="0.2">
      <c r="A51" s="96">
        <v>1</v>
      </c>
      <c r="B51" s="102" t="str">
        <f t="shared" si="0"/>
        <v/>
      </c>
      <c r="C51" s="102" t="str">
        <f t="shared" si="1"/>
        <v>•</v>
      </c>
      <c r="D51" s="102" t="str">
        <f t="shared" si="2"/>
        <v/>
      </c>
      <c r="E51" s="102" t="str">
        <f t="shared" si="3"/>
        <v/>
      </c>
      <c r="F51" s="102" t="str">
        <f t="shared" si="4"/>
        <v/>
      </c>
      <c r="G51" s="102" t="str">
        <f t="shared" si="5"/>
        <v/>
      </c>
      <c r="H51" s="102" t="str">
        <f t="shared" si="6"/>
        <v/>
      </c>
      <c r="I51" s="102" t="str">
        <f t="shared" si="7"/>
        <v/>
      </c>
      <c r="J51" s="102" t="str">
        <f t="shared" si="8"/>
        <v/>
      </c>
      <c r="K51" s="103">
        <v>49</v>
      </c>
      <c r="L51" s="103"/>
      <c r="M51" s="104"/>
      <c r="N51" s="103"/>
      <c r="O51" s="103"/>
      <c r="P51" s="103"/>
      <c r="Q51" s="105"/>
      <c r="R51" s="104"/>
      <c r="S51" s="104"/>
      <c r="T51" s="104"/>
      <c r="U51" s="106"/>
      <c r="V51" s="104"/>
      <c r="W51" s="104"/>
      <c r="X51" s="105"/>
    </row>
    <row r="52" spans="1:24" x14ac:dyDescent="0.2">
      <c r="A52" s="96">
        <v>1</v>
      </c>
      <c r="B52" s="102" t="str">
        <f t="shared" si="0"/>
        <v/>
      </c>
      <c r="C52" s="102" t="str">
        <f t="shared" si="1"/>
        <v>•</v>
      </c>
      <c r="D52" s="102" t="str">
        <f t="shared" si="2"/>
        <v/>
      </c>
      <c r="E52" s="102" t="str">
        <f t="shared" si="3"/>
        <v/>
      </c>
      <c r="F52" s="102" t="str">
        <f t="shared" si="4"/>
        <v/>
      </c>
      <c r="G52" s="102" t="str">
        <f t="shared" si="5"/>
        <v/>
      </c>
      <c r="H52" s="102" t="str">
        <f t="shared" si="6"/>
        <v/>
      </c>
      <c r="I52" s="102" t="str">
        <f t="shared" si="7"/>
        <v/>
      </c>
      <c r="J52" s="102" t="str">
        <f t="shared" si="8"/>
        <v/>
      </c>
      <c r="K52" s="103">
        <v>50</v>
      </c>
      <c r="L52" s="103"/>
      <c r="M52" s="104"/>
      <c r="N52" s="103"/>
      <c r="O52" s="103"/>
      <c r="P52" s="103"/>
      <c r="Q52" s="105"/>
      <c r="R52" s="104"/>
      <c r="S52" s="104"/>
      <c r="T52" s="104"/>
      <c r="U52" s="106"/>
      <c r="V52" s="104"/>
      <c r="W52" s="104"/>
      <c r="X52" s="105"/>
    </row>
    <row r="53" spans="1:24" x14ac:dyDescent="0.2">
      <c r="A53" s="96">
        <v>1</v>
      </c>
      <c r="B53" s="102" t="str">
        <f t="shared" si="0"/>
        <v/>
      </c>
      <c r="C53" s="102" t="str">
        <f t="shared" si="1"/>
        <v>•</v>
      </c>
      <c r="D53" s="102" t="str">
        <f t="shared" si="2"/>
        <v/>
      </c>
      <c r="E53" s="102" t="str">
        <f t="shared" si="3"/>
        <v/>
      </c>
      <c r="F53" s="102" t="str">
        <f t="shared" si="4"/>
        <v/>
      </c>
      <c r="G53" s="102" t="str">
        <f t="shared" si="5"/>
        <v/>
      </c>
      <c r="H53" s="102" t="str">
        <f t="shared" si="6"/>
        <v/>
      </c>
      <c r="I53" s="102" t="str">
        <f t="shared" si="7"/>
        <v/>
      </c>
      <c r="J53" s="102" t="str">
        <f t="shared" si="8"/>
        <v/>
      </c>
      <c r="K53" s="103">
        <v>51</v>
      </c>
      <c r="L53" s="103"/>
      <c r="M53" s="104"/>
      <c r="N53" s="103"/>
      <c r="O53" s="103"/>
      <c r="P53" s="103"/>
      <c r="Q53" s="105"/>
      <c r="R53" s="104"/>
      <c r="S53" s="104"/>
      <c r="T53" s="104"/>
      <c r="U53" s="106"/>
      <c r="V53" s="104"/>
      <c r="W53" s="104"/>
      <c r="X53" s="105"/>
    </row>
    <row r="54" spans="1:24" x14ac:dyDescent="0.2">
      <c r="A54" s="96">
        <v>1</v>
      </c>
      <c r="B54" s="102" t="str">
        <f t="shared" si="0"/>
        <v/>
      </c>
      <c r="C54" s="102" t="str">
        <f t="shared" si="1"/>
        <v>•</v>
      </c>
      <c r="D54" s="102" t="str">
        <f t="shared" si="2"/>
        <v/>
      </c>
      <c r="E54" s="102" t="str">
        <f t="shared" si="3"/>
        <v/>
      </c>
      <c r="F54" s="102" t="str">
        <f t="shared" si="4"/>
        <v/>
      </c>
      <c r="G54" s="102" t="str">
        <f t="shared" si="5"/>
        <v/>
      </c>
      <c r="H54" s="102" t="str">
        <f t="shared" si="6"/>
        <v/>
      </c>
      <c r="I54" s="102" t="str">
        <f t="shared" si="7"/>
        <v/>
      </c>
      <c r="J54" s="102" t="str">
        <f t="shared" si="8"/>
        <v/>
      </c>
      <c r="K54" s="103">
        <v>52</v>
      </c>
      <c r="L54" s="103"/>
      <c r="M54" s="104"/>
      <c r="N54" s="103"/>
      <c r="O54" s="103"/>
      <c r="P54" s="103"/>
      <c r="Q54" s="105"/>
      <c r="R54" s="104"/>
      <c r="S54" s="104"/>
      <c r="T54" s="104"/>
      <c r="U54" s="106"/>
      <c r="V54" s="104"/>
      <c r="W54" s="104"/>
      <c r="X54" s="105"/>
    </row>
    <row r="55" spans="1:24" x14ac:dyDescent="0.2">
      <c r="A55" s="96">
        <v>1</v>
      </c>
      <c r="B55" s="102" t="str">
        <f t="shared" si="0"/>
        <v/>
      </c>
      <c r="C55" s="102" t="str">
        <f t="shared" si="1"/>
        <v>•</v>
      </c>
      <c r="D55" s="102" t="str">
        <f t="shared" si="2"/>
        <v/>
      </c>
      <c r="E55" s="102" t="str">
        <f t="shared" si="3"/>
        <v/>
      </c>
      <c r="F55" s="102" t="str">
        <f t="shared" si="4"/>
        <v/>
      </c>
      <c r="G55" s="102" t="str">
        <f t="shared" si="5"/>
        <v/>
      </c>
      <c r="H55" s="102" t="str">
        <f t="shared" si="6"/>
        <v/>
      </c>
      <c r="I55" s="102" t="str">
        <f t="shared" si="7"/>
        <v/>
      </c>
      <c r="J55" s="102" t="str">
        <f t="shared" si="8"/>
        <v/>
      </c>
      <c r="K55" s="103">
        <v>53</v>
      </c>
      <c r="L55" s="103"/>
      <c r="M55" s="104"/>
      <c r="N55" s="103"/>
      <c r="O55" s="103"/>
      <c r="P55" s="103"/>
      <c r="Q55" s="105"/>
      <c r="R55" s="104"/>
      <c r="S55" s="104"/>
      <c r="T55" s="104"/>
      <c r="U55" s="106"/>
      <c r="V55" s="104"/>
      <c r="W55" s="104"/>
      <c r="X55" s="105"/>
    </row>
    <row r="56" spans="1:24" x14ac:dyDescent="0.2">
      <c r="A56" s="96">
        <v>1</v>
      </c>
      <c r="B56" s="102" t="str">
        <f t="shared" si="0"/>
        <v/>
      </c>
      <c r="C56" s="102" t="str">
        <f t="shared" si="1"/>
        <v>•</v>
      </c>
      <c r="D56" s="102" t="str">
        <f t="shared" si="2"/>
        <v/>
      </c>
      <c r="E56" s="102" t="str">
        <f t="shared" si="3"/>
        <v/>
      </c>
      <c r="F56" s="102" t="str">
        <f t="shared" si="4"/>
        <v/>
      </c>
      <c r="G56" s="102" t="str">
        <f t="shared" si="5"/>
        <v/>
      </c>
      <c r="H56" s="102" t="str">
        <f t="shared" si="6"/>
        <v/>
      </c>
      <c r="I56" s="102" t="str">
        <f t="shared" si="7"/>
        <v/>
      </c>
      <c r="J56" s="102" t="str">
        <f t="shared" si="8"/>
        <v/>
      </c>
      <c r="K56" s="103">
        <v>54</v>
      </c>
      <c r="L56" s="103"/>
      <c r="M56" s="104"/>
      <c r="N56" s="103"/>
      <c r="O56" s="103"/>
      <c r="P56" s="103"/>
      <c r="Q56" s="105"/>
      <c r="R56" s="104"/>
      <c r="S56" s="104"/>
      <c r="T56" s="104"/>
      <c r="U56" s="106"/>
      <c r="V56" s="104"/>
      <c r="W56" s="104"/>
      <c r="X56" s="105"/>
    </row>
    <row r="57" spans="1:24" x14ac:dyDescent="0.2">
      <c r="A57" s="96">
        <v>1</v>
      </c>
      <c r="B57" s="102" t="str">
        <f t="shared" si="0"/>
        <v/>
      </c>
      <c r="C57" s="102" t="str">
        <f t="shared" si="1"/>
        <v>•</v>
      </c>
      <c r="D57" s="102" t="str">
        <f t="shared" si="2"/>
        <v/>
      </c>
      <c r="E57" s="102" t="str">
        <f t="shared" si="3"/>
        <v/>
      </c>
      <c r="F57" s="102" t="str">
        <f t="shared" si="4"/>
        <v/>
      </c>
      <c r="G57" s="102" t="str">
        <f t="shared" si="5"/>
        <v/>
      </c>
      <c r="H57" s="102" t="str">
        <f t="shared" si="6"/>
        <v/>
      </c>
      <c r="I57" s="102" t="str">
        <f t="shared" si="7"/>
        <v/>
      </c>
      <c r="J57" s="102" t="str">
        <f t="shared" si="8"/>
        <v/>
      </c>
      <c r="K57" s="103">
        <v>55</v>
      </c>
      <c r="L57" s="103"/>
      <c r="M57" s="104"/>
      <c r="N57" s="103"/>
      <c r="O57" s="103"/>
      <c r="P57" s="103"/>
      <c r="Q57" s="105"/>
      <c r="R57" s="104"/>
      <c r="S57" s="104"/>
      <c r="T57" s="104"/>
      <c r="U57" s="106"/>
      <c r="V57" s="104"/>
      <c r="W57" s="104"/>
      <c r="X57" s="105"/>
    </row>
    <row r="58" spans="1:24" x14ac:dyDescent="0.2">
      <c r="A58" s="96">
        <v>1</v>
      </c>
      <c r="B58" s="102" t="str">
        <f t="shared" si="0"/>
        <v/>
      </c>
      <c r="C58" s="102" t="str">
        <f t="shared" si="1"/>
        <v>•</v>
      </c>
      <c r="D58" s="102" t="str">
        <f t="shared" si="2"/>
        <v/>
      </c>
      <c r="E58" s="102" t="str">
        <f t="shared" si="3"/>
        <v/>
      </c>
      <c r="F58" s="102" t="str">
        <f t="shared" si="4"/>
        <v/>
      </c>
      <c r="G58" s="102" t="str">
        <f t="shared" si="5"/>
        <v/>
      </c>
      <c r="H58" s="102" t="str">
        <f t="shared" si="6"/>
        <v/>
      </c>
      <c r="I58" s="102" t="str">
        <f t="shared" si="7"/>
        <v/>
      </c>
      <c r="J58" s="102" t="str">
        <f t="shared" si="8"/>
        <v/>
      </c>
      <c r="K58" s="103">
        <v>56</v>
      </c>
      <c r="L58" s="103"/>
      <c r="M58" s="104"/>
      <c r="N58" s="103"/>
      <c r="O58" s="103"/>
      <c r="P58" s="103"/>
      <c r="Q58" s="105"/>
      <c r="R58" s="104"/>
      <c r="S58" s="104"/>
      <c r="T58" s="104"/>
      <c r="U58" s="106"/>
      <c r="V58" s="104"/>
      <c r="W58" s="104"/>
      <c r="X58" s="105"/>
    </row>
    <row r="59" spans="1:24" x14ac:dyDescent="0.2">
      <c r="A59" s="96">
        <v>1</v>
      </c>
      <c r="B59" s="102" t="str">
        <f t="shared" si="0"/>
        <v/>
      </c>
      <c r="C59" s="102" t="str">
        <f t="shared" si="1"/>
        <v>•</v>
      </c>
      <c r="D59" s="102" t="str">
        <f t="shared" si="2"/>
        <v/>
      </c>
      <c r="E59" s="102" t="str">
        <f t="shared" si="3"/>
        <v/>
      </c>
      <c r="F59" s="102" t="str">
        <f t="shared" si="4"/>
        <v/>
      </c>
      <c r="G59" s="102" t="str">
        <f t="shared" si="5"/>
        <v/>
      </c>
      <c r="H59" s="102" t="str">
        <f t="shared" si="6"/>
        <v/>
      </c>
      <c r="I59" s="102" t="str">
        <f t="shared" si="7"/>
        <v/>
      </c>
      <c r="J59" s="102" t="str">
        <f t="shared" si="8"/>
        <v/>
      </c>
      <c r="K59" s="103">
        <v>57</v>
      </c>
      <c r="L59" s="103"/>
      <c r="M59" s="104"/>
      <c r="N59" s="103"/>
      <c r="O59" s="103"/>
      <c r="P59" s="103"/>
      <c r="Q59" s="105"/>
      <c r="R59" s="104"/>
      <c r="S59" s="104"/>
      <c r="T59" s="104"/>
      <c r="U59" s="106"/>
      <c r="V59" s="104"/>
      <c r="W59" s="104"/>
      <c r="X59" s="105"/>
    </row>
    <row r="60" spans="1:24" x14ac:dyDescent="0.2">
      <c r="A60" s="96">
        <v>1</v>
      </c>
      <c r="B60" s="102" t="str">
        <f t="shared" si="0"/>
        <v/>
      </c>
      <c r="C60" s="102" t="str">
        <f t="shared" si="1"/>
        <v>•</v>
      </c>
      <c r="D60" s="102" t="str">
        <f t="shared" si="2"/>
        <v/>
      </c>
      <c r="E60" s="102" t="str">
        <f t="shared" si="3"/>
        <v/>
      </c>
      <c r="F60" s="102" t="str">
        <f t="shared" si="4"/>
        <v/>
      </c>
      <c r="G60" s="102" t="str">
        <f t="shared" si="5"/>
        <v/>
      </c>
      <c r="H60" s="102" t="str">
        <f t="shared" si="6"/>
        <v/>
      </c>
      <c r="I60" s="102" t="str">
        <f t="shared" si="7"/>
        <v/>
      </c>
      <c r="J60" s="102" t="str">
        <f t="shared" si="8"/>
        <v/>
      </c>
      <c r="K60" s="103">
        <v>58</v>
      </c>
      <c r="L60" s="103"/>
      <c r="M60" s="104"/>
      <c r="N60" s="103"/>
      <c r="O60" s="103"/>
      <c r="P60" s="103"/>
      <c r="Q60" s="105"/>
      <c r="R60" s="104"/>
      <c r="S60" s="104"/>
      <c r="T60" s="104"/>
      <c r="U60" s="106"/>
      <c r="V60" s="104"/>
      <c r="W60" s="104"/>
      <c r="X60" s="105"/>
    </row>
    <row r="61" spans="1:24" x14ac:dyDescent="0.2">
      <c r="A61" s="96">
        <v>1</v>
      </c>
      <c r="B61" s="102" t="str">
        <f t="shared" si="0"/>
        <v/>
      </c>
      <c r="C61" s="102" t="str">
        <f t="shared" si="1"/>
        <v>•</v>
      </c>
      <c r="D61" s="102" t="str">
        <f t="shared" si="2"/>
        <v/>
      </c>
      <c r="E61" s="102" t="str">
        <f t="shared" si="3"/>
        <v/>
      </c>
      <c r="F61" s="102" t="str">
        <f t="shared" si="4"/>
        <v/>
      </c>
      <c r="G61" s="102" t="str">
        <f t="shared" si="5"/>
        <v/>
      </c>
      <c r="H61" s="102" t="str">
        <f t="shared" si="6"/>
        <v/>
      </c>
      <c r="I61" s="102" t="str">
        <f t="shared" si="7"/>
        <v/>
      </c>
      <c r="J61" s="102" t="str">
        <f t="shared" si="8"/>
        <v/>
      </c>
      <c r="K61" s="103">
        <v>59</v>
      </c>
      <c r="L61" s="103"/>
      <c r="M61" s="104"/>
      <c r="N61" s="103"/>
      <c r="O61" s="103"/>
      <c r="P61" s="103"/>
      <c r="Q61" s="105"/>
      <c r="R61" s="104"/>
      <c r="S61" s="104"/>
      <c r="T61" s="104"/>
      <c r="U61" s="106"/>
      <c r="V61" s="104"/>
      <c r="W61" s="104"/>
      <c r="X61" s="105"/>
    </row>
    <row r="62" spans="1:24" x14ac:dyDescent="0.2">
      <c r="A62" s="96">
        <v>1</v>
      </c>
      <c r="B62" s="102" t="str">
        <f t="shared" si="0"/>
        <v/>
      </c>
      <c r="C62" s="102" t="str">
        <f t="shared" si="1"/>
        <v>•</v>
      </c>
      <c r="D62" s="102" t="str">
        <f t="shared" si="2"/>
        <v/>
      </c>
      <c r="E62" s="102" t="str">
        <f t="shared" si="3"/>
        <v/>
      </c>
      <c r="F62" s="102" t="str">
        <f t="shared" si="4"/>
        <v/>
      </c>
      <c r="G62" s="102" t="str">
        <f t="shared" si="5"/>
        <v/>
      </c>
      <c r="H62" s="102" t="str">
        <f t="shared" si="6"/>
        <v/>
      </c>
      <c r="I62" s="102" t="str">
        <f t="shared" si="7"/>
        <v/>
      </c>
      <c r="J62" s="102" t="str">
        <f t="shared" si="8"/>
        <v/>
      </c>
      <c r="K62" s="103">
        <v>60</v>
      </c>
      <c r="L62" s="103"/>
      <c r="M62" s="104"/>
      <c r="N62" s="103"/>
      <c r="O62" s="103"/>
      <c r="P62" s="103"/>
      <c r="Q62" s="105"/>
      <c r="R62" s="104"/>
      <c r="S62" s="104"/>
      <c r="T62" s="104"/>
      <c r="U62" s="106"/>
      <c r="V62" s="104"/>
      <c r="W62" s="104"/>
      <c r="X62" s="105"/>
    </row>
  </sheetData>
  <mergeCells count="1">
    <mergeCell ref="A5:J5"/>
  </mergeCells>
  <dataValidations count="4">
    <dataValidation type="list" allowBlank="1" showInputMessage="1" showErrorMessage="1" sqref="M3 N7:N62" xr:uid="{46A4E334-2C8B-0C41-8062-F4891323C701}">
      <formula1>Revision</formula1>
    </dataValidation>
    <dataValidation type="list" allowBlank="1" showInputMessage="1" showErrorMessage="1" sqref="A7:A62" xr:uid="{79ED1565-4334-0847-A52D-9A311ADE2712}">
      <formula1>BOM_Levels</formula1>
    </dataValidation>
    <dataValidation type="list" allowBlank="1" showInputMessage="1" showErrorMessage="1" sqref="P7:P62" xr:uid="{07A4945A-4D01-ED48-A17B-EEEA5D3598D8}">
      <formula1>UOM</formula1>
    </dataValidation>
    <dataValidation type="list" allowBlank="1" showInputMessage="1" showErrorMessage="1" sqref="R7:R62" xr:uid="{3F040764-B7CA-6B42-8289-DC0C4AF1CF50}">
      <formula1>MakeBuy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workbookViewId="0">
      <selection activeCell="B2" sqref="B2"/>
    </sheetView>
  </sheetViews>
  <sheetFormatPr baseColWidth="10" defaultColWidth="11" defaultRowHeight="16" x14ac:dyDescent="0.2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746</v>
      </c>
      <c r="B2" s="5" t="str">
        <f>'S09 BOM'!L9</f>
        <v>I-1001</v>
      </c>
      <c r="C2" s="5" t="str">
        <f>'S09 BOM'!M9</f>
        <v>Axis</v>
      </c>
      <c r="D2" s="5"/>
      <c r="E2" s="5"/>
      <c r="F2" s="5"/>
      <c r="G2" s="5"/>
      <c r="H2" s="5"/>
      <c r="I2" s="5"/>
    </row>
    <row r="3" spans="1:9" x14ac:dyDescent="0.2">
      <c r="A3" s="5" t="s">
        <v>747</v>
      </c>
      <c r="B3" s="5" t="str">
        <f>'S09 BOM'!V9</f>
        <v>Stainless Steel X12Cr13</v>
      </c>
      <c r="C3" s="5"/>
      <c r="D3" s="5"/>
      <c r="E3" s="5"/>
      <c r="F3" s="5"/>
      <c r="G3" s="5"/>
      <c r="H3" s="5"/>
      <c r="I3" s="5"/>
    </row>
    <row r="4" spans="1:9" x14ac:dyDescent="0.2">
      <c r="A4" s="108" t="s">
        <v>0</v>
      </c>
      <c r="B4" s="5" t="s">
        <v>748</v>
      </c>
      <c r="C4" s="5" t="s">
        <v>573</v>
      </c>
      <c r="D4" s="5" t="s">
        <v>749</v>
      </c>
      <c r="E4" s="5" t="s">
        <v>750</v>
      </c>
      <c r="F4" s="5" t="s">
        <v>751</v>
      </c>
      <c r="G4" s="5" t="s">
        <v>752</v>
      </c>
      <c r="H4" s="5" t="s">
        <v>753</v>
      </c>
      <c r="I4" s="5" t="s">
        <v>754</v>
      </c>
    </row>
    <row r="5" spans="1:9" x14ac:dyDescent="0.2">
      <c r="A5" s="3">
        <v>10</v>
      </c>
      <c r="B5" s="3" t="s">
        <v>755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756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757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758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759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760</v>
      </c>
    </row>
    <row r="10" spans="1:9" x14ac:dyDescent="0.2">
      <c r="A10" s="3">
        <v>60</v>
      </c>
      <c r="B10" s="3" t="s">
        <v>761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762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763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workbookViewId="0">
      <selection activeCell="D1" sqref="D1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F533"/>
  <sheetViews>
    <sheetView tabSelected="1" workbookViewId="0">
      <pane ySplit="1" topLeftCell="A388" activePane="bottomLeft" state="frozen"/>
      <selection pane="bottomLeft" activeCell="B415" sqref="B415"/>
    </sheetView>
  </sheetViews>
  <sheetFormatPr baseColWidth="10" defaultColWidth="11" defaultRowHeight="16" x14ac:dyDescent="0.2"/>
  <cols>
    <col min="1" max="1" width="17.33203125" customWidth="1"/>
    <col min="2" max="2" width="12" customWidth="1"/>
    <col min="3" max="4" width="23" customWidth="1"/>
    <col min="5" max="5" width="25.5" customWidth="1"/>
  </cols>
  <sheetData>
    <row r="1" spans="1:6" x14ac:dyDescent="0.2">
      <c r="A1" s="1" t="s">
        <v>170</v>
      </c>
      <c r="B1" s="1" t="s">
        <v>504</v>
      </c>
      <c r="C1" s="1" t="s">
        <v>573</v>
      </c>
      <c r="D1" s="1" t="s">
        <v>621</v>
      </c>
      <c r="E1" s="1" t="s">
        <v>505</v>
      </c>
      <c r="F1" s="1" t="s">
        <v>506</v>
      </c>
    </row>
    <row r="2" spans="1:6" s="44" customFormat="1" x14ac:dyDescent="0.2">
      <c r="A2" s="42" t="s">
        <v>507</v>
      </c>
      <c r="B2" s="42">
        <v>30</v>
      </c>
      <c r="C2" s="42" t="s">
        <v>581</v>
      </c>
      <c r="D2" s="42"/>
      <c r="E2" s="42">
        <v>600</v>
      </c>
      <c r="F2" s="43">
        <v>200</v>
      </c>
    </row>
    <row r="3" spans="1:6" s="44" customFormat="1" x14ac:dyDescent="0.2">
      <c r="A3" s="45" t="s">
        <v>507</v>
      </c>
      <c r="B3" s="45">
        <v>40</v>
      </c>
      <c r="C3" s="45" t="s">
        <v>593</v>
      </c>
      <c r="D3" s="42"/>
      <c r="E3" s="45">
        <v>480</v>
      </c>
      <c r="F3" s="3">
        <v>200</v>
      </c>
    </row>
    <row r="4" spans="1:6" s="44" customFormat="1" x14ac:dyDescent="0.2">
      <c r="A4" s="45" t="s">
        <v>507</v>
      </c>
      <c r="B4" s="45">
        <v>50</v>
      </c>
      <c r="C4" s="45" t="s">
        <v>599</v>
      </c>
      <c r="D4" s="42"/>
      <c r="E4" s="45">
        <v>180</v>
      </c>
      <c r="F4" s="3">
        <v>200</v>
      </c>
    </row>
    <row r="5" spans="1:6" s="44" customFormat="1" x14ac:dyDescent="0.2">
      <c r="A5" s="45" t="s">
        <v>507</v>
      </c>
      <c r="B5" s="45">
        <v>60</v>
      </c>
      <c r="C5" s="45" t="s">
        <v>605</v>
      </c>
      <c r="D5" s="42"/>
      <c r="E5" s="45">
        <v>720</v>
      </c>
      <c r="F5" s="3">
        <v>200</v>
      </c>
    </row>
    <row r="6" spans="1:6" s="44" customFormat="1" x14ac:dyDescent="0.2">
      <c r="A6" s="45" t="s">
        <v>507</v>
      </c>
      <c r="B6" s="45">
        <v>20</v>
      </c>
      <c r="C6" s="45" t="s">
        <v>609</v>
      </c>
      <c r="D6" s="42"/>
      <c r="E6" s="45">
        <v>120</v>
      </c>
      <c r="F6" s="3">
        <v>200</v>
      </c>
    </row>
    <row r="7" spans="1:6" s="44" customFormat="1" x14ac:dyDescent="0.2">
      <c r="A7" s="45" t="s">
        <v>507</v>
      </c>
      <c r="B7" s="45">
        <v>70</v>
      </c>
      <c r="C7" s="45" t="s">
        <v>615</v>
      </c>
      <c r="D7" s="42"/>
      <c r="E7" s="45">
        <v>300</v>
      </c>
      <c r="F7" s="3">
        <v>200</v>
      </c>
    </row>
    <row r="8" spans="1:6" s="44" customFormat="1" x14ac:dyDescent="0.2">
      <c r="A8" s="45" t="s">
        <v>507</v>
      </c>
      <c r="B8" s="45">
        <v>10</v>
      </c>
      <c r="C8" s="45" t="s">
        <v>616</v>
      </c>
      <c r="D8" s="42"/>
      <c r="E8" s="45">
        <v>0</v>
      </c>
      <c r="F8" s="3">
        <v>200</v>
      </c>
    </row>
    <row r="9" spans="1:6" s="44" customFormat="1" x14ac:dyDescent="0.2">
      <c r="A9" s="45" t="s">
        <v>507</v>
      </c>
      <c r="B9" s="45">
        <v>80</v>
      </c>
      <c r="C9" s="45" t="s">
        <v>617</v>
      </c>
      <c r="D9" s="42"/>
      <c r="E9" s="45">
        <v>0</v>
      </c>
      <c r="F9" s="3">
        <v>200</v>
      </c>
    </row>
    <row r="10" spans="1:6" s="44" customFormat="1" x14ac:dyDescent="0.2">
      <c r="A10" s="45" t="s">
        <v>508</v>
      </c>
      <c r="B10" s="45">
        <v>30</v>
      </c>
      <c r="C10" s="45" t="s">
        <v>581</v>
      </c>
      <c r="D10" s="42"/>
      <c r="E10" s="45">
        <v>900</v>
      </c>
      <c r="F10" s="3">
        <v>200</v>
      </c>
    </row>
    <row r="11" spans="1:6" s="44" customFormat="1" x14ac:dyDescent="0.2">
      <c r="A11" s="45" t="s">
        <v>508</v>
      </c>
      <c r="B11" s="45">
        <v>40</v>
      </c>
      <c r="C11" s="45" t="s">
        <v>593</v>
      </c>
      <c r="D11" s="42"/>
      <c r="E11" s="45">
        <v>480</v>
      </c>
      <c r="F11" s="3">
        <v>200</v>
      </c>
    </row>
    <row r="12" spans="1:6" s="44" customFormat="1" x14ac:dyDescent="0.2">
      <c r="A12" s="45" t="s">
        <v>508</v>
      </c>
      <c r="B12" s="45">
        <v>50</v>
      </c>
      <c r="C12" s="45" t="s">
        <v>599</v>
      </c>
      <c r="D12" s="42"/>
      <c r="E12" s="45">
        <v>240</v>
      </c>
      <c r="F12" s="3">
        <v>200</v>
      </c>
    </row>
    <row r="13" spans="1:6" s="44" customFormat="1" x14ac:dyDescent="0.2">
      <c r="A13" s="45" t="s">
        <v>508</v>
      </c>
      <c r="B13" s="45">
        <v>60</v>
      </c>
      <c r="C13" s="45" t="s">
        <v>605</v>
      </c>
      <c r="D13" s="42"/>
      <c r="E13" s="45">
        <v>720</v>
      </c>
      <c r="F13" s="3">
        <v>200</v>
      </c>
    </row>
    <row r="14" spans="1:6" s="44" customFormat="1" x14ac:dyDescent="0.2">
      <c r="A14" s="45" t="s">
        <v>508</v>
      </c>
      <c r="B14" s="45">
        <v>20</v>
      </c>
      <c r="C14" s="45" t="s">
        <v>609</v>
      </c>
      <c r="D14" s="42"/>
      <c r="E14" s="45">
        <v>120</v>
      </c>
      <c r="F14" s="3">
        <v>200</v>
      </c>
    </row>
    <row r="15" spans="1:6" s="44" customFormat="1" x14ac:dyDescent="0.2">
      <c r="A15" s="45" t="s">
        <v>508</v>
      </c>
      <c r="B15" s="45">
        <v>10</v>
      </c>
      <c r="C15" s="45" t="s">
        <v>616</v>
      </c>
      <c r="D15" s="42"/>
      <c r="E15" s="45">
        <v>0</v>
      </c>
      <c r="F15" s="3">
        <v>200</v>
      </c>
    </row>
    <row r="16" spans="1:6" s="44" customFormat="1" x14ac:dyDescent="0.2">
      <c r="A16" s="45" t="s">
        <v>508</v>
      </c>
      <c r="B16" s="45">
        <v>70</v>
      </c>
      <c r="C16" s="45" t="s">
        <v>617</v>
      </c>
      <c r="D16" s="42"/>
      <c r="E16" s="45">
        <v>0</v>
      </c>
      <c r="F16" s="3">
        <v>200</v>
      </c>
    </row>
    <row r="17" spans="1:6" s="44" customFormat="1" x14ac:dyDescent="0.2">
      <c r="A17" s="45" t="s">
        <v>509</v>
      </c>
      <c r="B17" s="45">
        <v>30</v>
      </c>
      <c r="C17" s="45" t="s">
        <v>581</v>
      </c>
      <c r="D17" s="42"/>
      <c r="E17" s="45">
        <v>600</v>
      </c>
      <c r="F17" s="3">
        <v>200</v>
      </c>
    </row>
    <row r="18" spans="1:6" s="44" customFormat="1" x14ac:dyDescent="0.2">
      <c r="A18" s="45" t="s">
        <v>509</v>
      </c>
      <c r="B18" s="45">
        <v>40</v>
      </c>
      <c r="C18" s="45" t="s">
        <v>592</v>
      </c>
      <c r="D18" s="42"/>
      <c r="E18" s="45">
        <v>480</v>
      </c>
      <c r="F18" s="3">
        <v>200</v>
      </c>
    </row>
    <row r="19" spans="1:6" s="44" customFormat="1" x14ac:dyDescent="0.2">
      <c r="A19" s="45" t="s">
        <v>509</v>
      </c>
      <c r="B19" s="45">
        <v>50</v>
      </c>
      <c r="C19" s="45" t="s">
        <v>599</v>
      </c>
      <c r="D19" s="42"/>
      <c r="E19" s="45">
        <v>300</v>
      </c>
      <c r="F19" s="3">
        <v>200</v>
      </c>
    </row>
    <row r="20" spans="1:6" s="44" customFormat="1" x14ac:dyDescent="0.2">
      <c r="A20" s="45" t="s">
        <v>509</v>
      </c>
      <c r="B20" s="45">
        <v>60</v>
      </c>
      <c r="C20" s="45" t="s">
        <v>605</v>
      </c>
      <c r="D20" s="42"/>
      <c r="E20" s="45">
        <v>600</v>
      </c>
      <c r="F20" s="3">
        <v>200</v>
      </c>
    </row>
    <row r="21" spans="1:6" s="44" customFormat="1" x14ac:dyDescent="0.2">
      <c r="A21" s="45" t="s">
        <v>509</v>
      </c>
      <c r="B21" s="45">
        <v>20</v>
      </c>
      <c r="C21" s="45" t="s">
        <v>609</v>
      </c>
      <c r="D21" s="42"/>
      <c r="E21" s="45">
        <v>120</v>
      </c>
      <c r="F21" s="3">
        <v>200</v>
      </c>
    </row>
    <row r="22" spans="1:6" s="44" customFormat="1" x14ac:dyDescent="0.2">
      <c r="A22" s="45" t="s">
        <v>509</v>
      </c>
      <c r="B22" s="45">
        <v>70</v>
      </c>
      <c r="C22" s="45" t="s">
        <v>615</v>
      </c>
      <c r="D22" s="42"/>
      <c r="E22" s="45">
        <v>300</v>
      </c>
      <c r="F22" s="3">
        <v>200</v>
      </c>
    </row>
    <row r="23" spans="1:6" s="44" customFormat="1" x14ac:dyDescent="0.2">
      <c r="A23" s="45" t="s">
        <v>509</v>
      </c>
      <c r="B23" s="45">
        <v>10</v>
      </c>
      <c r="C23" s="45" t="s">
        <v>616</v>
      </c>
      <c r="D23" s="42"/>
      <c r="E23" s="45">
        <v>0</v>
      </c>
      <c r="F23" s="3">
        <v>200</v>
      </c>
    </row>
    <row r="24" spans="1:6" s="44" customFormat="1" x14ac:dyDescent="0.2">
      <c r="A24" s="45" t="s">
        <v>509</v>
      </c>
      <c r="B24" s="45">
        <v>80</v>
      </c>
      <c r="C24" s="45" t="s">
        <v>617</v>
      </c>
      <c r="D24" s="42"/>
      <c r="E24" s="45">
        <v>0</v>
      </c>
      <c r="F24" s="3">
        <v>200</v>
      </c>
    </row>
    <row r="25" spans="1:6" s="44" customFormat="1" x14ac:dyDescent="0.2">
      <c r="A25" s="45" t="s">
        <v>178</v>
      </c>
      <c r="B25" s="45">
        <v>30</v>
      </c>
      <c r="C25" s="45" t="s">
        <v>578</v>
      </c>
      <c r="D25" s="42"/>
      <c r="E25" s="45">
        <v>480</v>
      </c>
      <c r="F25" s="3">
        <v>200</v>
      </c>
    </row>
    <row r="26" spans="1:6" s="44" customFormat="1" x14ac:dyDescent="0.2">
      <c r="A26" s="45" t="s">
        <v>178</v>
      </c>
      <c r="B26" s="45">
        <v>40</v>
      </c>
      <c r="C26" s="45" t="s">
        <v>598</v>
      </c>
      <c r="D26" s="42"/>
      <c r="E26" s="45">
        <v>480</v>
      </c>
      <c r="F26" s="3">
        <v>200</v>
      </c>
    </row>
    <row r="27" spans="1:6" s="44" customFormat="1" x14ac:dyDescent="0.2">
      <c r="A27" s="45" t="s">
        <v>178</v>
      </c>
      <c r="B27" s="45">
        <v>50</v>
      </c>
      <c r="C27" s="45" t="s">
        <v>607</v>
      </c>
      <c r="D27" s="42"/>
      <c r="E27" s="45">
        <v>600</v>
      </c>
      <c r="F27" s="3">
        <v>200</v>
      </c>
    </row>
    <row r="28" spans="1:6" s="44" customFormat="1" x14ac:dyDescent="0.2">
      <c r="A28" s="45" t="s">
        <v>178</v>
      </c>
      <c r="B28" s="45">
        <v>20</v>
      </c>
      <c r="C28" s="45" t="s">
        <v>609</v>
      </c>
      <c r="D28" s="42"/>
      <c r="E28" s="45">
        <v>120</v>
      </c>
      <c r="F28" s="3">
        <v>200</v>
      </c>
    </row>
    <row r="29" spans="1:6" s="44" customFormat="1" x14ac:dyDescent="0.2">
      <c r="A29" s="45" t="s">
        <v>178</v>
      </c>
      <c r="B29" s="45">
        <v>10</v>
      </c>
      <c r="C29" s="45" t="s">
        <v>616</v>
      </c>
      <c r="D29" s="42"/>
      <c r="E29" s="45">
        <v>0</v>
      </c>
      <c r="F29" s="3">
        <v>200</v>
      </c>
    </row>
    <row r="30" spans="1:6" s="44" customFormat="1" x14ac:dyDescent="0.2">
      <c r="A30" s="45" t="s">
        <v>178</v>
      </c>
      <c r="B30" s="45">
        <v>60</v>
      </c>
      <c r="C30" s="45" t="s">
        <v>617</v>
      </c>
      <c r="D30" s="42"/>
      <c r="E30" s="45">
        <v>0</v>
      </c>
      <c r="F30" s="3">
        <v>200</v>
      </c>
    </row>
    <row r="31" spans="1:6" s="44" customFormat="1" x14ac:dyDescent="0.2">
      <c r="A31" s="45" t="s">
        <v>510</v>
      </c>
      <c r="B31" s="45">
        <v>30</v>
      </c>
      <c r="C31" s="45" t="s">
        <v>577</v>
      </c>
      <c r="D31" s="42"/>
      <c r="E31" s="45">
        <v>600</v>
      </c>
      <c r="F31" s="3">
        <v>200</v>
      </c>
    </row>
    <row r="32" spans="1:6" s="44" customFormat="1" x14ac:dyDescent="0.2">
      <c r="A32" s="45" t="s">
        <v>510</v>
      </c>
      <c r="B32" s="45">
        <v>40</v>
      </c>
      <c r="C32" s="45" t="s">
        <v>593</v>
      </c>
      <c r="D32" s="42"/>
      <c r="E32" s="45">
        <v>480</v>
      </c>
      <c r="F32" s="3">
        <v>200</v>
      </c>
    </row>
    <row r="33" spans="1:6" s="44" customFormat="1" x14ac:dyDescent="0.2">
      <c r="A33" s="45" t="s">
        <v>510</v>
      </c>
      <c r="B33" s="45">
        <v>50</v>
      </c>
      <c r="C33" s="45" t="s">
        <v>604</v>
      </c>
      <c r="D33" s="42"/>
      <c r="E33" s="45">
        <v>300</v>
      </c>
      <c r="F33" s="3">
        <v>200</v>
      </c>
    </row>
    <row r="34" spans="1:6" s="44" customFormat="1" x14ac:dyDescent="0.2">
      <c r="A34" s="45" t="s">
        <v>510</v>
      </c>
      <c r="B34" s="45">
        <v>60</v>
      </c>
      <c r="C34" s="45" t="s">
        <v>605</v>
      </c>
      <c r="D34" s="42"/>
      <c r="E34" s="45">
        <v>600</v>
      </c>
      <c r="F34" s="3">
        <v>200</v>
      </c>
    </row>
    <row r="35" spans="1:6" s="44" customFormat="1" x14ac:dyDescent="0.2">
      <c r="A35" s="45" t="s">
        <v>510</v>
      </c>
      <c r="B35" s="45">
        <v>20</v>
      </c>
      <c r="C35" s="45" t="s">
        <v>613</v>
      </c>
      <c r="D35" s="42"/>
      <c r="E35" s="45">
        <v>120</v>
      </c>
      <c r="F35" s="3">
        <v>200</v>
      </c>
    </row>
    <row r="36" spans="1:6" s="44" customFormat="1" x14ac:dyDescent="0.2">
      <c r="A36" s="45" t="s">
        <v>510</v>
      </c>
      <c r="B36" s="45">
        <v>10</v>
      </c>
      <c r="C36" s="45" t="s">
        <v>615</v>
      </c>
      <c r="D36" s="42"/>
      <c r="E36" s="45">
        <v>300</v>
      </c>
      <c r="F36" s="3">
        <v>200</v>
      </c>
    </row>
    <row r="37" spans="1:6" s="44" customFormat="1" x14ac:dyDescent="0.2">
      <c r="A37" s="45" t="s">
        <v>510</v>
      </c>
      <c r="B37" s="45">
        <v>70</v>
      </c>
      <c r="C37" s="45" t="s">
        <v>617</v>
      </c>
      <c r="D37" s="42"/>
      <c r="E37" s="45">
        <v>0</v>
      </c>
      <c r="F37" s="3">
        <v>200</v>
      </c>
    </row>
    <row r="38" spans="1:6" s="44" customFormat="1" x14ac:dyDescent="0.2">
      <c r="A38" s="45" t="s">
        <v>198</v>
      </c>
      <c r="B38" s="45">
        <v>30</v>
      </c>
      <c r="C38" s="45" t="s">
        <v>575</v>
      </c>
      <c r="D38" s="42"/>
      <c r="E38" s="45">
        <v>600</v>
      </c>
      <c r="F38" s="3">
        <v>200</v>
      </c>
    </row>
    <row r="39" spans="1:6" s="44" customFormat="1" x14ac:dyDescent="0.2">
      <c r="A39" s="45" t="s">
        <v>198</v>
      </c>
      <c r="B39" s="45">
        <v>40</v>
      </c>
      <c r="C39" s="45" t="s">
        <v>591</v>
      </c>
      <c r="D39" s="42"/>
      <c r="E39" s="45">
        <v>480</v>
      </c>
      <c r="F39" s="3">
        <v>200</v>
      </c>
    </row>
    <row r="40" spans="1:6" s="44" customFormat="1" x14ac:dyDescent="0.2">
      <c r="A40" s="45" t="s">
        <v>198</v>
      </c>
      <c r="B40" s="45">
        <v>50</v>
      </c>
      <c r="C40" s="45" t="s">
        <v>597</v>
      </c>
      <c r="D40" s="42"/>
      <c r="E40" s="45">
        <v>180</v>
      </c>
      <c r="F40" s="3">
        <v>200</v>
      </c>
    </row>
    <row r="41" spans="1:6" s="44" customFormat="1" x14ac:dyDescent="0.2">
      <c r="A41" s="45" t="s">
        <v>198</v>
      </c>
      <c r="B41" s="45">
        <v>60</v>
      </c>
      <c r="C41" s="45" t="s">
        <v>602</v>
      </c>
      <c r="D41" s="42"/>
      <c r="E41" s="45">
        <v>480</v>
      </c>
      <c r="F41" s="3">
        <v>200</v>
      </c>
    </row>
    <row r="42" spans="1:6" s="44" customFormat="1" x14ac:dyDescent="0.2">
      <c r="A42" s="45" t="s">
        <v>198</v>
      </c>
      <c r="B42" s="45">
        <v>70</v>
      </c>
      <c r="C42" s="45" t="s">
        <v>606</v>
      </c>
      <c r="D42" s="42"/>
      <c r="E42" s="45">
        <v>600</v>
      </c>
      <c r="F42" s="3">
        <v>200</v>
      </c>
    </row>
    <row r="43" spans="1:6" s="44" customFormat="1" x14ac:dyDescent="0.2">
      <c r="A43" s="45" t="s">
        <v>198</v>
      </c>
      <c r="B43" s="45">
        <v>20</v>
      </c>
      <c r="C43" s="45" t="s">
        <v>613</v>
      </c>
      <c r="D43" s="42"/>
      <c r="E43" s="45">
        <v>120</v>
      </c>
      <c r="F43" s="3">
        <v>200</v>
      </c>
    </row>
    <row r="44" spans="1:6" s="44" customFormat="1" x14ac:dyDescent="0.2">
      <c r="A44" s="45" t="s">
        <v>198</v>
      </c>
      <c r="B44" s="45">
        <v>10</v>
      </c>
      <c r="C44" s="45" t="s">
        <v>616</v>
      </c>
      <c r="D44" s="42"/>
      <c r="E44" s="45">
        <v>0</v>
      </c>
      <c r="F44" s="3">
        <v>200</v>
      </c>
    </row>
    <row r="45" spans="1:6" s="44" customFormat="1" x14ac:dyDescent="0.2">
      <c r="A45" s="45" t="s">
        <v>198</v>
      </c>
      <c r="B45" s="45">
        <v>80</v>
      </c>
      <c r="C45" s="45" t="s">
        <v>617</v>
      </c>
      <c r="D45" s="42"/>
      <c r="E45" s="45">
        <v>0</v>
      </c>
      <c r="F45" s="3">
        <v>200</v>
      </c>
    </row>
    <row r="46" spans="1:6" s="44" customFormat="1" x14ac:dyDescent="0.2">
      <c r="A46" s="45" t="s">
        <v>203</v>
      </c>
      <c r="B46" s="45">
        <v>30</v>
      </c>
      <c r="C46" s="45" t="s">
        <v>575</v>
      </c>
      <c r="D46" s="42"/>
      <c r="E46" s="45">
        <v>360</v>
      </c>
      <c r="F46" s="3">
        <v>200</v>
      </c>
    </row>
    <row r="47" spans="1:6" s="44" customFormat="1" x14ac:dyDescent="0.2">
      <c r="A47" s="45" t="s">
        <v>203</v>
      </c>
      <c r="B47" s="45">
        <v>40</v>
      </c>
      <c r="C47" s="45" t="s">
        <v>591</v>
      </c>
      <c r="D47" s="42"/>
      <c r="E47" s="45">
        <v>360</v>
      </c>
      <c r="F47" s="3">
        <v>200</v>
      </c>
    </row>
    <row r="48" spans="1:6" s="44" customFormat="1" x14ac:dyDescent="0.2">
      <c r="A48" s="45" t="s">
        <v>203</v>
      </c>
      <c r="B48" s="45">
        <v>50</v>
      </c>
      <c r="C48" s="45" t="s">
        <v>597</v>
      </c>
      <c r="D48" s="42"/>
      <c r="E48" s="45">
        <v>120</v>
      </c>
      <c r="F48" s="3">
        <v>200</v>
      </c>
    </row>
    <row r="49" spans="1:6" s="44" customFormat="1" x14ac:dyDescent="0.2">
      <c r="A49" s="45" t="s">
        <v>203</v>
      </c>
      <c r="B49" s="45">
        <v>60</v>
      </c>
      <c r="C49" s="45" t="s">
        <v>602</v>
      </c>
      <c r="D49" s="42"/>
      <c r="E49" s="45">
        <v>120</v>
      </c>
      <c r="F49" s="3">
        <v>200</v>
      </c>
    </row>
    <row r="50" spans="1:6" s="44" customFormat="1" x14ac:dyDescent="0.2">
      <c r="A50" s="45" t="s">
        <v>203</v>
      </c>
      <c r="B50" s="45">
        <v>70</v>
      </c>
      <c r="C50" s="45" t="s">
        <v>606</v>
      </c>
      <c r="D50" s="42"/>
      <c r="E50" s="45">
        <v>180</v>
      </c>
      <c r="F50" s="3">
        <v>200</v>
      </c>
    </row>
    <row r="51" spans="1:6" s="44" customFormat="1" x14ac:dyDescent="0.2">
      <c r="A51" s="45" t="s">
        <v>203</v>
      </c>
      <c r="B51" s="45">
        <v>20</v>
      </c>
      <c r="C51" s="45" t="s">
        <v>613</v>
      </c>
      <c r="D51" s="42"/>
      <c r="E51" s="45">
        <v>120</v>
      </c>
      <c r="F51" s="3">
        <v>200</v>
      </c>
    </row>
    <row r="52" spans="1:6" s="44" customFormat="1" x14ac:dyDescent="0.2">
      <c r="A52" s="45" t="s">
        <v>203</v>
      </c>
      <c r="B52" s="45">
        <v>10</v>
      </c>
      <c r="C52" s="45" t="s">
        <v>616</v>
      </c>
      <c r="D52" s="42"/>
      <c r="E52" s="45">
        <v>0</v>
      </c>
      <c r="F52" s="3">
        <v>200</v>
      </c>
    </row>
    <row r="53" spans="1:6" s="44" customFormat="1" x14ac:dyDescent="0.2">
      <c r="A53" s="45" t="s">
        <v>203</v>
      </c>
      <c r="B53" s="45">
        <v>80</v>
      </c>
      <c r="C53" s="45" t="s">
        <v>617</v>
      </c>
      <c r="D53" s="42"/>
      <c r="E53" s="45">
        <v>0</v>
      </c>
      <c r="F53" s="3">
        <v>200</v>
      </c>
    </row>
    <row r="54" spans="1:6" s="44" customFormat="1" x14ac:dyDescent="0.2">
      <c r="A54" s="45" t="s">
        <v>217</v>
      </c>
      <c r="B54" s="45">
        <v>30</v>
      </c>
      <c r="C54" s="45" t="s">
        <v>575</v>
      </c>
      <c r="D54" s="42"/>
      <c r="E54" s="45">
        <v>540</v>
      </c>
      <c r="F54" s="3">
        <v>200</v>
      </c>
    </row>
    <row r="55" spans="1:6" s="44" customFormat="1" x14ac:dyDescent="0.2">
      <c r="A55" s="45" t="s">
        <v>217</v>
      </c>
      <c r="B55" s="45">
        <v>40</v>
      </c>
      <c r="C55" s="45" t="s">
        <v>591</v>
      </c>
      <c r="D55" s="42"/>
      <c r="E55" s="45">
        <v>300</v>
      </c>
      <c r="F55" s="3">
        <v>200</v>
      </c>
    </row>
    <row r="56" spans="1:6" s="44" customFormat="1" x14ac:dyDescent="0.2">
      <c r="A56" s="45" t="s">
        <v>217</v>
      </c>
      <c r="B56" s="45">
        <v>50</v>
      </c>
      <c r="C56" s="45" t="s">
        <v>597</v>
      </c>
      <c r="D56" s="42"/>
      <c r="E56" s="45">
        <v>300</v>
      </c>
      <c r="F56" s="3">
        <v>200</v>
      </c>
    </row>
    <row r="57" spans="1:6" s="44" customFormat="1" x14ac:dyDescent="0.2">
      <c r="A57" s="45" t="s">
        <v>217</v>
      </c>
      <c r="B57" s="45">
        <v>60</v>
      </c>
      <c r="C57" s="45" t="s">
        <v>602</v>
      </c>
      <c r="D57" s="42"/>
      <c r="E57" s="45">
        <v>300</v>
      </c>
      <c r="F57" s="3">
        <v>200</v>
      </c>
    </row>
    <row r="58" spans="1:6" s="44" customFormat="1" x14ac:dyDescent="0.2">
      <c r="A58" s="45" t="s">
        <v>217</v>
      </c>
      <c r="B58" s="45">
        <v>70</v>
      </c>
      <c r="C58" s="45" t="s">
        <v>606</v>
      </c>
      <c r="D58" s="42"/>
      <c r="E58" s="45">
        <v>180</v>
      </c>
      <c r="F58" s="3">
        <v>200</v>
      </c>
    </row>
    <row r="59" spans="1:6" s="44" customFormat="1" x14ac:dyDescent="0.2">
      <c r="A59" s="45" t="s">
        <v>217</v>
      </c>
      <c r="B59" s="45">
        <v>20</v>
      </c>
      <c r="C59" s="45" t="s">
        <v>613</v>
      </c>
      <c r="D59" s="42"/>
      <c r="E59" s="45">
        <v>120</v>
      </c>
      <c r="F59" s="3">
        <v>200</v>
      </c>
    </row>
    <row r="60" spans="1:6" s="44" customFormat="1" x14ac:dyDescent="0.2">
      <c r="A60" s="45" t="s">
        <v>217</v>
      </c>
      <c r="B60" s="45">
        <v>10</v>
      </c>
      <c r="C60" s="45" t="s">
        <v>616</v>
      </c>
      <c r="D60" s="42"/>
      <c r="E60" s="45">
        <v>0</v>
      </c>
      <c r="F60" s="3">
        <v>200</v>
      </c>
    </row>
    <row r="61" spans="1:6" s="44" customFormat="1" x14ac:dyDescent="0.2">
      <c r="A61" s="45" t="s">
        <v>217</v>
      </c>
      <c r="B61" s="45">
        <v>80</v>
      </c>
      <c r="C61" s="45" t="s">
        <v>617</v>
      </c>
      <c r="D61" s="42"/>
      <c r="E61" s="45">
        <v>0</v>
      </c>
      <c r="F61" s="3">
        <v>200</v>
      </c>
    </row>
    <row r="62" spans="1:6" s="44" customFormat="1" x14ac:dyDescent="0.2">
      <c r="A62" s="45" t="s">
        <v>511</v>
      </c>
      <c r="B62" s="45">
        <v>30</v>
      </c>
      <c r="C62" s="45" t="s">
        <v>576</v>
      </c>
      <c r="D62" s="42"/>
      <c r="E62" s="45">
        <v>540</v>
      </c>
      <c r="F62" s="3">
        <v>200</v>
      </c>
    </row>
    <row r="63" spans="1:6" s="44" customFormat="1" x14ac:dyDescent="0.2">
      <c r="A63" s="45" t="s">
        <v>511</v>
      </c>
      <c r="B63" s="45">
        <v>40</v>
      </c>
      <c r="C63" s="45" t="s">
        <v>591</v>
      </c>
      <c r="D63" s="42"/>
      <c r="E63" s="45">
        <v>360</v>
      </c>
      <c r="F63" s="3">
        <v>200</v>
      </c>
    </row>
    <row r="64" spans="1:6" s="44" customFormat="1" x14ac:dyDescent="0.2">
      <c r="A64" s="45" t="s">
        <v>511</v>
      </c>
      <c r="B64" s="45">
        <v>50</v>
      </c>
      <c r="C64" s="45" t="s">
        <v>602</v>
      </c>
      <c r="D64" s="42"/>
      <c r="E64" s="45">
        <v>360</v>
      </c>
      <c r="F64" s="3">
        <v>200</v>
      </c>
    </row>
    <row r="65" spans="1:6" s="44" customFormat="1" x14ac:dyDescent="0.2">
      <c r="A65" s="45" t="s">
        <v>511</v>
      </c>
      <c r="B65" s="45">
        <v>20</v>
      </c>
      <c r="C65" s="45" t="s">
        <v>613</v>
      </c>
      <c r="D65" s="42"/>
      <c r="E65" s="45">
        <v>120</v>
      </c>
      <c r="F65" s="3">
        <v>200</v>
      </c>
    </row>
    <row r="66" spans="1:6" s="44" customFormat="1" x14ac:dyDescent="0.2">
      <c r="A66" s="45" t="s">
        <v>511</v>
      </c>
      <c r="B66" s="45">
        <v>10</v>
      </c>
      <c r="C66" s="45" t="s">
        <v>616</v>
      </c>
      <c r="D66" s="42"/>
      <c r="E66" s="45">
        <v>0</v>
      </c>
      <c r="F66" s="3">
        <v>200</v>
      </c>
    </row>
    <row r="67" spans="1:6" s="44" customFormat="1" x14ac:dyDescent="0.2">
      <c r="A67" s="45" t="s">
        <v>511</v>
      </c>
      <c r="B67" s="45">
        <v>60</v>
      </c>
      <c r="C67" s="45" t="s">
        <v>617</v>
      </c>
      <c r="D67" s="42"/>
      <c r="E67" s="45">
        <v>0</v>
      </c>
      <c r="F67" s="3">
        <v>200</v>
      </c>
    </row>
    <row r="68" spans="1:6" s="44" customFormat="1" x14ac:dyDescent="0.2">
      <c r="A68" s="45" t="s">
        <v>176</v>
      </c>
      <c r="B68" s="45">
        <v>30</v>
      </c>
      <c r="C68" s="45" t="s">
        <v>575</v>
      </c>
      <c r="D68" s="42"/>
      <c r="E68" s="45">
        <v>360</v>
      </c>
      <c r="F68" s="3">
        <v>200</v>
      </c>
    </row>
    <row r="69" spans="1:6" s="44" customFormat="1" x14ac:dyDescent="0.2">
      <c r="A69" s="45" t="s">
        <v>176</v>
      </c>
      <c r="B69" s="45">
        <v>40</v>
      </c>
      <c r="C69" s="45" t="s">
        <v>591</v>
      </c>
      <c r="D69" s="42"/>
      <c r="E69" s="45">
        <v>420</v>
      </c>
      <c r="F69" s="3">
        <v>200</v>
      </c>
    </row>
    <row r="70" spans="1:6" s="44" customFormat="1" x14ac:dyDescent="0.2">
      <c r="A70" s="45" t="s">
        <v>176</v>
      </c>
      <c r="B70" s="45">
        <v>50</v>
      </c>
      <c r="C70" s="45" t="s">
        <v>597</v>
      </c>
      <c r="D70" s="42"/>
      <c r="E70" s="45">
        <v>360</v>
      </c>
      <c r="F70" s="3">
        <v>200</v>
      </c>
    </row>
    <row r="71" spans="1:6" s="44" customFormat="1" x14ac:dyDescent="0.2">
      <c r="A71" s="45" t="s">
        <v>176</v>
      </c>
      <c r="B71" s="45">
        <v>60</v>
      </c>
      <c r="C71" s="45" t="s">
        <v>602</v>
      </c>
      <c r="D71" s="42"/>
      <c r="E71" s="45">
        <v>420</v>
      </c>
      <c r="F71" s="3">
        <v>200</v>
      </c>
    </row>
    <row r="72" spans="1:6" s="44" customFormat="1" x14ac:dyDescent="0.2">
      <c r="A72" s="45" t="s">
        <v>176</v>
      </c>
      <c r="B72" s="45">
        <v>70</v>
      </c>
      <c r="C72" s="45" t="s">
        <v>606</v>
      </c>
      <c r="D72" s="42"/>
      <c r="E72" s="45">
        <v>180</v>
      </c>
      <c r="F72" s="3">
        <v>200</v>
      </c>
    </row>
    <row r="73" spans="1:6" s="44" customFormat="1" x14ac:dyDescent="0.2">
      <c r="A73" s="45" t="s">
        <v>176</v>
      </c>
      <c r="B73" s="45">
        <v>20</v>
      </c>
      <c r="C73" s="45" t="s">
        <v>613</v>
      </c>
      <c r="D73" s="42"/>
      <c r="E73" s="45">
        <v>120</v>
      </c>
      <c r="F73" s="3">
        <v>200</v>
      </c>
    </row>
    <row r="74" spans="1:6" s="44" customFormat="1" x14ac:dyDescent="0.2">
      <c r="A74" s="45" t="s">
        <v>176</v>
      </c>
      <c r="B74" s="45">
        <v>10</v>
      </c>
      <c r="C74" s="45" t="s">
        <v>616</v>
      </c>
      <c r="D74" s="42"/>
      <c r="E74" s="45">
        <v>0</v>
      </c>
      <c r="F74" s="3">
        <v>200</v>
      </c>
    </row>
    <row r="75" spans="1:6" s="44" customFormat="1" x14ac:dyDescent="0.2">
      <c r="A75" s="45" t="s">
        <v>176</v>
      </c>
      <c r="B75" s="45">
        <v>80</v>
      </c>
      <c r="C75" s="45" t="s">
        <v>617</v>
      </c>
      <c r="D75" s="42"/>
      <c r="E75" s="45">
        <v>0</v>
      </c>
      <c r="F75" s="3">
        <v>200</v>
      </c>
    </row>
    <row r="76" spans="1:6" s="44" customFormat="1" x14ac:dyDescent="0.2">
      <c r="A76" s="45" t="s">
        <v>512</v>
      </c>
      <c r="B76" s="45">
        <v>30</v>
      </c>
      <c r="C76" s="45" t="s">
        <v>575</v>
      </c>
      <c r="D76" s="42"/>
      <c r="E76" s="45">
        <v>360</v>
      </c>
      <c r="F76" s="3">
        <v>200</v>
      </c>
    </row>
    <row r="77" spans="1:6" s="44" customFormat="1" x14ac:dyDescent="0.2">
      <c r="A77" s="45" t="s">
        <v>512</v>
      </c>
      <c r="B77" s="45">
        <v>40</v>
      </c>
      <c r="C77" s="45" t="s">
        <v>591</v>
      </c>
      <c r="D77" s="42"/>
      <c r="E77" s="45">
        <v>420</v>
      </c>
      <c r="F77" s="3">
        <v>200</v>
      </c>
    </row>
    <row r="78" spans="1:6" s="44" customFormat="1" x14ac:dyDescent="0.2">
      <c r="A78" s="45" t="s">
        <v>512</v>
      </c>
      <c r="B78" s="45">
        <v>50</v>
      </c>
      <c r="C78" s="45" t="s">
        <v>602</v>
      </c>
      <c r="D78" s="42"/>
      <c r="E78" s="45">
        <v>420</v>
      </c>
      <c r="F78" s="3">
        <v>200</v>
      </c>
    </row>
    <row r="79" spans="1:6" s="44" customFormat="1" x14ac:dyDescent="0.2">
      <c r="A79" s="45" t="s">
        <v>512</v>
      </c>
      <c r="B79" s="45">
        <v>60</v>
      </c>
      <c r="C79" s="45" t="s">
        <v>606</v>
      </c>
      <c r="D79" s="42"/>
      <c r="E79" s="45">
        <v>180</v>
      </c>
      <c r="F79" s="3">
        <v>200</v>
      </c>
    </row>
    <row r="80" spans="1:6" s="44" customFormat="1" x14ac:dyDescent="0.2">
      <c r="A80" s="45" t="s">
        <v>512</v>
      </c>
      <c r="B80" s="45">
        <v>20</v>
      </c>
      <c r="C80" s="45" t="s">
        <v>613</v>
      </c>
      <c r="D80" s="42"/>
      <c r="E80" s="45">
        <v>120</v>
      </c>
      <c r="F80" s="3">
        <v>200</v>
      </c>
    </row>
    <row r="81" spans="1:6" s="44" customFormat="1" x14ac:dyDescent="0.2">
      <c r="A81" s="45" t="s">
        <v>512</v>
      </c>
      <c r="B81" s="45">
        <v>10</v>
      </c>
      <c r="C81" s="45" t="s">
        <v>616</v>
      </c>
      <c r="D81" s="42"/>
      <c r="E81" s="45">
        <v>0</v>
      </c>
      <c r="F81" s="3">
        <v>200</v>
      </c>
    </row>
    <row r="82" spans="1:6" s="44" customFormat="1" x14ac:dyDescent="0.2">
      <c r="A82" s="45" t="s">
        <v>512</v>
      </c>
      <c r="B82" s="45">
        <v>70</v>
      </c>
      <c r="C82" s="45" t="s">
        <v>617</v>
      </c>
      <c r="D82" s="42"/>
      <c r="E82" s="45">
        <v>0</v>
      </c>
      <c r="F82" s="3">
        <v>200</v>
      </c>
    </row>
    <row r="83" spans="1:6" s="44" customFormat="1" x14ac:dyDescent="0.2">
      <c r="A83" s="45" t="s">
        <v>190</v>
      </c>
      <c r="B83" s="45">
        <v>30</v>
      </c>
      <c r="C83" s="45" t="s">
        <v>580</v>
      </c>
      <c r="D83" s="42"/>
      <c r="E83" s="45">
        <v>600</v>
      </c>
      <c r="F83" s="3">
        <v>200</v>
      </c>
    </row>
    <row r="84" spans="1:6" s="44" customFormat="1" x14ac:dyDescent="0.2">
      <c r="A84" s="45" t="s">
        <v>190</v>
      </c>
      <c r="B84" s="45">
        <v>40</v>
      </c>
      <c r="C84" s="45" t="s">
        <v>581</v>
      </c>
      <c r="D84" s="42"/>
      <c r="E84" s="45">
        <v>120</v>
      </c>
      <c r="F84" s="3">
        <v>200</v>
      </c>
    </row>
    <row r="85" spans="1:6" s="44" customFormat="1" x14ac:dyDescent="0.2">
      <c r="A85" s="45" t="s">
        <v>190</v>
      </c>
      <c r="B85" s="45">
        <v>50</v>
      </c>
      <c r="C85" s="45" t="s">
        <v>593</v>
      </c>
      <c r="D85" s="42"/>
      <c r="E85" s="45">
        <v>1140</v>
      </c>
      <c r="F85" s="3">
        <v>200</v>
      </c>
    </row>
    <row r="86" spans="1:6" s="44" customFormat="1" x14ac:dyDescent="0.2">
      <c r="A86" s="45" t="s">
        <v>190</v>
      </c>
      <c r="B86" s="45">
        <v>60</v>
      </c>
      <c r="C86" s="45" t="s">
        <v>599</v>
      </c>
      <c r="D86" s="42"/>
      <c r="E86" s="45">
        <v>120</v>
      </c>
      <c r="F86" s="3">
        <v>200</v>
      </c>
    </row>
    <row r="87" spans="1:6" s="44" customFormat="1" x14ac:dyDescent="0.2">
      <c r="A87" s="45" t="s">
        <v>190</v>
      </c>
      <c r="B87" s="45">
        <v>70</v>
      </c>
      <c r="C87" s="45" t="s">
        <v>605</v>
      </c>
      <c r="D87" s="42"/>
      <c r="E87" s="45">
        <v>360</v>
      </c>
      <c r="F87" s="3">
        <v>200</v>
      </c>
    </row>
    <row r="88" spans="1:6" s="44" customFormat="1" x14ac:dyDescent="0.2">
      <c r="A88" s="45" t="s">
        <v>190</v>
      </c>
      <c r="B88" s="45">
        <v>20</v>
      </c>
      <c r="C88" s="45" t="s">
        <v>613</v>
      </c>
      <c r="D88" s="42"/>
      <c r="E88" s="45">
        <v>120</v>
      </c>
      <c r="F88" s="3">
        <v>200</v>
      </c>
    </row>
    <row r="89" spans="1:6" s="44" customFormat="1" x14ac:dyDescent="0.2">
      <c r="A89" s="45" t="s">
        <v>190</v>
      </c>
      <c r="B89" s="45">
        <v>10</v>
      </c>
      <c r="C89" s="45" t="s">
        <v>616</v>
      </c>
      <c r="D89" s="42"/>
      <c r="E89" s="45">
        <v>0</v>
      </c>
      <c r="F89" s="3">
        <v>200</v>
      </c>
    </row>
    <row r="90" spans="1:6" s="44" customFormat="1" x14ac:dyDescent="0.2">
      <c r="A90" s="45" t="s">
        <v>190</v>
      </c>
      <c r="B90" s="45">
        <v>80</v>
      </c>
      <c r="C90" s="45" t="s">
        <v>617</v>
      </c>
      <c r="D90" s="42"/>
      <c r="E90" s="45">
        <v>0</v>
      </c>
      <c r="F90" s="3">
        <v>200</v>
      </c>
    </row>
    <row r="91" spans="1:6" s="44" customFormat="1" x14ac:dyDescent="0.2">
      <c r="A91" s="45" t="s">
        <v>513</v>
      </c>
      <c r="B91" s="45">
        <v>30</v>
      </c>
      <c r="C91" s="45" t="s">
        <v>582</v>
      </c>
      <c r="D91" s="42"/>
      <c r="E91" s="45">
        <v>920</v>
      </c>
      <c r="F91" s="3">
        <v>200</v>
      </c>
    </row>
    <row r="92" spans="1:6" s="44" customFormat="1" x14ac:dyDescent="0.2">
      <c r="A92" s="45" t="s">
        <v>513</v>
      </c>
      <c r="B92" s="45">
        <v>40</v>
      </c>
      <c r="C92" s="45" t="s">
        <v>594</v>
      </c>
      <c r="D92" s="42"/>
      <c r="E92" s="45">
        <v>360</v>
      </c>
      <c r="F92" s="3">
        <v>200</v>
      </c>
    </row>
    <row r="93" spans="1:6" s="44" customFormat="1" x14ac:dyDescent="0.2">
      <c r="A93" s="45" t="s">
        <v>513</v>
      </c>
      <c r="B93" s="45">
        <v>50</v>
      </c>
      <c r="C93" s="45" t="s">
        <v>603</v>
      </c>
      <c r="D93" s="42"/>
      <c r="E93" s="45">
        <v>360</v>
      </c>
      <c r="F93" s="3">
        <v>200</v>
      </c>
    </row>
    <row r="94" spans="1:6" s="44" customFormat="1" x14ac:dyDescent="0.2">
      <c r="A94" s="45" t="s">
        <v>513</v>
      </c>
      <c r="B94" s="45">
        <v>60</v>
      </c>
      <c r="C94" s="45" t="s">
        <v>607</v>
      </c>
      <c r="D94" s="42"/>
      <c r="E94" s="45">
        <v>540</v>
      </c>
      <c r="F94" s="3">
        <v>200</v>
      </c>
    </row>
    <row r="95" spans="1:6" s="44" customFormat="1" x14ac:dyDescent="0.2">
      <c r="A95" s="45" t="s">
        <v>513</v>
      </c>
      <c r="B95" s="45">
        <v>20</v>
      </c>
      <c r="C95" s="45" t="s">
        <v>610</v>
      </c>
      <c r="D95" s="42"/>
      <c r="E95" s="45">
        <v>120</v>
      </c>
      <c r="F95" s="3">
        <v>200</v>
      </c>
    </row>
    <row r="96" spans="1:6" s="44" customFormat="1" x14ac:dyDescent="0.2">
      <c r="A96" s="45" t="s">
        <v>513</v>
      </c>
      <c r="B96" s="45">
        <v>10</v>
      </c>
      <c r="C96" s="45" t="s">
        <v>616</v>
      </c>
      <c r="D96" s="42"/>
      <c r="E96" s="45">
        <v>0</v>
      </c>
      <c r="F96" s="3">
        <v>200</v>
      </c>
    </row>
    <row r="97" spans="1:6" s="44" customFormat="1" x14ac:dyDescent="0.2">
      <c r="A97" s="45" t="s">
        <v>513</v>
      </c>
      <c r="B97" s="45">
        <v>70</v>
      </c>
      <c r="C97" s="45" t="s">
        <v>617</v>
      </c>
      <c r="D97" s="42"/>
      <c r="E97" s="45">
        <v>0</v>
      </c>
      <c r="F97" s="3">
        <v>200</v>
      </c>
    </row>
    <row r="98" spans="1:6" s="44" customFormat="1" x14ac:dyDescent="0.2">
      <c r="A98" s="45" t="s">
        <v>514</v>
      </c>
      <c r="B98" s="45">
        <v>30</v>
      </c>
      <c r="C98" s="45" t="s">
        <v>584</v>
      </c>
      <c r="D98" s="42"/>
      <c r="E98" s="45">
        <v>600</v>
      </c>
      <c r="F98" s="3">
        <v>200</v>
      </c>
    </row>
    <row r="99" spans="1:6" s="44" customFormat="1" x14ac:dyDescent="0.2">
      <c r="A99" s="45" t="s">
        <v>514</v>
      </c>
      <c r="B99" s="45">
        <v>40</v>
      </c>
      <c r="C99" s="45" t="s">
        <v>594</v>
      </c>
      <c r="D99" s="42"/>
      <c r="E99" s="45">
        <v>540</v>
      </c>
      <c r="F99" s="3">
        <v>200</v>
      </c>
    </row>
    <row r="100" spans="1:6" s="44" customFormat="1" x14ac:dyDescent="0.2">
      <c r="A100" s="45" t="s">
        <v>514</v>
      </c>
      <c r="B100" s="45">
        <v>50</v>
      </c>
      <c r="C100" s="45" t="s">
        <v>603</v>
      </c>
      <c r="D100" s="42"/>
      <c r="E100" s="45">
        <v>360</v>
      </c>
      <c r="F100" s="3">
        <v>200</v>
      </c>
    </row>
    <row r="101" spans="1:6" s="44" customFormat="1" x14ac:dyDescent="0.2">
      <c r="A101" s="45" t="s">
        <v>514</v>
      </c>
      <c r="B101" s="45">
        <v>60</v>
      </c>
      <c r="C101" s="45" t="s">
        <v>607</v>
      </c>
      <c r="D101" s="42"/>
      <c r="E101" s="45">
        <v>540</v>
      </c>
      <c r="F101" s="3">
        <v>200</v>
      </c>
    </row>
    <row r="102" spans="1:6" s="44" customFormat="1" x14ac:dyDescent="0.2">
      <c r="A102" s="45" t="s">
        <v>514</v>
      </c>
      <c r="B102" s="45">
        <v>20</v>
      </c>
      <c r="C102" s="45" t="s">
        <v>610</v>
      </c>
      <c r="D102" s="42"/>
      <c r="E102" s="45">
        <v>120</v>
      </c>
      <c r="F102" s="3">
        <v>200</v>
      </c>
    </row>
    <row r="103" spans="1:6" s="44" customFormat="1" x14ac:dyDescent="0.2">
      <c r="A103" s="45" t="s">
        <v>514</v>
      </c>
      <c r="B103" s="45">
        <v>10</v>
      </c>
      <c r="C103" s="45" t="s">
        <v>616</v>
      </c>
      <c r="D103" s="42"/>
      <c r="E103" s="45">
        <v>0</v>
      </c>
      <c r="F103" s="3">
        <v>200</v>
      </c>
    </row>
    <row r="104" spans="1:6" s="44" customFormat="1" x14ac:dyDescent="0.2">
      <c r="A104" s="45" t="s">
        <v>514</v>
      </c>
      <c r="B104" s="45">
        <v>70</v>
      </c>
      <c r="C104" s="45" t="s">
        <v>617</v>
      </c>
      <c r="D104" s="42"/>
      <c r="E104" s="45">
        <v>0</v>
      </c>
      <c r="F104" s="3">
        <v>200</v>
      </c>
    </row>
    <row r="105" spans="1:6" s="44" customFormat="1" x14ac:dyDescent="0.2">
      <c r="A105" s="45" t="s">
        <v>515</v>
      </c>
      <c r="B105" s="45">
        <v>30</v>
      </c>
      <c r="C105" s="45" t="s">
        <v>584</v>
      </c>
      <c r="D105" s="42"/>
      <c r="E105" s="45">
        <v>600</v>
      </c>
      <c r="F105" s="3">
        <v>200</v>
      </c>
    </row>
    <row r="106" spans="1:6" s="44" customFormat="1" x14ac:dyDescent="0.2">
      <c r="A106" s="45" t="s">
        <v>515</v>
      </c>
      <c r="B106" s="45">
        <v>40</v>
      </c>
      <c r="C106" s="45" t="s">
        <v>594</v>
      </c>
      <c r="D106" s="42"/>
      <c r="E106" s="45">
        <v>540</v>
      </c>
      <c r="F106" s="3">
        <v>200</v>
      </c>
    </row>
    <row r="107" spans="1:6" s="44" customFormat="1" x14ac:dyDescent="0.2">
      <c r="A107" s="45" t="s">
        <v>515</v>
      </c>
      <c r="B107" s="45">
        <v>50</v>
      </c>
      <c r="C107" s="45" t="s">
        <v>603</v>
      </c>
      <c r="D107" s="42"/>
      <c r="E107" s="45">
        <v>420</v>
      </c>
      <c r="F107" s="3">
        <v>200</v>
      </c>
    </row>
    <row r="108" spans="1:6" s="44" customFormat="1" x14ac:dyDescent="0.2">
      <c r="A108" s="45" t="s">
        <v>515</v>
      </c>
      <c r="B108" s="45">
        <v>60</v>
      </c>
      <c r="C108" s="45" t="s">
        <v>607</v>
      </c>
      <c r="D108" s="42"/>
      <c r="E108" s="45">
        <v>480</v>
      </c>
      <c r="F108" s="3">
        <v>200</v>
      </c>
    </row>
    <row r="109" spans="1:6" s="44" customFormat="1" x14ac:dyDescent="0.2">
      <c r="A109" s="45" t="s">
        <v>515</v>
      </c>
      <c r="B109" s="45">
        <v>20</v>
      </c>
      <c r="C109" s="45" t="s">
        <v>610</v>
      </c>
      <c r="D109" s="42"/>
      <c r="E109" s="45">
        <v>120</v>
      </c>
      <c r="F109" s="3">
        <v>200</v>
      </c>
    </row>
    <row r="110" spans="1:6" s="44" customFormat="1" x14ac:dyDescent="0.2">
      <c r="A110" s="45" t="s">
        <v>515</v>
      </c>
      <c r="B110" s="45">
        <v>10</v>
      </c>
      <c r="C110" s="45" t="s">
        <v>616</v>
      </c>
      <c r="D110" s="42"/>
      <c r="E110" s="45">
        <v>0</v>
      </c>
      <c r="F110" s="3">
        <v>200</v>
      </c>
    </row>
    <row r="111" spans="1:6" s="44" customFormat="1" x14ac:dyDescent="0.2">
      <c r="A111" s="45" t="s">
        <v>515</v>
      </c>
      <c r="B111" s="45">
        <v>70</v>
      </c>
      <c r="C111" s="45" t="s">
        <v>617</v>
      </c>
      <c r="D111" s="42"/>
      <c r="E111" s="45">
        <v>0</v>
      </c>
      <c r="F111" s="3">
        <v>200</v>
      </c>
    </row>
    <row r="112" spans="1:6" s="44" customFormat="1" x14ac:dyDescent="0.2">
      <c r="A112" s="45" t="s">
        <v>516</v>
      </c>
      <c r="B112" s="45">
        <v>30</v>
      </c>
      <c r="C112" s="45" t="s">
        <v>584</v>
      </c>
      <c r="D112" s="42"/>
      <c r="E112" s="45">
        <v>600</v>
      </c>
      <c r="F112" s="3">
        <v>200</v>
      </c>
    </row>
    <row r="113" spans="1:6" s="44" customFormat="1" x14ac:dyDescent="0.2">
      <c r="A113" s="45" t="s">
        <v>516</v>
      </c>
      <c r="B113" s="45">
        <v>40</v>
      </c>
      <c r="C113" s="45" t="s">
        <v>595</v>
      </c>
      <c r="D113" s="42"/>
      <c r="E113" s="45">
        <v>1020</v>
      </c>
      <c r="F113" s="3">
        <v>200</v>
      </c>
    </row>
    <row r="114" spans="1:6" s="44" customFormat="1" x14ac:dyDescent="0.2">
      <c r="A114" s="45" t="s">
        <v>516</v>
      </c>
      <c r="B114" s="45">
        <v>50</v>
      </c>
      <c r="C114" s="45" t="s">
        <v>603</v>
      </c>
      <c r="D114" s="42"/>
      <c r="E114" s="45">
        <v>420</v>
      </c>
      <c r="F114" s="3">
        <v>200</v>
      </c>
    </row>
    <row r="115" spans="1:6" s="44" customFormat="1" x14ac:dyDescent="0.2">
      <c r="A115" s="45" t="s">
        <v>516</v>
      </c>
      <c r="B115" s="45">
        <v>60</v>
      </c>
      <c r="C115" s="45" t="s">
        <v>607</v>
      </c>
      <c r="D115" s="42"/>
      <c r="E115" s="45">
        <v>420</v>
      </c>
      <c r="F115" s="3">
        <v>200</v>
      </c>
    </row>
    <row r="116" spans="1:6" s="44" customFormat="1" x14ac:dyDescent="0.2">
      <c r="A116" s="45" t="s">
        <v>516</v>
      </c>
      <c r="B116" s="45">
        <v>20</v>
      </c>
      <c r="C116" s="45" t="s">
        <v>610</v>
      </c>
      <c r="D116" s="42"/>
      <c r="E116" s="45">
        <v>120</v>
      </c>
      <c r="F116" s="3">
        <v>200</v>
      </c>
    </row>
    <row r="117" spans="1:6" s="44" customFormat="1" x14ac:dyDescent="0.2">
      <c r="A117" s="45" t="s">
        <v>516</v>
      </c>
      <c r="B117" s="45">
        <v>10</v>
      </c>
      <c r="C117" s="45" t="s">
        <v>616</v>
      </c>
      <c r="D117" s="42"/>
      <c r="E117" s="45">
        <v>0</v>
      </c>
      <c r="F117" s="3">
        <v>200</v>
      </c>
    </row>
    <row r="118" spans="1:6" s="44" customFormat="1" x14ac:dyDescent="0.2">
      <c r="A118" s="45" t="s">
        <v>516</v>
      </c>
      <c r="B118" s="45">
        <v>70</v>
      </c>
      <c r="C118" s="45" t="s">
        <v>617</v>
      </c>
      <c r="D118" s="42"/>
      <c r="E118" s="45">
        <v>0</v>
      </c>
      <c r="F118" s="3">
        <v>200</v>
      </c>
    </row>
    <row r="119" spans="1:6" s="44" customFormat="1" x14ac:dyDescent="0.2">
      <c r="A119" s="45" t="s">
        <v>517</v>
      </c>
      <c r="B119" s="45">
        <v>30</v>
      </c>
      <c r="C119" s="45" t="s">
        <v>586</v>
      </c>
      <c r="D119" s="42"/>
      <c r="E119" s="45">
        <v>540</v>
      </c>
      <c r="F119" s="3">
        <v>200</v>
      </c>
    </row>
    <row r="120" spans="1:6" s="44" customFormat="1" x14ac:dyDescent="0.2">
      <c r="A120" s="45" t="s">
        <v>517</v>
      </c>
      <c r="B120" s="45">
        <v>40</v>
      </c>
      <c r="C120" s="45" t="s">
        <v>595</v>
      </c>
      <c r="D120" s="42"/>
      <c r="E120" s="45">
        <v>480</v>
      </c>
      <c r="F120" s="3">
        <v>200</v>
      </c>
    </row>
    <row r="121" spans="1:6" s="44" customFormat="1" x14ac:dyDescent="0.2">
      <c r="A121" s="45" t="s">
        <v>517</v>
      </c>
      <c r="B121" s="45">
        <v>50</v>
      </c>
      <c r="C121" s="45" t="s">
        <v>603</v>
      </c>
      <c r="D121" s="42"/>
      <c r="E121" s="45">
        <v>360</v>
      </c>
      <c r="F121" s="3">
        <v>200</v>
      </c>
    </row>
    <row r="122" spans="1:6" s="44" customFormat="1" x14ac:dyDescent="0.2">
      <c r="A122" s="45" t="s">
        <v>517</v>
      </c>
      <c r="B122" s="45">
        <v>60</v>
      </c>
      <c r="C122" s="45" t="s">
        <v>607</v>
      </c>
      <c r="D122" s="42"/>
      <c r="E122" s="45">
        <v>480</v>
      </c>
      <c r="F122" s="3">
        <v>200</v>
      </c>
    </row>
    <row r="123" spans="1:6" s="44" customFormat="1" x14ac:dyDescent="0.2">
      <c r="A123" s="45" t="s">
        <v>517</v>
      </c>
      <c r="B123" s="45">
        <v>20</v>
      </c>
      <c r="C123" s="45" t="s">
        <v>610</v>
      </c>
      <c r="D123" s="42"/>
      <c r="E123" s="45">
        <v>120</v>
      </c>
      <c r="F123" s="3">
        <v>200</v>
      </c>
    </row>
    <row r="124" spans="1:6" s="44" customFormat="1" x14ac:dyDescent="0.2">
      <c r="A124" s="45" t="s">
        <v>517</v>
      </c>
      <c r="B124" s="45">
        <v>10</v>
      </c>
      <c r="C124" s="45" t="s">
        <v>616</v>
      </c>
      <c r="D124" s="42"/>
      <c r="E124" s="45">
        <v>0</v>
      </c>
      <c r="F124" s="3">
        <v>200</v>
      </c>
    </row>
    <row r="125" spans="1:6" s="44" customFormat="1" x14ac:dyDescent="0.2">
      <c r="A125" s="45" t="s">
        <v>517</v>
      </c>
      <c r="B125" s="45">
        <v>70</v>
      </c>
      <c r="C125" s="45" t="s">
        <v>617</v>
      </c>
      <c r="D125" s="42"/>
      <c r="E125" s="45">
        <v>0</v>
      </c>
      <c r="F125" s="3">
        <v>200</v>
      </c>
    </row>
    <row r="126" spans="1:6" s="44" customFormat="1" x14ac:dyDescent="0.2">
      <c r="A126" s="45" t="s">
        <v>518</v>
      </c>
      <c r="B126" s="45">
        <v>30</v>
      </c>
      <c r="C126" s="45" t="s">
        <v>577</v>
      </c>
      <c r="D126" s="42"/>
      <c r="E126" s="45">
        <v>780</v>
      </c>
      <c r="F126" s="3">
        <v>200</v>
      </c>
    </row>
    <row r="127" spans="1:6" s="44" customFormat="1" x14ac:dyDescent="0.2">
      <c r="A127" s="45" t="s">
        <v>518</v>
      </c>
      <c r="B127" s="45">
        <v>40</v>
      </c>
      <c r="C127" s="45" t="s">
        <v>595</v>
      </c>
      <c r="D127" s="42"/>
      <c r="E127" s="45">
        <v>480</v>
      </c>
      <c r="F127" s="3">
        <v>200</v>
      </c>
    </row>
    <row r="128" spans="1:6" s="44" customFormat="1" x14ac:dyDescent="0.2">
      <c r="A128" s="45" t="s">
        <v>518</v>
      </c>
      <c r="B128" s="45">
        <v>50</v>
      </c>
      <c r="C128" s="45" t="s">
        <v>602</v>
      </c>
      <c r="D128" s="42"/>
      <c r="E128" s="45">
        <v>420</v>
      </c>
      <c r="F128" s="3">
        <v>200</v>
      </c>
    </row>
    <row r="129" spans="1:6" s="44" customFormat="1" x14ac:dyDescent="0.2">
      <c r="A129" s="45" t="s">
        <v>518</v>
      </c>
      <c r="B129" s="45">
        <v>60</v>
      </c>
      <c r="C129" s="45" t="s">
        <v>607</v>
      </c>
      <c r="D129" s="42"/>
      <c r="E129" s="45">
        <v>600</v>
      </c>
      <c r="F129" s="3">
        <v>200</v>
      </c>
    </row>
    <row r="130" spans="1:6" s="44" customFormat="1" x14ac:dyDescent="0.2">
      <c r="A130" s="45" t="s">
        <v>518</v>
      </c>
      <c r="B130" s="45">
        <v>20</v>
      </c>
      <c r="C130" s="45" t="s">
        <v>610</v>
      </c>
      <c r="D130" s="42"/>
      <c r="E130" s="45">
        <v>120</v>
      </c>
      <c r="F130" s="3">
        <v>200</v>
      </c>
    </row>
    <row r="131" spans="1:6" s="44" customFormat="1" x14ac:dyDescent="0.2">
      <c r="A131" s="45" t="s">
        <v>518</v>
      </c>
      <c r="B131" s="45">
        <v>10</v>
      </c>
      <c r="C131" s="45" t="s">
        <v>616</v>
      </c>
      <c r="D131" s="42"/>
      <c r="E131" s="45">
        <v>0</v>
      </c>
      <c r="F131" s="3">
        <v>200</v>
      </c>
    </row>
    <row r="132" spans="1:6" s="44" customFormat="1" x14ac:dyDescent="0.2">
      <c r="A132" s="45" t="s">
        <v>518</v>
      </c>
      <c r="B132" s="45">
        <v>70</v>
      </c>
      <c r="C132" s="45" t="s">
        <v>617</v>
      </c>
      <c r="D132" s="42"/>
      <c r="E132" s="45">
        <v>0</v>
      </c>
      <c r="F132" s="3">
        <v>200</v>
      </c>
    </row>
    <row r="133" spans="1:6" s="44" customFormat="1" x14ac:dyDescent="0.2">
      <c r="A133" s="45" t="s">
        <v>519</v>
      </c>
      <c r="B133" s="45">
        <v>30</v>
      </c>
      <c r="C133" s="45" t="s">
        <v>577</v>
      </c>
      <c r="D133" s="42"/>
      <c r="E133" s="45">
        <v>780</v>
      </c>
      <c r="F133" s="3">
        <v>200</v>
      </c>
    </row>
    <row r="134" spans="1:6" s="44" customFormat="1" x14ac:dyDescent="0.2">
      <c r="A134" s="45" t="s">
        <v>519</v>
      </c>
      <c r="B134" s="45">
        <v>40</v>
      </c>
      <c r="C134" s="45" t="s">
        <v>596</v>
      </c>
      <c r="D134" s="42"/>
      <c r="E134" s="45">
        <v>840</v>
      </c>
      <c r="F134" s="3">
        <v>200</v>
      </c>
    </row>
    <row r="135" spans="1:6" s="44" customFormat="1" x14ac:dyDescent="0.2">
      <c r="A135" s="45" t="s">
        <v>519</v>
      </c>
      <c r="B135" s="45">
        <v>50</v>
      </c>
      <c r="C135" s="45" t="s">
        <v>603</v>
      </c>
      <c r="D135" s="42"/>
      <c r="E135" s="45">
        <v>360</v>
      </c>
      <c r="F135" s="3">
        <v>200</v>
      </c>
    </row>
    <row r="136" spans="1:6" s="44" customFormat="1" x14ac:dyDescent="0.2">
      <c r="A136" s="45" t="s">
        <v>519</v>
      </c>
      <c r="B136" s="45">
        <v>60</v>
      </c>
      <c r="C136" s="45" t="s">
        <v>608</v>
      </c>
      <c r="D136" s="42"/>
      <c r="E136" s="45">
        <v>720</v>
      </c>
      <c r="F136" s="3">
        <v>200</v>
      </c>
    </row>
    <row r="137" spans="1:6" s="44" customFormat="1" x14ac:dyDescent="0.2">
      <c r="A137" s="45" t="s">
        <v>519</v>
      </c>
      <c r="B137" s="45">
        <v>20</v>
      </c>
      <c r="C137" s="45" t="s">
        <v>610</v>
      </c>
      <c r="D137" s="42"/>
      <c r="E137" s="45">
        <v>180</v>
      </c>
      <c r="F137" s="3">
        <v>200</v>
      </c>
    </row>
    <row r="138" spans="1:6" s="44" customFormat="1" x14ac:dyDescent="0.2">
      <c r="A138" s="45" t="s">
        <v>519</v>
      </c>
      <c r="B138" s="45">
        <v>10</v>
      </c>
      <c r="C138" s="45" t="s">
        <v>616</v>
      </c>
      <c r="D138" s="42"/>
      <c r="E138" s="45">
        <v>0</v>
      </c>
      <c r="F138" s="3">
        <v>200</v>
      </c>
    </row>
    <row r="139" spans="1:6" s="44" customFormat="1" x14ac:dyDescent="0.2">
      <c r="A139" s="45" t="s">
        <v>519</v>
      </c>
      <c r="B139" s="45">
        <v>70</v>
      </c>
      <c r="C139" s="45" t="s">
        <v>617</v>
      </c>
      <c r="D139" s="42"/>
      <c r="E139" s="45">
        <v>0</v>
      </c>
      <c r="F139" s="3">
        <v>200</v>
      </c>
    </row>
    <row r="140" spans="1:6" s="44" customFormat="1" x14ac:dyDescent="0.2">
      <c r="A140" s="45" t="s">
        <v>520</v>
      </c>
      <c r="B140" s="45">
        <v>30</v>
      </c>
      <c r="C140" s="45" t="s">
        <v>578</v>
      </c>
      <c r="D140" s="42"/>
      <c r="E140" s="45">
        <v>960</v>
      </c>
      <c r="F140" s="3">
        <v>200</v>
      </c>
    </row>
    <row r="141" spans="1:6" s="44" customFormat="1" x14ac:dyDescent="0.2">
      <c r="A141" s="45" t="s">
        <v>520</v>
      </c>
      <c r="B141" s="45">
        <v>40</v>
      </c>
      <c r="C141" s="45" t="s">
        <v>595</v>
      </c>
      <c r="D141" s="42"/>
      <c r="E141" s="45">
        <v>720</v>
      </c>
      <c r="F141" s="3">
        <v>200</v>
      </c>
    </row>
    <row r="142" spans="1:6" s="44" customFormat="1" x14ac:dyDescent="0.2">
      <c r="A142" s="45" t="s">
        <v>520</v>
      </c>
      <c r="B142" s="45">
        <v>50</v>
      </c>
      <c r="C142" s="45" t="s">
        <v>603</v>
      </c>
      <c r="D142" s="42"/>
      <c r="E142" s="45">
        <v>360</v>
      </c>
      <c r="F142" s="3">
        <v>200</v>
      </c>
    </row>
    <row r="143" spans="1:6" s="44" customFormat="1" x14ac:dyDescent="0.2">
      <c r="A143" s="45" t="s">
        <v>520</v>
      </c>
      <c r="B143" s="45">
        <v>60</v>
      </c>
      <c r="C143" s="45" t="s">
        <v>607</v>
      </c>
      <c r="D143" s="42"/>
      <c r="E143" s="45">
        <v>660</v>
      </c>
      <c r="F143" s="3">
        <v>200</v>
      </c>
    </row>
    <row r="144" spans="1:6" s="44" customFormat="1" x14ac:dyDescent="0.2">
      <c r="A144" s="45" t="s">
        <v>520</v>
      </c>
      <c r="B144" s="45">
        <v>20</v>
      </c>
      <c r="C144" s="45" t="s">
        <v>611</v>
      </c>
      <c r="D144" s="42"/>
      <c r="E144" s="45">
        <v>180</v>
      </c>
      <c r="F144" s="3">
        <v>200</v>
      </c>
    </row>
    <row r="145" spans="1:6" s="44" customFormat="1" x14ac:dyDescent="0.2">
      <c r="A145" s="45" t="s">
        <v>520</v>
      </c>
      <c r="B145" s="45">
        <v>10</v>
      </c>
      <c r="C145" s="45" t="s">
        <v>616</v>
      </c>
      <c r="D145" s="42"/>
      <c r="E145" s="45">
        <v>0</v>
      </c>
      <c r="F145" s="3">
        <v>200</v>
      </c>
    </row>
    <row r="146" spans="1:6" s="44" customFormat="1" x14ac:dyDescent="0.2">
      <c r="A146" s="45" t="s">
        <v>520</v>
      </c>
      <c r="B146" s="45">
        <v>70</v>
      </c>
      <c r="C146" s="45" t="s">
        <v>617</v>
      </c>
      <c r="D146" s="42"/>
      <c r="E146" s="45">
        <v>0</v>
      </c>
      <c r="F146" s="3">
        <v>200</v>
      </c>
    </row>
    <row r="147" spans="1:6" s="44" customFormat="1" x14ac:dyDescent="0.2">
      <c r="A147" s="45" t="s">
        <v>521</v>
      </c>
      <c r="B147" s="45">
        <v>30</v>
      </c>
      <c r="C147" s="45" t="s">
        <v>577</v>
      </c>
      <c r="D147" s="42"/>
      <c r="E147" s="45">
        <v>780</v>
      </c>
      <c r="F147" s="3">
        <v>200</v>
      </c>
    </row>
    <row r="148" spans="1:6" s="44" customFormat="1" x14ac:dyDescent="0.2">
      <c r="A148" s="45" t="s">
        <v>521</v>
      </c>
      <c r="B148" s="45">
        <v>40</v>
      </c>
      <c r="C148" s="45" t="s">
        <v>597</v>
      </c>
      <c r="D148" s="42"/>
      <c r="E148" s="45">
        <v>720</v>
      </c>
      <c r="F148" s="3">
        <v>200</v>
      </c>
    </row>
    <row r="149" spans="1:6" s="44" customFormat="1" x14ac:dyDescent="0.2">
      <c r="A149" s="45" t="s">
        <v>521</v>
      </c>
      <c r="B149" s="45">
        <v>50</v>
      </c>
      <c r="C149" s="45" t="s">
        <v>603</v>
      </c>
      <c r="D149" s="42"/>
      <c r="E149" s="45">
        <v>420</v>
      </c>
      <c r="F149" s="3">
        <v>200</v>
      </c>
    </row>
    <row r="150" spans="1:6" s="44" customFormat="1" x14ac:dyDescent="0.2">
      <c r="A150" s="45" t="s">
        <v>521</v>
      </c>
      <c r="B150" s="45">
        <v>60</v>
      </c>
      <c r="C150" s="45" t="s">
        <v>608</v>
      </c>
      <c r="D150" s="42"/>
      <c r="E150" s="45">
        <v>720</v>
      </c>
      <c r="F150" s="3">
        <v>200</v>
      </c>
    </row>
    <row r="151" spans="1:6" s="44" customFormat="1" x14ac:dyDescent="0.2">
      <c r="A151" s="45" t="s">
        <v>521</v>
      </c>
      <c r="B151" s="45">
        <v>20</v>
      </c>
      <c r="C151" s="45" t="s">
        <v>611</v>
      </c>
      <c r="D151" s="42"/>
      <c r="E151" s="45">
        <v>180</v>
      </c>
      <c r="F151" s="3">
        <v>200</v>
      </c>
    </row>
    <row r="152" spans="1:6" s="44" customFormat="1" x14ac:dyDescent="0.2">
      <c r="A152" s="45" t="s">
        <v>521</v>
      </c>
      <c r="B152" s="45">
        <v>70</v>
      </c>
      <c r="C152" s="45" t="s">
        <v>615</v>
      </c>
      <c r="D152" s="42"/>
      <c r="E152" s="45">
        <v>300</v>
      </c>
      <c r="F152" s="3">
        <v>200</v>
      </c>
    </row>
    <row r="153" spans="1:6" s="44" customFormat="1" x14ac:dyDescent="0.2">
      <c r="A153" s="45" t="s">
        <v>521</v>
      </c>
      <c r="B153" s="45">
        <v>10</v>
      </c>
      <c r="C153" s="45" t="s">
        <v>616</v>
      </c>
      <c r="D153" s="42"/>
      <c r="E153" s="45">
        <v>0</v>
      </c>
      <c r="F153" s="3">
        <v>200</v>
      </c>
    </row>
    <row r="154" spans="1:6" s="44" customFormat="1" x14ac:dyDescent="0.2">
      <c r="A154" s="45" t="s">
        <v>521</v>
      </c>
      <c r="B154" s="45">
        <v>80</v>
      </c>
      <c r="C154" s="45" t="s">
        <v>617</v>
      </c>
      <c r="D154" s="42"/>
      <c r="E154" s="45">
        <v>0</v>
      </c>
      <c r="F154" s="3">
        <v>200</v>
      </c>
    </row>
    <row r="155" spans="1:6" s="44" customFormat="1" x14ac:dyDescent="0.2">
      <c r="A155" s="45" t="s">
        <v>522</v>
      </c>
      <c r="B155" s="45">
        <v>30</v>
      </c>
      <c r="C155" s="45" t="s">
        <v>578</v>
      </c>
      <c r="D155" s="42"/>
      <c r="E155" s="45">
        <v>900</v>
      </c>
      <c r="F155" s="3">
        <v>200</v>
      </c>
    </row>
    <row r="156" spans="1:6" s="44" customFormat="1" x14ac:dyDescent="0.2">
      <c r="A156" s="45" t="s">
        <v>522</v>
      </c>
      <c r="B156" s="45">
        <v>40</v>
      </c>
      <c r="C156" s="45" t="s">
        <v>595</v>
      </c>
      <c r="D156" s="42"/>
      <c r="E156" s="45">
        <v>480</v>
      </c>
      <c r="F156" s="3">
        <v>200</v>
      </c>
    </row>
    <row r="157" spans="1:6" s="44" customFormat="1" x14ac:dyDescent="0.2">
      <c r="A157" s="45" t="s">
        <v>522</v>
      </c>
      <c r="B157" s="45">
        <v>50</v>
      </c>
      <c r="C157" s="45" t="s">
        <v>598</v>
      </c>
      <c r="D157" s="42"/>
      <c r="E157" s="45">
        <v>360</v>
      </c>
      <c r="F157" s="3">
        <v>200</v>
      </c>
    </row>
    <row r="158" spans="1:6" s="44" customFormat="1" x14ac:dyDescent="0.2">
      <c r="A158" s="45" t="s">
        <v>522</v>
      </c>
      <c r="B158" s="45">
        <v>60</v>
      </c>
      <c r="C158" s="45" t="s">
        <v>609</v>
      </c>
      <c r="D158" s="42"/>
      <c r="E158" s="45">
        <v>720</v>
      </c>
      <c r="F158" s="3">
        <v>200</v>
      </c>
    </row>
    <row r="159" spans="1:6" s="44" customFormat="1" x14ac:dyDescent="0.2">
      <c r="A159" s="45" t="s">
        <v>522</v>
      </c>
      <c r="B159" s="45">
        <v>20</v>
      </c>
      <c r="C159" s="45" t="s">
        <v>611</v>
      </c>
      <c r="D159" s="42"/>
      <c r="E159" s="45">
        <v>240</v>
      </c>
      <c r="F159" s="3">
        <v>200</v>
      </c>
    </row>
    <row r="160" spans="1:6" s="44" customFormat="1" x14ac:dyDescent="0.2">
      <c r="A160" s="45" t="s">
        <v>522</v>
      </c>
      <c r="B160" s="45">
        <v>70</v>
      </c>
      <c r="C160" s="45" t="s">
        <v>615</v>
      </c>
      <c r="D160" s="42"/>
      <c r="E160" s="45">
        <v>300</v>
      </c>
      <c r="F160" s="3">
        <v>200</v>
      </c>
    </row>
    <row r="161" spans="1:6" s="44" customFormat="1" x14ac:dyDescent="0.2">
      <c r="A161" s="45" t="s">
        <v>522</v>
      </c>
      <c r="B161" s="45">
        <v>10</v>
      </c>
      <c r="C161" s="45" t="s">
        <v>616</v>
      </c>
      <c r="D161" s="42"/>
      <c r="E161" s="45">
        <v>0</v>
      </c>
      <c r="F161" s="3">
        <v>200</v>
      </c>
    </row>
    <row r="162" spans="1:6" s="44" customFormat="1" x14ac:dyDescent="0.2">
      <c r="A162" s="45" t="s">
        <v>522</v>
      </c>
      <c r="B162" s="45">
        <v>80</v>
      </c>
      <c r="C162" s="45" t="s">
        <v>617</v>
      </c>
      <c r="D162" s="42"/>
      <c r="E162" s="45">
        <v>0</v>
      </c>
      <c r="F162" s="3">
        <v>200</v>
      </c>
    </row>
    <row r="163" spans="1:6" s="44" customFormat="1" x14ac:dyDescent="0.2">
      <c r="A163" s="45" t="s">
        <v>523</v>
      </c>
      <c r="B163" s="45">
        <v>30</v>
      </c>
      <c r="C163" s="45" t="s">
        <v>588</v>
      </c>
      <c r="D163" s="42"/>
      <c r="E163" s="45">
        <v>240</v>
      </c>
      <c r="F163" s="3">
        <v>200</v>
      </c>
    </row>
    <row r="164" spans="1:6" s="44" customFormat="1" x14ac:dyDescent="0.2">
      <c r="A164" s="45" t="s">
        <v>523</v>
      </c>
      <c r="B164" s="45">
        <v>40</v>
      </c>
      <c r="C164" s="45" t="s">
        <v>601</v>
      </c>
      <c r="D164" s="42"/>
      <c r="E164" s="45">
        <v>300</v>
      </c>
      <c r="F164" s="3">
        <v>200</v>
      </c>
    </row>
    <row r="165" spans="1:6" s="44" customFormat="1" x14ac:dyDescent="0.2">
      <c r="A165" s="45" t="s">
        <v>523</v>
      </c>
      <c r="B165" s="45">
        <v>20</v>
      </c>
      <c r="C165" s="45" t="s">
        <v>614</v>
      </c>
      <c r="D165" s="42"/>
      <c r="E165" s="45">
        <v>60</v>
      </c>
      <c r="F165" s="3">
        <v>200</v>
      </c>
    </row>
    <row r="166" spans="1:6" s="44" customFormat="1" x14ac:dyDescent="0.2">
      <c r="A166" s="45" t="s">
        <v>523</v>
      </c>
      <c r="B166" s="45">
        <v>10</v>
      </c>
      <c r="C166" s="45" t="s">
        <v>616</v>
      </c>
      <c r="D166" s="42"/>
      <c r="E166" s="45">
        <v>0</v>
      </c>
      <c r="F166" s="3">
        <v>200</v>
      </c>
    </row>
    <row r="167" spans="1:6" s="44" customFormat="1" x14ac:dyDescent="0.2">
      <c r="A167" s="45" t="s">
        <v>523</v>
      </c>
      <c r="B167" s="45">
        <v>50</v>
      </c>
      <c r="C167" s="45" t="s">
        <v>617</v>
      </c>
      <c r="D167" s="42"/>
      <c r="E167" s="45">
        <v>0</v>
      </c>
      <c r="F167" s="3">
        <v>200</v>
      </c>
    </row>
    <row r="168" spans="1:6" s="44" customFormat="1" x14ac:dyDescent="0.2">
      <c r="A168" s="45" t="s">
        <v>524</v>
      </c>
      <c r="B168" s="45">
        <v>30</v>
      </c>
      <c r="C168" s="45" t="s">
        <v>588</v>
      </c>
      <c r="D168" s="42"/>
      <c r="E168" s="45">
        <v>360</v>
      </c>
      <c r="F168" s="3">
        <v>200</v>
      </c>
    </row>
    <row r="169" spans="1:6" s="44" customFormat="1" x14ac:dyDescent="0.2">
      <c r="A169" s="45" t="s">
        <v>524</v>
      </c>
      <c r="B169" s="45">
        <v>40</v>
      </c>
      <c r="C169" s="45" t="s">
        <v>601</v>
      </c>
      <c r="D169" s="42"/>
      <c r="E169" s="45">
        <v>300</v>
      </c>
      <c r="F169" s="3">
        <v>200</v>
      </c>
    </row>
    <row r="170" spans="1:6" s="44" customFormat="1" x14ac:dyDescent="0.2">
      <c r="A170" s="45" t="s">
        <v>524</v>
      </c>
      <c r="B170" s="45">
        <v>20</v>
      </c>
      <c r="C170" s="45" t="s">
        <v>614</v>
      </c>
      <c r="D170" s="42"/>
      <c r="E170" s="45">
        <v>60</v>
      </c>
      <c r="F170" s="3">
        <v>200</v>
      </c>
    </row>
    <row r="171" spans="1:6" s="44" customFormat="1" x14ac:dyDescent="0.2">
      <c r="A171" s="45" t="s">
        <v>524</v>
      </c>
      <c r="B171" s="45">
        <v>10</v>
      </c>
      <c r="C171" s="45" t="s">
        <v>616</v>
      </c>
      <c r="D171" s="42"/>
      <c r="E171" s="45">
        <v>0</v>
      </c>
      <c r="F171" s="3">
        <v>200</v>
      </c>
    </row>
    <row r="172" spans="1:6" s="44" customFormat="1" x14ac:dyDescent="0.2">
      <c r="A172" s="45" t="s">
        <v>524</v>
      </c>
      <c r="B172" s="45">
        <v>50</v>
      </c>
      <c r="C172" s="45" t="s">
        <v>617</v>
      </c>
      <c r="D172" s="42"/>
      <c r="E172" s="45">
        <v>0</v>
      </c>
      <c r="F172" s="3">
        <v>200</v>
      </c>
    </row>
    <row r="173" spans="1:6" s="44" customFormat="1" x14ac:dyDescent="0.2">
      <c r="A173" s="45" t="s">
        <v>525</v>
      </c>
      <c r="B173" s="45">
        <v>30</v>
      </c>
      <c r="C173" s="45" t="s">
        <v>588</v>
      </c>
      <c r="D173" s="42"/>
      <c r="E173" s="45">
        <v>240</v>
      </c>
      <c r="F173" s="3">
        <v>200</v>
      </c>
    </row>
    <row r="174" spans="1:6" s="44" customFormat="1" x14ac:dyDescent="0.2">
      <c r="A174" s="45" t="s">
        <v>525</v>
      </c>
      <c r="B174" s="45">
        <v>40</v>
      </c>
      <c r="C174" s="45" t="s">
        <v>602</v>
      </c>
      <c r="D174" s="42"/>
      <c r="E174" s="45">
        <v>300</v>
      </c>
      <c r="F174" s="3">
        <v>200</v>
      </c>
    </row>
    <row r="175" spans="1:6" s="44" customFormat="1" x14ac:dyDescent="0.2">
      <c r="A175" s="45" t="s">
        <v>525</v>
      </c>
      <c r="B175" s="45">
        <v>20</v>
      </c>
      <c r="C175" s="45" t="s">
        <v>614</v>
      </c>
      <c r="D175" s="42"/>
      <c r="E175" s="45">
        <v>60</v>
      </c>
      <c r="F175" s="3">
        <v>200</v>
      </c>
    </row>
    <row r="176" spans="1:6" s="44" customFormat="1" x14ac:dyDescent="0.2">
      <c r="A176" s="45" t="s">
        <v>525</v>
      </c>
      <c r="B176" s="45">
        <v>10</v>
      </c>
      <c r="C176" s="45" t="s">
        <v>616</v>
      </c>
      <c r="D176" s="42"/>
      <c r="E176" s="45">
        <v>0</v>
      </c>
      <c r="F176" s="3">
        <v>200</v>
      </c>
    </row>
    <row r="177" spans="1:6" s="44" customFormat="1" x14ac:dyDescent="0.2">
      <c r="A177" s="45" t="s">
        <v>525</v>
      </c>
      <c r="B177" s="45">
        <v>50</v>
      </c>
      <c r="C177" s="45" t="s">
        <v>617</v>
      </c>
      <c r="D177" s="42"/>
      <c r="E177" s="45">
        <v>0</v>
      </c>
      <c r="F177" s="3">
        <v>200</v>
      </c>
    </row>
    <row r="178" spans="1:6" s="44" customFormat="1" x14ac:dyDescent="0.2">
      <c r="A178" s="45" t="s">
        <v>526</v>
      </c>
      <c r="B178" s="45">
        <v>30</v>
      </c>
      <c r="C178" s="45" t="s">
        <v>588</v>
      </c>
      <c r="D178" s="42"/>
      <c r="E178" s="45">
        <v>300</v>
      </c>
      <c r="F178" s="3">
        <v>200</v>
      </c>
    </row>
    <row r="179" spans="1:6" s="44" customFormat="1" x14ac:dyDescent="0.2">
      <c r="A179" s="45" t="s">
        <v>526</v>
      </c>
      <c r="B179" s="45">
        <v>40</v>
      </c>
      <c r="C179" s="45" t="s">
        <v>602</v>
      </c>
      <c r="D179" s="42"/>
      <c r="E179" s="45">
        <v>300</v>
      </c>
      <c r="F179" s="3">
        <v>200</v>
      </c>
    </row>
    <row r="180" spans="1:6" s="44" customFormat="1" x14ac:dyDescent="0.2">
      <c r="A180" s="45" t="s">
        <v>526</v>
      </c>
      <c r="B180" s="45">
        <v>20</v>
      </c>
      <c r="C180" s="45" t="s">
        <v>614</v>
      </c>
      <c r="D180" s="42"/>
      <c r="E180" s="45">
        <v>60</v>
      </c>
      <c r="F180" s="3">
        <v>200</v>
      </c>
    </row>
    <row r="181" spans="1:6" s="44" customFormat="1" x14ac:dyDescent="0.2">
      <c r="A181" s="45" t="s">
        <v>526</v>
      </c>
      <c r="B181" s="45">
        <v>10</v>
      </c>
      <c r="C181" s="45" t="s">
        <v>616</v>
      </c>
      <c r="D181" s="42"/>
      <c r="E181" s="45">
        <v>0</v>
      </c>
      <c r="F181" s="3">
        <v>200</v>
      </c>
    </row>
    <row r="182" spans="1:6" s="44" customFormat="1" x14ac:dyDescent="0.2">
      <c r="A182" s="45" t="s">
        <v>526</v>
      </c>
      <c r="B182" s="45">
        <v>50</v>
      </c>
      <c r="C182" s="45" t="s">
        <v>617</v>
      </c>
      <c r="D182" s="42"/>
      <c r="E182" s="45">
        <v>0</v>
      </c>
      <c r="F182" s="3">
        <v>200</v>
      </c>
    </row>
    <row r="183" spans="1:6" s="44" customFormat="1" x14ac:dyDescent="0.2">
      <c r="A183" s="45" t="s">
        <v>527</v>
      </c>
      <c r="B183" s="45">
        <v>30</v>
      </c>
      <c r="C183" s="45" t="s">
        <v>588</v>
      </c>
      <c r="D183" s="42"/>
      <c r="E183" s="45">
        <v>300</v>
      </c>
      <c r="F183" s="3">
        <v>200</v>
      </c>
    </row>
    <row r="184" spans="1:6" s="44" customFormat="1" x14ac:dyDescent="0.2">
      <c r="A184" s="45" t="s">
        <v>527</v>
      </c>
      <c r="B184" s="45">
        <v>40</v>
      </c>
      <c r="C184" s="45" t="s">
        <v>602</v>
      </c>
      <c r="D184" s="42"/>
      <c r="E184" s="45">
        <v>360</v>
      </c>
      <c r="F184" s="3">
        <v>200</v>
      </c>
    </row>
    <row r="185" spans="1:6" s="44" customFormat="1" x14ac:dyDescent="0.2">
      <c r="A185" s="45" t="s">
        <v>527</v>
      </c>
      <c r="B185" s="45">
        <v>20</v>
      </c>
      <c r="C185" s="45" t="s">
        <v>614</v>
      </c>
      <c r="D185" s="42"/>
      <c r="E185" s="45">
        <v>120</v>
      </c>
      <c r="F185" s="3">
        <v>200</v>
      </c>
    </row>
    <row r="186" spans="1:6" s="44" customFormat="1" x14ac:dyDescent="0.2">
      <c r="A186" s="45" t="s">
        <v>527</v>
      </c>
      <c r="B186" s="45">
        <v>10</v>
      </c>
      <c r="C186" s="45" t="s">
        <v>616</v>
      </c>
      <c r="D186" s="42"/>
      <c r="E186" s="45">
        <v>0</v>
      </c>
      <c r="F186" s="3">
        <v>200</v>
      </c>
    </row>
    <row r="187" spans="1:6" s="44" customFormat="1" x14ac:dyDescent="0.2">
      <c r="A187" s="45" t="s">
        <v>527</v>
      </c>
      <c r="B187" s="45">
        <v>50</v>
      </c>
      <c r="C187" s="45" t="s">
        <v>617</v>
      </c>
      <c r="D187" s="42"/>
      <c r="E187" s="45">
        <v>0</v>
      </c>
      <c r="F187" s="3">
        <v>200</v>
      </c>
    </row>
    <row r="188" spans="1:6" s="44" customFormat="1" x14ac:dyDescent="0.2">
      <c r="A188" s="45" t="s">
        <v>528</v>
      </c>
      <c r="B188" s="45">
        <v>30</v>
      </c>
      <c r="C188" s="45" t="s">
        <v>588</v>
      </c>
      <c r="D188" s="42"/>
      <c r="E188" s="45">
        <v>360</v>
      </c>
      <c r="F188" s="3">
        <v>200</v>
      </c>
    </row>
    <row r="189" spans="1:6" s="44" customFormat="1" x14ac:dyDescent="0.2">
      <c r="A189" s="45" t="s">
        <v>528</v>
      </c>
      <c r="B189" s="45">
        <v>50</v>
      </c>
      <c r="C189" s="45" t="s">
        <v>598</v>
      </c>
      <c r="D189" s="42"/>
      <c r="E189" s="45">
        <v>780</v>
      </c>
      <c r="F189" s="3">
        <v>200</v>
      </c>
    </row>
    <row r="190" spans="1:6" s="44" customFormat="1" x14ac:dyDescent="0.2">
      <c r="A190" s="45" t="s">
        <v>528</v>
      </c>
      <c r="B190" s="45">
        <v>40</v>
      </c>
      <c r="C190" s="45" t="s">
        <v>602</v>
      </c>
      <c r="D190" s="42"/>
      <c r="E190" s="45">
        <v>360</v>
      </c>
      <c r="F190" s="3">
        <v>200</v>
      </c>
    </row>
    <row r="191" spans="1:6" s="44" customFormat="1" x14ac:dyDescent="0.2">
      <c r="A191" s="45" t="s">
        <v>528</v>
      </c>
      <c r="B191" s="45">
        <v>20</v>
      </c>
      <c r="C191" s="45" t="s">
        <v>614</v>
      </c>
      <c r="D191" s="42"/>
      <c r="E191" s="45">
        <v>60</v>
      </c>
      <c r="F191" s="3">
        <v>200</v>
      </c>
    </row>
    <row r="192" spans="1:6" s="44" customFormat="1" x14ac:dyDescent="0.2">
      <c r="A192" s="45" t="s">
        <v>528</v>
      </c>
      <c r="B192" s="45">
        <v>10</v>
      </c>
      <c r="C192" s="45" t="s">
        <v>616</v>
      </c>
      <c r="D192" s="42"/>
      <c r="E192" s="45">
        <v>0</v>
      </c>
      <c r="F192" s="3">
        <v>200</v>
      </c>
    </row>
    <row r="193" spans="1:6" s="44" customFormat="1" x14ac:dyDescent="0.2">
      <c r="A193" s="45" t="s">
        <v>528</v>
      </c>
      <c r="B193" s="45">
        <v>60</v>
      </c>
      <c r="C193" s="45" t="s">
        <v>617</v>
      </c>
      <c r="D193" s="42"/>
      <c r="E193" s="45">
        <v>0</v>
      </c>
      <c r="F193" s="3">
        <v>200</v>
      </c>
    </row>
    <row r="194" spans="1:6" s="44" customFormat="1" x14ac:dyDescent="0.2">
      <c r="A194" s="45" t="s">
        <v>529</v>
      </c>
      <c r="B194" s="45">
        <v>30</v>
      </c>
      <c r="C194" s="45" t="s">
        <v>588</v>
      </c>
      <c r="D194" s="42"/>
      <c r="E194" s="45">
        <v>420</v>
      </c>
      <c r="F194" s="3">
        <v>200</v>
      </c>
    </row>
    <row r="195" spans="1:6" s="44" customFormat="1" x14ac:dyDescent="0.2">
      <c r="A195" s="45" t="s">
        <v>529</v>
      </c>
      <c r="B195" s="45">
        <v>40</v>
      </c>
      <c r="C195" s="45" t="s">
        <v>602</v>
      </c>
      <c r="D195" s="42"/>
      <c r="E195" s="45">
        <v>360</v>
      </c>
      <c r="F195" s="3">
        <v>200</v>
      </c>
    </row>
    <row r="196" spans="1:6" s="44" customFormat="1" x14ac:dyDescent="0.2">
      <c r="A196" s="45" t="s">
        <v>529</v>
      </c>
      <c r="B196" s="45">
        <v>20</v>
      </c>
      <c r="C196" s="45" t="s">
        <v>614</v>
      </c>
      <c r="D196" s="42"/>
      <c r="E196" s="45">
        <v>120</v>
      </c>
      <c r="F196" s="3">
        <v>200</v>
      </c>
    </row>
    <row r="197" spans="1:6" s="44" customFormat="1" x14ac:dyDescent="0.2">
      <c r="A197" s="45" t="s">
        <v>529</v>
      </c>
      <c r="B197" s="45">
        <v>10</v>
      </c>
      <c r="C197" s="45" t="s">
        <v>616</v>
      </c>
      <c r="D197" s="42"/>
      <c r="E197" s="45">
        <v>0</v>
      </c>
      <c r="F197" s="3">
        <v>200</v>
      </c>
    </row>
    <row r="198" spans="1:6" s="44" customFormat="1" x14ac:dyDescent="0.2">
      <c r="A198" s="45" t="s">
        <v>529</v>
      </c>
      <c r="B198" s="45">
        <v>50</v>
      </c>
      <c r="C198" s="45" t="s">
        <v>617</v>
      </c>
      <c r="D198" s="42"/>
      <c r="E198" s="45">
        <v>0</v>
      </c>
      <c r="F198" s="3">
        <v>200</v>
      </c>
    </row>
    <row r="199" spans="1:6" s="44" customFormat="1" x14ac:dyDescent="0.2">
      <c r="A199" s="45" t="s">
        <v>530</v>
      </c>
      <c r="B199" s="45">
        <v>30</v>
      </c>
      <c r="C199" s="45" t="s">
        <v>585</v>
      </c>
      <c r="D199" s="42"/>
      <c r="E199" s="45">
        <v>420</v>
      </c>
      <c r="F199" s="3">
        <v>200</v>
      </c>
    </row>
    <row r="200" spans="1:6" s="44" customFormat="1" x14ac:dyDescent="0.2">
      <c r="A200" s="45" t="s">
        <v>530</v>
      </c>
      <c r="B200" s="45">
        <v>40</v>
      </c>
      <c r="C200" s="45" t="s">
        <v>601</v>
      </c>
      <c r="D200" s="42"/>
      <c r="E200" s="45">
        <v>300</v>
      </c>
      <c r="F200" s="3">
        <v>200</v>
      </c>
    </row>
    <row r="201" spans="1:6" s="44" customFormat="1" x14ac:dyDescent="0.2">
      <c r="A201" s="45" t="s">
        <v>530</v>
      </c>
      <c r="B201" s="45">
        <v>20</v>
      </c>
      <c r="C201" s="45" t="s">
        <v>614</v>
      </c>
      <c r="D201" s="42"/>
      <c r="E201" s="45">
        <v>60</v>
      </c>
      <c r="F201" s="3">
        <v>200</v>
      </c>
    </row>
    <row r="202" spans="1:6" s="44" customFormat="1" x14ac:dyDescent="0.2">
      <c r="A202" s="45" t="s">
        <v>530</v>
      </c>
      <c r="B202" s="45">
        <v>10</v>
      </c>
      <c r="C202" s="45" t="s">
        <v>616</v>
      </c>
      <c r="D202" s="42"/>
      <c r="E202" s="45">
        <v>0</v>
      </c>
      <c r="F202" s="3">
        <v>200</v>
      </c>
    </row>
    <row r="203" spans="1:6" s="44" customFormat="1" x14ac:dyDescent="0.2">
      <c r="A203" s="45" t="s">
        <v>530</v>
      </c>
      <c r="B203" s="45">
        <v>50</v>
      </c>
      <c r="C203" s="45" t="s">
        <v>617</v>
      </c>
      <c r="D203" s="42"/>
      <c r="E203" s="45">
        <v>0</v>
      </c>
      <c r="F203" s="3">
        <v>200</v>
      </c>
    </row>
    <row r="204" spans="1:6" s="44" customFormat="1" x14ac:dyDescent="0.2">
      <c r="A204" s="45" t="s">
        <v>531</v>
      </c>
      <c r="B204" s="45">
        <v>30</v>
      </c>
      <c r="C204" s="45" t="s">
        <v>588</v>
      </c>
      <c r="D204" s="42"/>
      <c r="E204" s="45">
        <v>480</v>
      </c>
      <c r="F204" s="3">
        <v>200</v>
      </c>
    </row>
    <row r="205" spans="1:6" s="44" customFormat="1" x14ac:dyDescent="0.2">
      <c r="A205" s="45" t="s">
        <v>531</v>
      </c>
      <c r="B205" s="45">
        <v>50</v>
      </c>
      <c r="C205" s="45" t="s">
        <v>598</v>
      </c>
      <c r="D205" s="42"/>
      <c r="E205" s="45">
        <v>780</v>
      </c>
      <c r="F205" s="3">
        <v>200</v>
      </c>
    </row>
    <row r="206" spans="1:6" s="44" customFormat="1" x14ac:dyDescent="0.2">
      <c r="A206" s="45" t="s">
        <v>531</v>
      </c>
      <c r="B206" s="45">
        <v>40</v>
      </c>
      <c r="C206" s="45" t="s">
        <v>602</v>
      </c>
      <c r="D206" s="42"/>
      <c r="E206" s="45">
        <v>300</v>
      </c>
      <c r="F206" s="3">
        <v>200</v>
      </c>
    </row>
    <row r="207" spans="1:6" s="44" customFormat="1" x14ac:dyDescent="0.2">
      <c r="A207" s="45" t="s">
        <v>531</v>
      </c>
      <c r="B207" s="45">
        <v>20</v>
      </c>
      <c r="C207" s="45" t="s">
        <v>614</v>
      </c>
      <c r="D207" s="42"/>
      <c r="E207" s="45">
        <v>60</v>
      </c>
      <c r="F207" s="3">
        <v>200</v>
      </c>
    </row>
    <row r="208" spans="1:6" s="44" customFormat="1" x14ac:dyDescent="0.2">
      <c r="A208" s="45" t="s">
        <v>531</v>
      </c>
      <c r="B208" s="45">
        <v>60</v>
      </c>
      <c r="C208" s="45" t="s">
        <v>615</v>
      </c>
      <c r="D208" s="42"/>
      <c r="E208" s="45">
        <v>300</v>
      </c>
      <c r="F208" s="3">
        <v>200</v>
      </c>
    </row>
    <row r="209" spans="1:6" s="44" customFormat="1" x14ac:dyDescent="0.2">
      <c r="A209" s="45" t="s">
        <v>531</v>
      </c>
      <c r="B209" s="45">
        <v>10</v>
      </c>
      <c r="C209" s="45" t="s">
        <v>616</v>
      </c>
      <c r="D209" s="42"/>
      <c r="E209" s="45">
        <v>0</v>
      </c>
      <c r="F209" s="3">
        <v>200</v>
      </c>
    </row>
    <row r="210" spans="1:6" s="44" customFormat="1" x14ac:dyDescent="0.2">
      <c r="A210" s="45" t="s">
        <v>531</v>
      </c>
      <c r="B210" s="45">
        <v>70</v>
      </c>
      <c r="C210" s="45" t="s">
        <v>617</v>
      </c>
      <c r="D210" s="42"/>
      <c r="E210" s="45">
        <v>0</v>
      </c>
      <c r="F210" s="3">
        <v>200</v>
      </c>
    </row>
    <row r="211" spans="1:6" s="44" customFormat="1" x14ac:dyDescent="0.2">
      <c r="A211" s="45" t="s">
        <v>532</v>
      </c>
      <c r="B211" s="45">
        <v>30</v>
      </c>
      <c r="C211" s="45" t="s">
        <v>588</v>
      </c>
      <c r="D211" s="42"/>
      <c r="E211" s="45">
        <v>180</v>
      </c>
      <c r="F211" s="3">
        <v>200</v>
      </c>
    </row>
    <row r="212" spans="1:6" s="44" customFormat="1" x14ac:dyDescent="0.2">
      <c r="A212" s="45" t="s">
        <v>532</v>
      </c>
      <c r="B212" s="45">
        <v>40</v>
      </c>
      <c r="C212" s="45" t="s">
        <v>600</v>
      </c>
      <c r="D212" s="42"/>
      <c r="E212" s="45">
        <v>360</v>
      </c>
      <c r="F212" s="3">
        <v>200</v>
      </c>
    </row>
    <row r="213" spans="1:6" s="44" customFormat="1" x14ac:dyDescent="0.2">
      <c r="A213" s="45" t="s">
        <v>532</v>
      </c>
      <c r="B213" s="45">
        <v>20</v>
      </c>
      <c r="C213" s="45" t="s">
        <v>614</v>
      </c>
      <c r="D213" s="42"/>
      <c r="E213" s="45">
        <v>60</v>
      </c>
      <c r="F213" s="3">
        <v>200</v>
      </c>
    </row>
    <row r="214" spans="1:6" s="44" customFormat="1" x14ac:dyDescent="0.2">
      <c r="A214" s="45" t="s">
        <v>532</v>
      </c>
      <c r="B214" s="45">
        <v>10</v>
      </c>
      <c r="C214" s="45" t="s">
        <v>616</v>
      </c>
      <c r="D214" s="42"/>
      <c r="E214" s="45">
        <v>0</v>
      </c>
      <c r="F214" s="3">
        <v>200</v>
      </c>
    </row>
    <row r="215" spans="1:6" s="44" customFormat="1" x14ac:dyDescent="0.2">
      <c r="A215" s="45" t="s">
        <v>532</v>
      </c>
      <c r="B215" s="45">
        <v>50</v>
      </c>
      <c r="C215" s="45" t="s">
        <v>617</v>
      </c>
      <c r="D215" s="42"/>
      <c r="E215" s="45">
        <v>0</v>
      </c>
      <c r="F215" s="3">
        <v>200</v>
      </c>
    </row>
    <row r="216" spans="1:6" s="44" customFormat="1" x14ac:dyDescent="0.2">
      <c r="A216" s="45" t="s">
        <v>533</v>
      </c>
      <c r="B216" s="45">
        <v>30</v>
      </c>
      <c r="C216" s="45" t="s">
        <v>589</v>
      </c>
      <c r="D216" s="42"/>
      <c r="E216" s="45">
        <v>540</v>
      </c>
      <c r="F216" s="3">
        <v>200</v>
      </c>
    </row>
    <row r="217" spans="1:6" s="44" customFormat="1" x14ac:dyDescent="0.2">
      <c r="A217" s="45" t="s">
        <v>533</v>
      </c>
      <c r="B217" s="45">
        <v>50</v>
      </c>
      <c r="C217" s="45" t="s">
        <v>598</v>
      </c>
      <c r="D217" s="42"/>
      <c r="E217" s="45">
        <v>480</v>
      </c>
      <c r="F217" s="3">
        <v>200</v>
      </c>
    </row>
    <row r="218" spans="1:6" s="44" customFormat="1" x14ac:dyDescent="0.2">
      <c r="A218" s="45" t="s">
        <v>533</v>
      </c>
      <c r="B218" s="45">
        <v>40</v>
      </c>
      <c r="C218" s="45" t="s">
        <v>600</v>
      </c>
      <c r="D218" s="42"/>
      <c r="E218" s="45">
        <v>360</v>
      </c>
      <c r="F218" s="3">
        <v>200</v>
      </c>
    </row>
    <row r="219" spans="1:6" s="44" customFormat="1" x14ac:dyDescent="0.2">
      <c r="A219" s="45" t="s">
        <v>533</v>
      </c>
      <c r="B219" s="45">
        <v>20</v>
      </c>
      <c r="C219" s="45" t="s">
        <v>614</v>
      </c>
      <c r="D219" s="42"/>
      <c r="E219" s="45">
        <v>60</v>
      </c>
      <c r="F219" s="3">
        <v>200</v>
      </c>
    </row>
    <row r="220" spans="1:6" s="44" customFormat="1" x14ac:dyDescent="0.2">
      <c r="A220" s="45" t="s">
        <v>533</v>
      </c>
      <c r="B220" s="45">
        <v>60</v>
      </c>
      <c r="C220" s="45" t="s">
        <v>615</v>
      </c>
      <c r="D220" s="42"/>
      <c r="E220" s="45">
        <v>300</v>
      </c>
      <c r="F220" s="3">
        <v>200</v>
      </c>
    </row>
    <row r="221" spans="1:6" s="44" customFormat="1" x14ac:dyDescent="0.2">
      <c r="A221" s="45" t="s">
        <v>533</v>
      </c>
      <c r="B221" s="45">
        <v>10</v>
      </c>
      <c r="C221" s="45" t="s">
        <v>616</v>
      </c>
      <c r="D221" s="42"/>
      <c r="E221" s="45">
        <v>0</v>
      </c>
      <c r="F221" s="3">
        <v>200</v>
      </c>
    </row>
    <row r="222" spans="1:6" s="44" customFormat="1" x14ac:dyDescent="0.2">
      <c r="A222" s="45" t="s">
        <v>533</v>
      </c>
      <c r="B222" s="45">
        <v>70</v>
      </c>
      <c r="C222" s="45" t="s">
        <v>617</v>
      </c>
      <c r="D222" s="42"/>
      <c r="E222" s="45">
        <v>0</v>
      </c>
      <c r="F222" s="3">
        <v>200</v>
      </c>
    </row>
    <row r="223" spans="1:6" s="44" customFormat="1" x14ac:dyDescent="0.2">
      <c r="A223" s="45" t="s">
        <v>534</v>
      </c>
      <c r="B223" s="45">
        <v>30</v>
      </c>
      <c r="C223" s="45" t="s">
        <v>589</v>
      </c>
      <c r="D223" s="42"/>
      <c r="E223" s="45">
        <v>540</v>
      </c>
      <c r="F223" s="3">
        <v>200</v>
      </c>
    </row>
    <row r="224" spans="1:6" s="44" customFormat="1" x14ac:dyDescent="0.2">
      <c r="A224" s="45" t="s">
        <v>534</v>
      </c>
      <c r="B224" s="45">
        <v>40</v>
      </c>
      <c r="C224" s="45" t="s">
        <v>600</v>
      </c>
      <c r="D224" s="42"/>
      <c r="E224" s="45">
        <v>360</v>
      </c>
      <c r="F224" s="3">
        <v>200</v>
      </c>
    </row>
    <row r="225" spans="1:6" s="44" customFormat="1" x14ac:dyDescent="0.2">
      <c r="A225" s="45" t="s">
        <v>534</v>
      </c>
      <c r="B225" s="45">
        <v>50</v>
      </c>
      <c r="C225" s="45" t="s">
        <v>608</v>
      </c>
      <c r="D225" s="42"/>
      <c r="E225" s="45">
        <v>720</v>
      </c>
      <c r="F225" s="3">
        <v>200</v>
      </c>
    </row>
    <row r="226" spans="1:6" s="44" customFormat="1" x14ac:dyDescent="0.2">
      <c r="A226" s="45" t="s">
        <v>534</v>
      </c>
      <c r="B226" s="45">
        <v>20</v>
      </c>
      <c r="C226" s="45" t="s">
        <v>614</v>
      </c>
      <c r="D226" s="42"/>
      <c r="E226" s="45">
        <v>60</v>
      </c>
      <c r="F226" s="3">
        <v>200</v>
      </c>
    </row>
    <row r="227" spans="1:6" s="44" customFormat="1" x14ac:dyDescent="0.2">
      <c r="A227" s="45" t="s">
        <v>534</v>
      </c>
      <c r="B227" s="45">
        <v>60</v>
      </c>
      <c r="C227" s="45" t="s">
        <v>615</v>
      </c>
      <c r="D227" s="42"/>
      <c r="E227" s="45">
        <v>300</v>
      </c>
      <c r="F227" s="3">
        <v>200</v>
      </c>
    </row>
    <row r="228" spans="1:6" s="44" customFormat="1" x14ac:dyDescent="0.2">
      <c r="A228" s="45" t="s">
        <v>534</v>
      </c>
      <c r="B228" s="45">
        <v>10</v>
      </c>
      <c r="C228" s="45" t="s">
        <v>616</v>
      </c>
      <c r="D228" s="42"/>
      <c r="E228" s="45">
        <v>0</v>
      </c>
      <c r="F228" s="3">
        <v>200</v>
      </c>
    </row>
    <row r="229" spans="1:6" s="44" customFormat="1" x14ac:dyDescent="0.2">
      <c r="A229" s="45" t="s">
        <v>534</v>
      </c>
      <c r="B229" s="45">
        <v>70</v>
      </c>
      <c r="C229" s="45" t="s">
        <v>617</v>
      </c>
      <c r="D229" s="42"/>
      <c r="E229" s="45">
        <v>0</v>
      </c>
      <c r="F229" s="3">
        <v>200</v>
      </c>
    </row>
    <row r="230" spans="1:6" s="44" customFormat="1" x14ac:dyDescent="0.2">
      <c r="A230" s="45" t="s">
        <v>535</v>
      </c>
      <c r="B230" s="45">
        <v>30</v>
      </c>
      <c r="C230" s="45" t="s">
        <v>580</v>
      </c>
      <c r="D230" s="42"/>
      <c r="E230" s="45">
        <v>420</v>
      </c>
      <c r="F230" s="3">
        <v>200</v>
      </c>
    </row>
    <row r="231" spans="1:6" s="44" customFormat="1" x14ac:dyDescent="0.2">
      <c r="A231" s="45" t="s">
        <v>535</v>
      </c>
      <c r="B231" s="45">
        <v>40</v>
      </c>
      <c r="C231" s="45" t="s">
        <v>598</v>
      </c>
      <c r="D231" s="42"/>
      <c r="E231" s="45">
        <v>480</v>
      </c>
      <c r="F231" s="3">
        <v>200</v>
      </c>
    </row>
    <row r="232" spans="1:6" s="44" customFormat="1" x14ac:dyDescent="0.2">
      <c r="A232" s="45" t="s">
        <v>535</v>
      </c>
      <c r="B232" s="45">
        <v>50</v>
      </c>
      <c r="C232" s="45" t="s">
        <v>608</v>
      </c>
      <c r="D232" s="42"/>
      <c r="E232" s="45">
        <v>720</v>
      </c>
      <c r="F232" s="3">
        <v>200</v>
      </c>
    </row>
    <row r="233" spans="1:6" s="44" customFormat="1" x14ac:dyDescent="0.2">
      <c r="A233" s="45" t="s">
        <v>535</v>
      </c>
      <c r="B233" s="45">
        <v>20</v>
      </c>
      <c r="C233" s="45" t="s">
        <v>611</v>
      </c>
      <c r="D233" s="42"/>
      <c r="E233" s="45">
        <v>120</v>
      </c>
      <c r="F233" s="3">
        <v>200</v>
      </c>
    </row>
    <row r="234" spans="1:6" s="44" customFormat="1" x14ac:dyDescent="0.2">
      <c r="A234" s="45" t="s">
        <v>535</v>
      </c>
      <c r="B234" s="45">
        <v>10</v>
      </c>
      <c r="C234" s="45" t="s">
        <v>616</v>
      </c>
      <c r="D234" s="42"/>
      <c r="E234" s="45">
        <v>0</v>
      </c>
      <c r="F234" s="3">
        <v>200</v>
      </c>
    </row>
    <row r="235" spans="1:6" s="44" customFormat="1" x14ac:dyDescent="0.2">
      <c r="A235" s="45" t="s">
        <v>535</v>
      </c>
      <c r="B235" s="45">
        <v>60</v>
      </c>
      <c r="C235" s="45" t="s">
        <v>617</v>
      </c>
      <c r="D235" s="42"/>
      <c r="E235" s="45">
        <v>0</v>
      </c>
      <c r="F235" s="3">
        <v>200</v>
      </c>
    </row>
    <row r="236" spans="1:6" s="44" customFormat="1" x14ac:dyDescent="0.2">
      <c r="A236" s="45" t="s">
        <v>536</v>
      </c>
      <c r="B236" s="45">
        <v>30</v>
      </c>
      <c r="C236" s="45" t="s">
        <v>580</v>
      </c>
      <c r="D236" s="42"/>
      <c r="E236" s="45">
        <v>240</v>
      </c>
      <c r="F236" s="3">
        <v>200</v>
      </c>
    </row>
    <row r="237" spans="1:6" s="44" customFormat="1" x14ac:dyDescent="0.2">
      <c r="A237" s="45" t="s">
        <v>536</v>
      </c>
      <c r="B237" s="45">
        <v>40</v>
      </c>
      <c r="C237" s="45" t="s">
        <v>604</v>
      </c>
      <c r="D237" s="42"/>
      <c r="E237" s="45">
        <v>240</v>
      </c>
      <c r="F237" s="3">
        <v>200</v>
      </c>
    </row>
    <row r="238" spans="1:6" s="44" customFormat="1" x14ac:dyDescent="0.2">
      <c r="A238" s="45" t="s">
        <v>536</v>
      </c>
      <c r="B238" s="45">
        <v>20</v>
      </c>
      <c r="C238" s="45" t="s">
        <v>611</v>
      </c>
      <c r="D238" s="42"/>
      <c r="E238" s="45">
        <v>120</v>
      </c>
      <c r="F238" s="3">
        <v>200</v>
      </c>
    </row>
    <row r="239" spans="1:6" s="44" customFormat="1" x14ac:dyDescent="0.2">
      <c r="A239" s="45" t="s">
        <v>536</v>
      </c>
      <c r="B239" s="45">
        <v>10</v>
      </c>
      <c r="C239" s="45" t="s">
        <v>616</v>
      </c>
      <c r="D239" s="42"/>
      <c r="E239" s="45">
        <v>0</v>
      </c>
      <c r="F239" s="3">
        <v>200</v>
      </c>
    </row>
    <row r="240" spans="1:6" s="44" customFormat="1" x14ac:dyDescent="0.2">
      <c r="A240" s="45" t="s">
        <v>536</v>
      </c>
      <c r="B240" s="45">
        <v>50</v>
      </c>
      <c r="C240" s="45" t="s">
        <v>617</v>
      </c>
      <c r="D240" s="42"/>
      <c r="E240" s="45">
        <v>0</v>
      </c>
      <c r="F240" s="3">
        <v>200</v>
      </c>
    </row>
    <row r="241" spans="1:6" s="44" customFormat="1" x14ac:dyDescent="0.2">
      <c r="A241" s="45" t="s">
        <v>180</v>
      </c>
      <c r="B241" s="45">
        <v>30</v>
      </c>
      <c r="C241" s="45" t="s">
        <v>580</v>
      </c>
      <c r="D241" s="42"/>
      <c r="E241" s="45">
        <v>300</v>
      </c>
      <c r="F241" s="3">
        <v>200</v>
      </c>
    </row>
    <row r="242" spans="1:6" s="44" customFormat="1" x14ac:dyDescent="0.2">
      <c r="A242" s="45" t="s">
        <v>180</v>
      </c>
      <c r="B242" s="45">
        <v>40</v>
      </c>
      <c r="C242" s="45" t="s">
        <v>594</v>
      </c>
      <c r="D242" s="42"/>
      <c r="E242" s="45">
        <v>300</v>
      </c>
      <c r="F242" s="3">
        <v>200</v>
      </c>
    </row>
    <row r="243" spans="1:6" s="44" customFormat="1" x14ac:dyDescent="0.2">
      <c r="A243" s="45" t="s">
        <v>180</v>
      </c>
      <c r="B243" s="45">
        <v>60</v>
      </c>
      <c r="C243" s="45" t="s">
        <v>600</v>
      </c>
      <c r="D243" s="42"/>
      <c r="E243" s="45">
        <v>300</v>
      </c>
      <c r="F243" s="3">
        <v>200</v>
      </c>
    </row>
    <row r="244" spans="1:6" s="44" customFormat="1" x14ac:dyDescent="0.2">
      <c r="A244" s="45" t="s">
        <v>180</v>
      </c>
      <c r="B244" s="45">
        <v>50</v>
      </c>
      <c r="C244" s="45" t="s">
        <v>601</v>
      </c>
      <c r="D244" s="42"/>
      <c r="E244" s="45">
        <v>480</v>
      </c>
      <c r="F244" s="3">
        <v>200</v>
      </c>
    </row>
    <row r="245" spans="1:6" s="44" customFormat="1" x14ac:dyDescent="0.2">
      <c r="A245" s="45" t="s">
        <v>180</v>
      </c>
      <c r="B245" s="45">
        <v>70</v>
      </c>
      <c r="C245" s="45" t="s">
        <v>605</v>
      </c>
      <c r="D245" s="42"/>
      <c r="E245" s="45">
        <v>480</v>
      </c>
      <c r="F245" s="3">
        <v>200</v>
      </c>
    </row>
    <row r="246" spans="1:6" s="44" customFormat="1" x14ac:dyDescent="0.2">
      <c r="A246" s="45" t="s">
        <v>180</v>
      </c>
      <c r="B246" s="45">
        <v>20</v>
      </c>
      <c r="C246" s="45" t="s">
        <v>611</v>
      </c>
      <c r="D246" s="42"/>
      <c r="E246" s="45">
        <v>120</v>
      </c>
      <c r="F246" s="3">
        <v>200</v>
      </c>
    </row>
    <row r="247" spans="1:6" s="44" customFormat="1" x14ac:dyDescent="0.2">
      <c r="A247" s="45" t="s">
        <v>180</v>
      </c>
      <c r="B247" s="45">
        <v>10</v>
      </c>
      <c r="C247" s="45" t="s">
        <v>616</v>
      </c>
      <c r="D247" s="42"/>
      <c r="E247" s="45">
        <v>0</v>
      </c>
      <c r="F247" s="3">
        <v>200</v>
      </c>
    </row>
    <row r="248" spans="1:6" s="44" customFormat="1" x14ac:dyDescent="0.2">
      <c r="A248" s="45" t="s">
        <v>180</v>
      </c>
      <c r="B248" s="45">
        <v>80</v>
      </c>
      <c r="C248" s="45" t="s">
        <v>617</v>
      </c>
      <c r="D248" s="42"/>
      <c r="E248" s="45">
        <v>0</v>
      </c>
      <c r="F248" s="3">
        <v>200</v>
      </c>
    </row>
    <row r="249" spans="1:6" s="44" customFormat="1" x14ac:dyDescent="0.2">
      <c r="A249" s="45" t="s">
        <v>537</v>
      </c>
      <c r="B249" s="45">
        <v>30</v>
      </c>
      <c r="C249" s="45" t="s">
        <v>580</v>
      </c>
      <c r="D249" s="42"/>
      <c r="E249" s="45">
        <v>360</v>
      </c>
      <c r="F249" s="3">
        <v>200</v>
      </c>
    </row>
    <row r="250" spans="1:6" s="44" customFormat="1" x14ac:dyDescent="0.2">
      <c r="A250" s="45" t="s">
        <v>537</v>
      </c>
      <c r="B250" s="45">
        <v>40</v>
      </c>
      <c r="C250" s="45" t="s">
        <v>604</v>
      </c>
      <c r="D250" s="42"/>
      <c r="E250" s="45">
        <v>360</v>
      </c>
      <c r="F250" s="3">
        <v>200</v>
      </c>
    </row>
    <row r="251" spans="1:6" s="44" customFormat="1" x14ac:dyDescent="0.2">
      <c r="A251" s="45" t="s">
        <v>537</v>
      </c>
      <c r="B251" s="45">
        <v>50</v>
      </c>
      <c r="C251" s="45" t="s">
        <v>608</v>
      </c>
      <c r="D251" s="42"/>
      <c r="E251" s="45">
        <v>720</v>
      </c>
      <c r="F251" s="3">
        <v>200</v>
      </c>
    </row>
    <row r="252" spans="1:6" s="44" customFormat="1" x14ac:dyDescent="0.2">
      <c r="A252" s="45" t="s">
        <v>537</v>
      </c>
      <c r="B252" s="45">
        <v>20</v>
      </c>
      <c r="C252" s="45" t="s">
        <v>611</v>
      </c>
      <c r="D252" s="42"/>
      <c r="E252" s="45">
        <v>120</v>
      </c>
      <c r="F252" s="3">
        <v>200</v>
      </c>
    </row>
    <row r="253" spans="1:6" s="44" customFormat="1" x14ac:dyDescent="0.2">
      <c r="A253" s="45" t="s">
        <v>537</v>
      </c>
      <c r="B253" s="45">
        <v>10</v>
      </c>
      <c r="C253" s="45" t="s">
        <v>616</v>
      </c>
      <c r="D253" s="42"/>
      <c r="E253" s="45">
        <v>0</v>
      </c>
      <c r="F253" s="3">
        <v>200</v>
      </c>
    </row>
    <row r="254" spans="1:6" s="44" customFormat="1" x14ac:dyDescent="0.2">
      <c r="A254" s="45" t="s">
        <v>537</v>
      </c>
      <c r="B254" s="45">
        <v>60</v>
      </c>
      <c r="C254" s="45" t="s">
        <v>617</v>
      </c>
      <c r="D254" s="42"/>
      <c r="E254" s="45">
        <v>0</v>
      </c>
      <c r="F254" s="3">
        <v>200</v>
      </c>
    </row>
    <row r="255" spans="1:6" s="44" customFormat="1" x14ac:dyDescent="0.2">
      <c r="A255" s="45" t="s">
        <v>538</v>
      </c>
      <c r="B255" s="45">
        <v>30</v>
      </c>
      <c r="C255" s="45" t="s">
        <v>579</v>
      </c>
      <c r="D255" s="42"/>
      <c r="E255" s="45">
        <v>180</v>
      </c>
      <c r="F255" s="3">
        <v>200</v>
      </c>
    </row>
    <row r="256" spans="1:6" s="44" customFormat="1" x14ac:dyDescent="0.2">
      <c r="A256" s="45" t="s">
        <v>538</v>
      </c>
      <c r="B256" s="45">
        <v>40</v>
      </c>
      <c r="C256" s="45" t="s">
        <v>604</v>
      </c>
      <c r="D256" s="42"/>
      <c r="E256" s="45">
        <v>360</v>
      </c>
      <c r="F256" s="3">
        <v>200</v>
      </c>
    </row>
    <row r="257" spans="1:6" s="44" customFormat="1" x14ac:dyDescent="0.2">
      <c r="A257" s="45" t="s">
        <v>538</v>
      </c>
      <c r="B257" s="45">
        <v>50</v>
      </c>
      <c r="C257" s="45" t="s">
        <v>606</v>
      </c>
      <c r="D257" s="42"/>
      <c r="E257" s="45">
        <v>180</v>
      </c>
      <c r="F257" s="3">
        <v>200</v>
      </c>
    </row>
    <row r="258" spans="1:6" s="44" customFormat="1" x14ac:dyDescent="0.2">
      <c r="A258" s="45" t="s">
        <v>538</v>
      </c>
      <c r="B258" s="45">
        <v>20</v>
      </c>
      <c r="C258" s="45" t="s">
        <v>611</v>
      </c>
      <c r="D258" s="42"/>
      <c r="E258" s="45">
        <v>120</v>
      </c>
      <c r="F258" s="3">
        <v>200</v>
      </c>
    </row>
    <row r="259" spans="1:6" s="44" customFormat="1" x14ac:dyDescent="0.2">
      <c r="A259" s="45" t="s">
        <v>538</v>
      </c>
      <c r="B259" s="45">
        <v>10</v>
      </c>
      <c r="C259" s="45" t="s">
        <v>616</v>
      </c>
      <c r="D259" s="42"/>
      <c r="E259" s="45">
        <v>0</v>
      </c>
      <c r="F259" s="3">
        <v>200</v>
      </c>
    </row>
    <row r="260" spans="1:6" s="44" customFormat="1" x14ac:dyDescent="0.2">
      <c r="A260" s="45" t="s">
        <v>538</v>
      </c>
      <c r="B260" s="45">
        <v>60</v>
      </c>
      <c r="C260" s="45" t="s">
        <v>617</v>
      </c>
      <c r="D260" s="42"/>
      <c r="E260" s="45">
        <v>0</v>
      </c>
      <c r="F260" s="3">
        <v>200</v>
      </c>
    </row>
    <row r="261" spans="1:6" s="44" customFormat="1" x14ac:dyDescent="0.2">
      <c r="A261" s="45" t="s">
        <v>539</v>
      </c>
      <c r="B261" s="45">
        <v>30</v>
      </c>
      <c r="C261" s="45" t="s">
        <v>579</v>
      </c>
      <c r="D261" s="42"/>
      <c r="E261" s="45">
        <v>240</v>
      </c>
      <c r="F261" s="3">
        <v>200</v>
      </c>
    </row>
    <row r="262" spans="1:6" s="44" customFormat="1" x14ac:dyDescent="0.2">
      <c r="A262" s="45" t="s">
        <v>539</v>
      </c>
      <c r="B262" s="45">
        <v>40</v>
      </c>
      <c r="C262" s="45" t="s">
        <v>602</v>
      </c>
      <c r="D262" s="42"/>
      <c r="E262" s="45">
        <v>420</v>
      </c>
      <c r="F262" s="3">
        <v>200</v>
      </c>
    </row>
    <row r="263" spans="1:6" s="44" customFormat="1" x14ac:dyDescent="0.2">
      <c r="A263" s="45" t="s">
        <v>539</v>
      </c>
      <c r="B263" s="45">
        <v>50</v>
      </c>
      <c r="C263" s="45" t="s">
        <v>606</v>
      </c>
      <c r="D263" s="42"/>
      <c r="E263" s="45">
        <v>180</v>
      </c>
      <c r="F263" s="3">
        <v>200</v>
      </c>
    </row>
    <row r="264" spans="1:6" s="44" customFormat="1" x14ac:dyDescent="0.2">
      <c r="A264" s="45" t="s">
        <v>539</v>
      </c>
      <c r="B264" s="45">
        <v>20</v>
      </c>
      <c r="C264" s="45" t="s">
        <v>611</v>
      </c>
      <c r="D264" s="42"/>
      <c r="E264" s="45">
        <v>120</v>
      </c>
      <c r="F264" s="3">
        <v>200</v>
      </c>
    </row>
    <row r="265" spans="1:6" s="44" customFormat="1" x14ac:dyDescent="0.2">
      <c r="A265" s="45" t="s">
        <v>539</v>
      </c>
      <c r="B265" s="45">
        <v>10</v>
      </c>
      <c r="C265" s="45" t="s">
        <v>616</v>
      </c>
      <c r="D265" s="42"/>
      <c r="E265" s="45">
        <v>0</v>
      </c>
      <c r="F265" s="3">
        <v>200</v>
      </c>
    </row>
    <row r="266" spans="1:6" s="44" customFormat="1" x14ac:dyDescent="0.2">
      <c r="A266" s="45" t="s">
        <v>539</v>
      </c>
      <c r="B266" s="45">
        <v>60</v>
      </c>
      <c r="C266" s="45" t="s">
        <v>617</v>
      </c>
      <c r="D266" s="42"/>
      <c r="E266" s="45">
        <v>0</v>
      </c>
      <c r="F266" s="3">
        <v>200</v>
      </c>
    </row>
    <row r="267" spans="1:6" s="44" customFormat="1" x14ac:dyDescent="0.2">
      <c r="A267" s="45" t="s">
        <v>215</v>
      </c>
      <c r="B267" s="45">
        <v>30</v>
      </c>
      <c r="C267" s="45" t="s">
        <v>579</v>
      </c>
      <c r="D267" s="42"/>
      <c r="E267" s="45">
        <v>180</v>
      </c>
      <c r="F267" s="3">
        <v>200</v>
      </c>
    </row>
    <row r="268" spans="1:6" s="44" customFormat="1" x14ac:dyDescent="0.2">
      <c r="A268" s="45" t="s">
        <v>215</v>
      </c>
      <c r="B268" s="45">
        <v>40</v>
      </c>
      <c r="C268" s="45" t="s">
        <v>604</v>
      </c>
      <c r="D268" s="42"/>
      <c r="E268" s="45">
        <v>300</v>
      </c>
      <c r="F268" s="3">
        <v>200</v>
      </c>
    </row>
    <row r="269" spans="1:6" s="44" customFormat="1" x14ac:dyDescent="0.2">
      <c r="A269" s="45" t="s">
        <v>215</v>
      </c>
      <c r="B269" s="45">
        <v>50</v>
      </c>
      <c r="C269" s="45" t="s">
        <v>606</v>
      </c>
      <c r="D269" s="42"/>
      <c r="E269" s="45">
        <v>180</v>
      </c>
      <c r="F269" s="3">
        <v>200</v>
      </c>
    </row>
    <row r="270" spans="1:6" s="44" customFormat="1" x14ac:dyDescent="0.2">
      <c r="A270" s="45" t="s">
        <v>215</v>
      </c>
      <c r="B270" s="45">
        <v>20</v>
      </c>
      <c r="C270" s="45" t="s">
        <v>611</v>
      </c>
      <c r="D270" s="42"/>
      <c r="E270" s="45">
        <v>120</v>
      </c>
      <c r="F270" s="3">
        <v>200</v>
      </c>
    </row>
    <row r="271" spans="1:6" s="44" customFormat="1" x14ac:dyDescent="0.2">
      <c r="A271" s="45" t="s">
        <v>215</v>
      </c>
      <c r="B271" s="45">
        <v>10</v>
      </c>
      <c r="C271" s="45" t="s">
        <v>616</v>
      </c>
      <c r="D271" s="42"/>
      <c r="E271" s="45">
        <v>0</v>
      </c>
      <c r="F271" s="3">
        <v>200</v>
      </c>
    </row>
    <row r="272" spans="1:6" s="44" customFormat="1" x14ac:dyDescent="0.2">
      <c r="A272" s="45" t="s">
        <v>215</v>
      </c>
      <c r="B272" s="45">
        <v>60</v>
      </c>
      <c r="C272" s="45" t="s">
        <v>617</v>
      </c>
      <c r="D272" s="42"/>
      <c r="E272" s="45">
        <v>0</v>
      </c>
      <c r="F272" s="3">
        <v>200</v>
      </c>
    </row>
    <row r="273" spans="1:6" s="44" customFormat="1" x14ac:dyDescent="0.2">
      <c r="A273" s="45" t="s">
        <v>540</v>
      </c>
      <c r="B273" s="45">
        <v>30</v>
      </c>
      <c r="C273" s="45" t="s">
        <v>579</v>
      </c>
      <c r="D273" s="42"/>
      <c r="E273" s="45">
        <v>180</v>
      </c>
      <c r="F273" s="3">
        <v>200</v>
      </c>
    </row>
    <row r="274" spans="1:6" s="44" customFormat="1" x14ac:dyDescent="0.2">
      <c r="A274" s="45" t="s">
        <v>540</v>
      </c>
      <c r="B274" s="45">
        <v>40</v>
      </c>
      <c r="C274" s="45" t="s">
        <v>599</v>
      </c>
      <c r="D274" s="42"/>
      <c r="E274" s="45">
        <v>240</v>
      </c>
      <c r="F274" s="3">
        <v>200</v>
      </c>
    </row>
    <row r="275" spans="1:6" s="44" customFormat="1" x14ac:dyDescent="0.2">
      <c r="A275" s="45" t="s">
        <v>540</v>
      </c>
      <c r="B275" s="45">
        <v>50</v>
      </c>
      <c r="C275" s="45" t="s">
        <v>606</v>
      </c>
      <c r="D275" s="42"/>
      <c r="E275" s="45">
        <v>180</v>
      </c>
      <c r="F275" s="3">
        <v>200</v>
      </c>
    </row>
    <row r="276" spans="1:6" s="44" customFormat="1" x14ac:dyDescent="0.2">
      <c r="A276" s="45" t="s">
        <v>540</v>
      </c>
      <c r="B276" s="45">
        <v>20</v>
      </c>
      <c r="C276" s="45" t="s">
        <v>611</v>
      </c>
      <c r="D276" s="42"/>
      <c r="E276" s="45">
        <v>120</v>
      </c>
      <c r="F276" s="3">
        <v>200</v>
      </c>
    </row>
    <row r="277" spans="1:6" s="44" customFormat="1" x14ac:dyDescent="0.2">
      <c r="A277" s="45" t="s">
        <v>540</v>
      </c>
      <c r="B277" s="45">
        <v>10</v>
      </c>
      <c r="C277" s="45" t="s">
        <v>616</v>
      </c>
      <c r="D277" s="42"/>
      <c r="E277" s="45">
        <v>0</v>
      </c>
      <c r="F277" s="3">
        <v>200</v>
      </c>
    </row>
    <row r="278" spans="1:6" s="44" customFormat="1" x14ac:dyDescent="0.2">
      <c r="A278" s="45" t="s">
        <v>540</v>
      </c>
      <c r="B278" s="45">
        <v>60</v>
      </c>
      <c r="C278" s="45" t="s">
        <v>617</v>
      </c>
      <c r="D278" s="42"/>
      <c r="E278" s="45">
        <v>0</v>
      </c>
      <c r="F278" s="3">
        <v>200</v>
      </c>
    </row>
    <row r="279" spans="1:6" s="44" customFormat="1" x14ac:dyDescent="0.2">
      <c r="A279" s="45" t="s">
        <v>211</v>
      </c>
      <c r="B279" s="45">
        <v>30</v>
      </c>
      <c r="C279" s="45" t="s">
        <v>579</v>
      </c>
      <c r="D279" s="42"/>
      <c r="E279" s="45">
        <v>240</v>
      </c>
      <c r="F279" s="3">
        <v>200</v>
      </c>
    </row>
    <row r="280" spans="1:6" s="44" customFormat="1" x14ac:dyDescent="0.2">
      <c r="A280" s="45" t="s">
        <v>211</v>
      </c>
      <c r="B280" s="45">
        <v>30</v>
      </c>
      <c r="C280" s="45" t="s">
        <v>580</v>
      </c>
      <c r="D280" s="42"/>
      <c r="E280" s="45">
        <v>240</v>
      </c>
      <c r="F280" s="3">
        <v>200</v>
      </c>
    </row>
    <row r="281" spans="1:6" s="44" customFormat="1" x14ac:dyDescent="0.2">
      <c r="A281" s="45" t="s">
        <v>211</v>
      </c>
      <c r="B281" s="45">
        <v>40</v>
      </c>
      <c r="C281" s="45" t="s">
        <v>594</v>
      </c>
      <c r="D281" s="42"/>
      <c r="E281" s="45">
        <v>240</v>
      </c>
      <c r="F281" s="3">
        <v>200</v>
      </c>
    </row>
    <row r="282" spans="1:6" s="44" customFormat="1" x14ac:dyDescent="0.2">
      <c r="A282" s="45" t="s">
        <v>211</v>
      </c>
      <c r="B282" s="45">
        <v>60</v>
      </c>
      <c r="C282" s="45" t="s">
        <v>600</v>
      </c>
      <c r="D282" s="42"/>
      <c r="E282" s="45">
        <v>240</v>
      </c>
      <c r="F282" s="3">
        <v>200</v>
      </c>
    </row>
    <row r="283" spans="1:6" s="44" customFormat="1" x14ac:dyDescent="0.2">
      <c r="A283" s="45" t="s">
        <v>211</v>
      </c>
      <c r="B283" s="45">
        <v>50</v>
      </c>
      <c r="C283" s="45" t="s">
        <v>601</v>
      </c>
      <c r="D283" s="42"/>
      <c r="E283" s="45">
        <v>120</v>
      </c>
      <c r="F283" s="3">
        <v>200</v>
      </c>
    </row>
    <row r="284" spans="1:6" s="44" customFormat="1" x14ac:dyDescent="0.2">
      <c r="A284" s="45" t="s">
        <v>211</v>
      </c>
      <c r="B284" s="45">
        <v>70</v>
      </c>
      <c r="C284" s="45" t="s">
        <v>605</v>
      </c>
      <c r="D284" s="42"/>
      <c r="E284" s="45">
        <v>180</v>
      </c>
      <c r="F284" s="3">
        <v>200</v>
      </c>
    </row>
    <row r="285" spans="1:6" s="44" customFormat="1" x14ac:dyDescent="0.2">
      <c r="A285" s="45" t="s">
        <v>211</v>
      </c>
      <c r="B285" s="45">
        <v>20</v>
      </c>
      <c r="C285" s="45" t="s">
        <v>611</v>
      </c>
      <c r="D285" s="42"/>
      <c r="E285" s="45">
        <v>120</v>
      </c>
      <c r="F285" s="3">
        <v>200</v>
      </c>
    </row>
    <row r="286" spans="1:6" s="44" customFormat="1" x14ac:dyDescent="0.2">
      <c r="A286" s="45" t="s">
        <v>211</v>
      </c>
      <c r="B286" s="45">
        <v>10</v>
      </c>
      <c r="C286" s="45" t="s">
        <v>616</v>
      </c>
      <c r="D286" s="42"/>
      <c r="E286" s="45">
        <v>0</v>
      </c>
      <c r="F286" s="3">
        <v>200</v>
      </c>
    </row>
    <row r="287" spans="1:6" s="44" customFormat="1" x14ac:dyDescent="0.2">
      <c r="A287" s="45" t="s">
        <v>211</v>
      </c>
      <c r="B287" s="45">
        <v>80</v>
      </c>
      <c r="C287" s="45" t="s">
        <v>617</v>
      </c>
      <c r="D287" s="42"/>
      <c r="E287" s="45">
        <v>0</v>
      </c>
      <c r="F287" s="3">
        <v>200</v>
      </c>
    </row>
    <row r="288" spans="1:6" s="44" customFormat="1" x14ac:dyDescent="0.2">
      <c r="A288" s="45" t="s">
        <v>207</v>
      </c>
      <c r="B288" s="45">
        <v>30</v>
      </c>
      <c r="C288" s="45" t="s">
        <v>579</v>
      </c>
      <c r="D288" s="42"/>
      <c r="E288" s="45">
        <v>240</v>
      </c>
      <c r="F288" s="3">
        <v>200</v>
      </c>
    </row>
    <row r="289" spans="1:6" s="44" customFormat="1" x14ac:dyDescent="0.2">
      <c r="A289" s="45" t="s">
        <v>207</v>
      </c>
      <c r="B289" s="45">
        <v>40</v>
      </c>
      <c r="C289" s="45" t="s">
        <v>599</v>
      </c>
      <c r="D289" s="42"/>
      <c r="E289" s="45">
        <v>240</v>
      </c>
      <c r="F289" s="3">
        <v>200</v>
      </c>
    </row>
    <row r="290" spans="1:6" s="44" customFormat="1" x14ac:dyDescent="0.2">
      <c r="A290" s="45" t="s">
        <v>207</v>
      </c>
      <c r="B290" s="45">
        <v>50</v>
      </c>
      <c r="C290" s="45" t="s">
        <v>607</v>
      </c>
      <c r="D290" s="42"/>
      <c r="E290" s="45">
        <v>180</v>
      </c>
      <c r="F290" s="3">
        <v>200</v>
      </c>
    </row>
    <row r="291" spans="1:6" s="44" customFormat="1" x14ac:dyDescent="0.2">
      <c r="A291" s="45" t="s">
        <v>207</v>
      </c>
      <c r="B291" s="45">
        <v>20</v>
      </c>
      <c r="C291" s="45" t="s">
        <v>611</v>
      </c>
      <c r="D291" s="42"/>
      <c r="E291" s="45">
        <v>120</v>
      </c>
      <c r="F291" s="3">
        <v>200</v>
      </c>
    </row>
    <row r="292" spans="1:6" s="44" customFormat="1" x14ac:dyDescent="0.2">
      <c r="A292" s="45" t="s">
        <v>207</v>
      </c>
      <c r="B292" s="45">
        <v>10</v>
      </c>
      <c r="C292" s="45" t="s">
        <v>616</v>
      </c>
      <c r="D292" s="42"/>
      <c r="E292" s="45">
        <v>0</v>
      </c>
      <c r="F292" s="3">
        <v>200</v>
      </c>
    </row>
    <row r="293" spans="1:6" s="44" customFormat="1" x14ac:dyDescent="0.2">
      <c r="A293" s="45" t="s">
        <v>207</v>
      </c>
      <c r="B293" s="45">
        <v>60</v>
      </c>
      <c r="C293" s="45" t="s">
        <v>617</v>
      </c>
      <c r="D293" s="42"/>
      <c r="E293" s="45">
        <v>0</v>
      </c>
      <c r="F293" s="3">
        <v>200</v>
      </c>
    </row>
    <row r="294" spans="1:6" s="44" customFormat="1" x14ac:dyDescent="0.2">
      <c r="A294" s="45" t="s">
        <v>541</v>
      </c>
      <c r="B294" s="45">
        <v>30</v>
      </c>
      <c r="C294" s="45" t="s">
        <v>579</v>
      </c>
      <c r="D294" s="42"/>
      <c r="E294" s="45">
        <v>540</v>
      </c>
      <c r="F294" s="3">
        <v>200</v>
      </c>
    </row>
    <row r="295" spans="1:6" s="44" customFormat="1" x14ac:dyDescent="0.2">
      <c r="A295" s="45" t="s">
        <v>541</v>
      </c>
      <c r="B295" s="45">
        <v>40</v>
      </c>
      <c r="C295" s="45" t="s">
        <v>599</v>
      </c>
      <c r="D295" s="42"/>
      <c r="E295" s="45">
        <v>180</v>
      </c>
      <c r="F295" s="3">
        <v>200</v>
      </c>
    </row>
    <row r="296" spans="1:6" s="44" customFormat="1" x14ac:dyDescent="0.2">
      <c r="A296" s="45" t="s">
        <v>541</v>
      </c>
      <c r="B296" s="45">
        <v>50</v>
      </c>
      <c r="C296" s="45" t="s">
        <v>607</v>
      </c>
      <c r="D296" s="42"/>
      <c r="E296" s="45">
        <v>180</v>
      </c>
      <c r="F296" s="3">
        <v>200</v>
      </c>
    </row>
    <row r="297" spans="1:6" s="44" customFormat="1" x14ac:dyDescent="0.2">
      <c r="A297" s="45" t="s">
        <v>541</v>
      </c>
      <c r="B297" s="45">
        <v>20</v>
      </c>
      <c r="C297" s="45" t="s">
        <v>611</v>
      </c>
      <c r="D297" s="42"/>
      <c r="E297" s="45">
        <v>120</v>
      </c>
      <c r="F297" s="3">
        <v>200</v>
      </c>
    </row>
    <row r="298" spans="1:6" s="44" customFormat="1" x14ac:dyDescent="0.2">
      <c r="A298" s="45" t="s">
        <v>541</v>
      </c>
      <c r="B298" s="45">
        <v>10</v>
      </c>
      <c r="C298" s="45" t="s">
        <v>616</v>
      </c>
      <c r="D298" s="42"/>
      <c r="E298" s="45">
        <v>0</v>
      </c>
      <c r="F298" s="3">
        <v>200</v>
      </c>
    </row>
    <row r="299" spans="1:6" s="44" customFormat="1" x14ac:dyDescent="0.2">
      <c r="A299" s="45" t="s">
        <v>541</v>
      </c>
      <c r="B299" s="45">
        <v>60</v>
      </c>
      <c r="C299" s="45" t="s">
        <v>617</v>
      </c>
      <c r="D299" s="42"/>
      <c r="E299" s="45">
        <v>0</v>
      </c>
      <c r="F299" s="3">
        <v>200</v>
      </c>
    </row>
    <row r="300" spans="1:6" s="44" customFormat="1" x14ac:dyDescent="0.2">
      <c r="A300" s="45" t="s">
        <v>542</v>
      </c>
      <c r="B300" s="45">
        <v>30</v>
      </c>
      <c r="C300" s="45" t="s">
        <v>579</v>
      </c>
      <c r="D300" s="42"/>
      <c r="E300" s="45">
        <v>480</v>
      </c>
      <c r="F300" s="3">
        <v>200</v>
      </c>
    </row>
    <row r="301" spans="1:6" s="44" customFormat="1" x14ac:dyDescent="0.2">
      <c r="A301" s="45" t="s">
        <v>542</v>
      </c>
      <c r="B301" s="45">
        <v>40</v>
      </c>
      <c r="C301" s="45" t="s">
        <v>599</v>
      </c>
      <c r="D301" s="42"/>
      <c r="E301" s="45">
        <v>180</v>
      </c>
      <c r="F301" s="3">
        <v>200</v>
      </c>
    </row>
    <row r="302" spans="1:6" s="44" customFormat="1" x14ac:dyDescent="0.2">
      <c r="A302" s="45" t="s">
        <v>542</v>
      </c>
      <c r="B302" s="45">
        <v>50</v>
      </c>
      <c r="C302" s="45" t="s">
        <v>607</v>
      </c>
      <c r="D302" s="42"/>
      <c r="E302" s="45">
        <v>180</v>
      </c>
      <c r="F302" s="3">
        <v>200</v>
      </c>
    </row>
    <row r="303" spans="1:6" s="44" customFormat="1" x14ac:dyDescent="0.2">
      <c r="A303" s="45" t="s">
        <v>542</v>
      </c>
      <c r="B303" s="45">
        <v>20</v>
      </c>
      <c r="C303" s="45" t="s">
        <v>612</v>
      </c>
      <c r="D303" s="42"/>
      <c r="E303" s="45">
        <v>120</v>
      </c>
      <c r="F303" s="3">
        <v>200</v>
      </c>
    </row>
    <row r="304" spans="1:6" s="44" customFormat="1" x14ac:dyDescent="0.2">
      <c r="A304" s="45" t="s">
        <v>542</v>
      </c>
      <c r="B304" s="45">
        <v>10</v>
      </c>
      <c r="C304" s="45" t="s">
        <v>616</v>
      </c>
      <c r="D304" s="42"/>
      <c r="E304" s="45">
        <v>0</v>
      </c>
      <c r="F304" s="3">
        <v>200</v>
      </c>
    </row>
    <row r="305" spans="1:6" s="44" customFormat="1" x14ac:dyDescent="0.2">
      <c r="A305" s="45" t="s">
        <v>542</v>
      </c>
      <c r="B305" s="45">
        <v>60</v>
      </c>
      <c r="C305" s="45" t="s">
        <v>617</v>
      </c>
      <c r="D305" s="42"/>
      <c r="E305" s="45">
        <v>0</v>
      </c>
      <c r="F305" s="3">
        <v>200</v>
      </c>
    </row>
    <row r="306" spans="1:6" s="44" customFormat="1" x14ac:dyDescent="0.2">
      <c r="A306" s="45" t="s">
        <v>543</v>
      </c>
      <c r="B306" s="45">
        <v>30</v>
      </c>
      <c r="C306" s="45" t="s">
        <v>579</v>
      </c>
      <c r="D306" s="42"/>
      <c r="E306" s="45">
        <v>480</v>
      </c>
      <c r="F306" s="3">
        <v>200</v>
      </c>
    </row>
    <row r="307" spans="1:6" s="44" customFormat="1" x14ac:dyDescent="0.2">
      <c r="A307" s="45" t="s">
        <v>543</v>
      </c>
      <c r="B307" s="45">
        <v>60</v>
      </c>
      <c r="C307" s="45" t="s">
        <v>596</v>
      </c>
      <c r="D307" s="42"/>
      <c r="E307" s="45">
        <v>180</v>
      </c>
      <c r="F307" s="3">
        <v>200</v>
      </c>
    </row>
    <row r="308" spans="1:6" s="44" customFormat="1" x14ac:dyDescent="0.2">
      <c r="A308" s="45" t="s">
        <v>543</v>
      </c>
      <c r="B308" s="45">
        <v>40</v>
      </c>
      <c r="C308" s="45" t="s">
        <v>599</v>
      </c>
      <c r="D308" s="42"/>
      <c r="E308" s="45">
        <v>120</v>
      </c>
      <c r="F308" s="3">
        <v>200</v>
      </c>
    </row>
    <row r="309" spans="1:6" s="44" customFormat="1" x14ac:dyDescent="0.2">
      <c r="A309" s="45" t="s">
        <v>543</v>
      </c>
      <c r="B309" s="45">
        <v>50</v>
      </c>
      <c r="C309" s="45" t="s">
        <v>606</v>
      </c>
      <c r="D309" s="42"/>
      <c r="E309" s="45">
        <v>360</v>
      </c>
      <c r="F309" s="3">
        <v>200</v>
      </c>
    </row>
    <row r="310" spans="1:6" s="44" customFormat="1" x14ac:dyDescent="0.2">
      <c r="A310" s="45" t="s">
        <v>543</v>
      </c>
      <c r="B310" s="45">
        <v>20</v>
      </c>
      <c r="C310" s="45" t="s">
        <v>612</v>
      </c>
      <c r="D310" s="42"/>
      <c r="E310" s="45">
        <v>120</v>
      </c>
      <c r="F310" s="3">
        <v>200</v>
      </c>
    </row>
    <row r="311" spans="1:6" s="44" customFormat="1" x14ac:dyDescent="0.2">
      <c r="A311" s="45" t="s">
        <v>543</v>
      </c>
      <c r="B311" s="45">
        <v>10</v>
      </c>
      <c r="C311" s="45" t="s">
        <v>616</v>
      </c>
      <c r="D311" s="42"/>
      <c r="E311" s="45">
        <v>0</v>
      </c>
      <c r="F311" s="3">
        <v>200</v>
      </c>
    </row>
    <row r="312" spans="1:6" s="44" customFormat="1" x14ac:dyDescent="0.2">
      <c r="A312" s="45" t="s">
        <v>543</v>
      </c>
      <c r="B312" s="45">
        <v>70</v>
      </c>
      <c r="C312" s="45" t="s">
        <v>617</v>
      </c>
      <c r="D312" s="42"/>
      <c r="E312" s="45">
        <v>0</v>
      </c>
      <c r="F312" s="3">
        <v>200</v>
      </c>
    </row>
    <row r="313" spans="1:6" s="44" customFormat="1" x14ac:dyDescent="0.2">
      <c r="A313" s="45" t="s">
        <v>544</v>
      </c>
      <c r="B313" s="45">
        <v>30</v>
      </c>
      <c r="C313" s="45" t="s">
        <v>579</v>
      </c>
      <c r="D313" s="42"/>
      <c r="E313" s="45">
        <v>360</v>
      </c>
      <c r="F313" s="3">
        <v>200</v>
      </c>
    </row>
    <row r="314" spans="1:6" s="44" customFormat="1" x14ac:dyDescent="0.2">
      <c r="A314" s="45" t="s">
        <v>544</v>
      </c>
      <c r="B314" s="45">
        <v>60</v>
      </c>
      <c r="C314" s="45" t="s">
        <v>598</v>
      </c>
      <c r="D314" s="42"/>
      <c r="E314" s="45">
        <v>1440</v>
      </c>
      <c r="F314" s="3">
        <v>200</v>
      </c>
    </row>
    <row r="315" spans="1:6" s="44" customFormat="1" x14ac:dyDescent="0.2">
      <c r="A315" s="45" t="s">
        <v>544</v>
      </c>
      <c r="B315" s="45">
        <v>40</v>
      </c>
      <c r="C315" s="45" t="s">
        <v>603</v>
      </c>
      <c r="D315" s="42"/>
      <c r="E315" s="45">
        <v>300</v>
      </c>
      <c r="F315" s="3">
        <v>200</v>
      </c>
    </row>
    <row r="316" spans="1:6" s="44" customFormat="1" x14ac:dyDescent="0.2">
      <c r="A316" s="45" t="s">
        <v>544</v>
      </c>
      <c r="B316" s="45">
        <v>50</v>
      </c>
      <c r="C316" s="45" t="s">
        <v>606</v>
      </c>
      <c r="D316" s="42"/>
      <c r="E316" s="45">
        <v>420</v>
      </c>
      <c r="F316" s="3">
        <v>200</v>
      </c>
    </row>
    <row r="317" spans="1:6" s="44" customFormat="1" x14ac:dyDescent="0.2">
      <c r="A317" s="45" t="s">
        <v>544</v>
      </c>
      <c r="B317" s="45">
        <v>20</v>
      </c>
      <c r="C317" s="45" t="s">
        <v>612</v>
      </c>
      <c r="D317" s="42"/>
      <c r="E317" s="45">
        <v>120</v>
      </c>
      <c r="F317" s="3">
        <v>200</v>
      </c>
    </row>
    <row r="318" spans="1:6" s="44" customFormat="1" x14ac:dyDescent="0.2">
      <c r="A318" s="45" t="s">
        <v>544</v>
      </c>
      <c r="B318" s="45">
        <v>10</v>
      </c>
      <c r="C318" s="45" t="s">
        <v>616</v>
      </c>
      <c r="D318" s="42"/>
      <c r="E318" s="45">
        <v>0</v>
      </c>
      <c r="F318" s="3">
        <v>200</v>
      </c>
    </row>
    <row r="319" spans="1:6" s="44" customFormat="1" x14ac:dyDescent="0.2">
      <c r="A319" s="45" t="s">
        <v>544</v>
      </c>
      <c r="B319" s="45">
        <v>70</v>
      </c>
      <c r="C319" s="45" t="s">
        <v>617</v>
      </c>
      <c r="D319" s="42"/>
      <c r="E319" s="45">
        <v>0</v>
      </c>
      <c r="F319" s="3">
        <v>200</v>
      </c>
    </row>
    <row r="320" spans="1:6" s="44" customFormat="1" x14ac:dyDescent="0.2">
      <c r="A320" s="45" t="s">
        <v>545</v>
      </c>
      <c r="B320" s="45">
        <v>30</v>
      </c>
      <c r="C320" s="45" t="s">
        <v>579</v>
      </c>
      <c r="D320" s="42"/>
      <c r="E320" s="45">
        <v>360</v>
      </c>
      <c r="F320" s="3">
        <v>200</v>
      </c>
    </row>
    <row r="321" spans="1:6" s="44" customFormat="1" x14ac:dyDescent="0.2">
      <c r="A321" s="45" t="s">
        <v>545</v>
      </c>
      <c r="B321" s="45">
        <v>60</v>
      </c>
      <c r="C321" s="45" t="s">
        <v>596</v>
      </c>
      <c r="D321" s="42"/>
      <c r="E321" s="45">
        <v>180</v>
      </c>
      <c r="F321" s="3">
        <v>200</v>
      </c>
    </row>
    <row r="322" spans="1:6" s="44" customFormat="1" x14ac:dyDescent="0.2">
      <c r="A322" s="45" t="s">
        <v>545</v>
      </c>
      <c r="B322" s="45">
        <v>40</v>
      </c>
      <c r="C322" s="45" t="s">
        <v>603</v>
      </c>
      <c r="D322" s="42"/>
      <c r="E322" s="45">
        <v>300</v>
      </c>
      <c r="F322" s="3">
        <v>200</v>
      </c>
    </row>
    <row r="323" spans="1:6" s="44" customFormat="1" x14ac:dyDescent="0.2">
      <c r="A323" s="45" t="s">
        <v>545</v>
      </c>
      <c r="B323" s="45">
        <v>50</v>
      </c>
      <c r="C323" s="45" t="s">
        <v>608</v>
      </c>
      <c r="D323" s="42"/>
      <c r="E323" s="45">
        <v>480</v>
      </c>
      <c r="F323" s="3">
        <v>200</v>
      </c>
    </row>
    <row r="324" spans="1:6" s="44" customFormat="1" x14ac:dyDescent="0.2">
      <c r="A324" s="45" t="s">
        <v>545</v>
      </c>
      <c r="B324" s="45">
        <v>20</v>
      </c>
      <c r="C324" s="45" t="s">
        <v>612</v>
      </c>
      <c r="D324" s="42"/>
      <c r="E324" s="45">
        <v>120</v>
      </c>
      <c r="F324" s="3">
        <v>200</v>
      </c>
    </row>
    <row r="325" spans="1:6" s="44" customFormat="1" x14ac:dyDescent="0.2">
      <c r="A325" s="45" t="s">
        <v>545</v>
      </c>
      <c r="B325" s="45">
        <v>10</v>
      </c>
      <c r="C325" s="45" t="s">
        <v>616</v>
      </c>
      <c r="D325" s="42"/>
      <c r="E325" s="45">
        <v>0</v>
      </c>
      <c r="F325" s="3">
        <v>200</v>
      </c>
    </row>
    <row r="326" spans="1:6" s="44" customFormat="1" x14ac:dyDescent="0.2">
      <c r="A326" s="45" t="s">
        <v>545</v>
      </c>
      <c r="B326" s="45">
        <v>70</v>
      </c>
      <c r="C326" s="45" t="s">
        <v>617</v>
      </c>
      <c r="D326" s="42"/>
      <c r="E326" s="45">
        <v>0</v>
      </c>
      <c r="F326" s="3">
        <v>200</v>
      </c>
    </row>
    <row r="327" spans="1:6" s="44" customFormat="1" x14ac:dyDescent="0.2">
      <c r="A327" s="45" t="s">
        <v>546</v>
      </c>
      <c r="B327" s="45">
        <v>30</v>
      </c>
      <c r="C327" s="45" t="s">
        <v>580</v>
      </c>
      <c r="D327" s="42"/>
      <c r="E327" s="45">
        <v>300</v>
      </c>
      <c r="F327" s="3">
        <v>200</v>
      </c>
    </row>
    <row r="328" spans="1:6" s="44" customFormat="1" x14ac:dyDescent="0.2">
      <c r="A328" s="45" t="s">
        <v>546</v>
      </c>
      <c r="B328" s="45">
        <v>60</v>
      </c>
      <c r="C328" s="45" t="s">
        <v>598</v>
      </c>
      <c r="D328" s="42"/>
      <c r="E328" s="45">
        <v>420</v>
      </c>
      <c r="F328" s="3">
        <v>200</v>
      </c>
    </row>
    <row r="329" spans="1:6" s="44" customFormat="1" x14ac:dyDescent="0.2">
      <c r="A329" s="45" t="s">
        <v>546</v>
      </c>
      <c r="B329" s="45">
        <v>40</v>
      </c>
      <c r="C329" s="45" t="s">
        <v>603</v>
      </c>
      <c r="D329" s="42"/>
      <c r="E329" s="45">
        <v>300</v>
      </c>
      <c r="F329" s="3">
        <v>200</v>
      </c>
    </row>
    <row r="330" spans="1:6" s="44" customFormat="1" x14ac:dyDescent="0.2">
      <c r="A330" s="45" t="s">
        <v>546</v>
      </c>
      <c r="B330" s="45">
        <v>50</v>
      </c>
      <c r="C330" s="45" t="s">
        <v>608</v>
      </c>
      <c r="D330" s="42"/>
      <c r="E330" s="45">
        <v>180</v>
      </c>
      <c r="F330" s="3">
        <v>200</v>
      </c>
    </row>
    <row r="331" spans="1:6" s="44" customFormat="1" x14ac:dyDescent="0.2">
      <c r="A331" s="45" t="s">
        <v>546</v>
      </c>
      <c r="B331" s="45">
        <v>20</v>
      </c>
      <c r="C331" s="45" t="s">
        <v>612</v>
      </c>
      <c r="D331" s="42"/>
      <c r="E331" s="45">
        <v>120</v>
      </c>
      <c r="F331" s="3">
        <v>200</v>
      </c>
    </row>
    <row r="332" spans="1:6" s="44" customFormat="1" x14ac:dyDescent="0.2">
      <c r="A332" s="45" t="s">
        <v>546</v>
      </c>
      <c r="B332" s="45">
        <v>10</v>
      </c>
      <c r="C332" s="45" t="s">
        <v>616</v>
      </c>
      <c r="D332" s="42"/>
      <c r="E332" s="45">
        <v>0</v>
      </c>
      <c r="F332" s="3">
        <v>200</v>
      </c>
    </row>
    <row r="333" spans="1:6" s="44" customFormat="1" x14ac:dyDescent="0.2">
      <c r="A333" s="45" t="s">
        <v>546</v>
      </c>
      <c r="B333" s="45">
        <v>70</v>
      </c>
      <c r="C333" s="45" t="s">
        <v>617</v>
      </c>
      <c r="D333" s="42"/>
      <c r="E333" s="45">
        <v>0</v>
      </c>
      <c r="F333" s="3">
        <v>200</v>
      </c>
    </row>
    <row r="334" spans="1:6" s="44" customFormat="1" x14ac:dyDescent="0.2">
      <c r="A334" s="45" t="s">
        <v>547</v>
      </c>
      <c r="B334" s="45">
        <v>30</v>
      </c>
      <c r="C334" s="45" t="s">
        <v>580</v>
      </c>
      <c r="D334" s="42"/>
      <c r="E334" s="45">
        <v>420</v>
      </c>
      <c r="F334" s="3">
        <v>200</v>
      </c>
    </row>
    <row r="335" spans="1:6" s="44" customFormat="1" x14ac:dyDescent="0.2">
      <c r="A335" s="45" t="s">
        <v>547</v>
      </c>
      <c r="B335" s="45">
        <v>20</v>
      </c>
      <c r="C335" s="45" t="s">
        <v>613</v>
      </c>
      <c r="D335" s="42"/>
      <c r="E335" s="45">
        <v>120</v>
      </c>
      <c r="F335" s="3">
        <v>200</v>
      </c>
    </row>
    <row r="336" spans="1:6" s="44" customFormat="1" x14ac:dyDescent="0.2">
      <c r="A336" s="45" t="s">
        <v>547</v>
      </c>
      <c r="B336" s="45">
        <v>10</v>
      </c>
      <c r="C336" s="45" t="s">
        <v>616</v>
      </c>
      <c r="D336" s="42"/>
      <c r="E336" s="45">
        <v>0</v>
      </c>
      <c r="F336" s="3">
        <v>200</v>
      </c>
    </row>
    <row r="337" spans="1:6" s="44" customFormat="1" x14ac:dyDescent="0.2">
      <c r="A337" s="45" t="s">
        <v>547</v>
      </c>
      <c r="B337" s="45">
        <v>40</v>
      </c>
      <c r="C337" s="45" t="s">
        <v>617</v>
      </c>
      <c r="D337" s="42"/>
      <c r="E337" s="45">
        <v>0</v>
      </c>
      <c r="F337" s="3">
        <v>200</v>
      </c>
    </row>
    <row r="338" spans="1:6" s="44" customFormat="1" x14ac:dyDescent="0.2">
      <c r="A338" s="45" t="s">
        <v>184</v>
      </c>
      <c r="B338" s="45">
        <v>30</v>
      </c>
      <c r="C338" s="45" t="s">
        <v>580</v>
      </c>
      <c r="D338" s="42"/>
      <c r="E338" s="45">
        <v>420</v>
      </c>
      <c r="F338" s="3">
        <v>200</v>
      </c>
    </row>
    <row r="339" spans="1:6" s="44" customFormat="1" x14ac:dyDescent="0.2">
      <c r="A339" s="45" t="s">
        <v>184</v>
      </c>
      <c r="B339" s="45">
        <v>40</v>
      </c>
      <c r="C339" s="45" t="s">
        <v>581</v>
      </c>
      <c r="D339" s="42"/>
      <c r="E339" s="45">
        <v>480</v>
      </c>
      <c r="F339" s="3">
        <v>200</v>
      </c>
    </row>
    <row r="340" spans="1:6" s="44" customFormat="1" x14ac:dyDescent="0.2">
      <c r="A340" s="45" t="s">
        <v>184</v>
      </c>
      <c r="B340" s="45">
        <v>50</v>
      </c>
      <c r="C340" s="45" t="s">
        <v>593</v>
      </c>
      <c r="D340" s="42"/>
      <c r="E340" s="45">
        <v>180</v>
      </c>
      <c r="F340" s="3">
        <v>200</v>
      </c>
    </row>
    <row r="341" spans="1:6" s="44" customFormat="1" x14ac:dyDescent="0.2">
      <c r="A341" s="45" t="s">
        <v>184</v>
      </c>
      <c r="B341" s="45">
        <v>60</v>
      </c>
      <c r="C341" s="45" t="s">
        <v>599</v>
      </c>
      <c r="D341" s="42"/>
      <c r="E341" s="45">
        <v>180</v>
      </c>
      <c r="F341" s="3">
        <v>200</v>
      </c>
    </row>
    <row r="342" spans="1:6" s="44" customFormat="1" x14ac:dyDescent="0.2">
      <c r="A342" s="45" t="s">
        <v>184</v>
      </c>
      <c r="B342" s="45">
        <v>70</v>
      </c>
      <c r="C342" s="45" t="s">
        <v>605</v>
      </c>
      <c r="D342" s="42"/>
      <c r="E342" s="45">
        <v>180</v>
      </c>
      <c r="F342" s="3">
        <v>200</v>
      </c>
    </row>
    <row r="343" spans="1:6" s="44" customFormat="1" x14ac:dyDescent="0.2">
      <c r="A343" s="45" t="s">
        <v>184</v>
      </c>
      <c r="B343" s="45">
        <v>20</v>
      </c>
      <c r="C343" s="45" t="s">
        <v>613</v>
      </c>
      <c r="D343" s="42"/>
      <c r="E343" s="45">
        <v>120</v>
      </c>
      <c r="F343" s="3">
        <v>200</v>
      </c>
    </row>
    <row r="344" spans="1:6" s="44" customFormat="1" x14ac:dyDescent="0.2">
      <c r="A344" s="45" t="s">
        <v>184</v>
      </c>
      <c r="B344" s="45">
        <v>10</v>
      </c>
      <c r="C344" s="45" t="s">
        <v>616</v>
      </c>
      <c r="D344" s="42"/>
      <c r="E344" s="45">
        <v>0</v>
      </c>
      <c r="F344" s="3">
        <v>200</v>
      </c>
    </row>
    <row r="345" spans="1:6" s="44" customFormat="1" x14ac:dyDescent="0.2">
      <c r="A345" s="45" t="s">
        <v>184</v>
      </c>
      <c r="B345" s="45">
        <v>80</v>
      </c>
      <c r="C345" s="45" t="s">
        <v>617</v>
      </c>
      <c r="D345" s="42"/>
      <c r="E345" s="45">
        <v>0</v>
      </c>
      <c r="F345" s="3">
        <v>200</v>
      </c>
    </row>
    <row r="346" spans="1:6" s="44" customFormat="1" x14ac:dyDescent="0.2">
      <c r="A346" s="45" t="s">
        <v>188</v>
      </c>
      <c r="B346" s="45">
        <v>40</v>
      </c>
      <c r="C346" s="45" t="s">
        <v>576</v>
      </c>
      <c r="D346" s="42"/>
      <c r="E346" s="45">
        <v>420</v>
      </c>
      <c r="F346" s="3">
        <v>200</v>
      </c>
    </row>
    <row r="347" spans="1:6" s="44" customFormat="1" x14ac:dyDescent="0.2">
      <c r="A347" s="45" t="s">
        <v>188</v>
      </c>
      <c r="B347" s="45">
        <v>30</v>
      </c>
      <c r="C347" s="45" t="s">
        <v>577</v>
      </c>
      <c r="D347" s="42"/>
      <c r="E347" s="45">
        <v>180</v>
      </c>
      <c r="F347" s="3">
        <v>200</v>
      </c>
    </row>
    <row r="348" spans="1:6" s="44" customFormat="1" x14ac:dyDescent="0.2">
      <c r="A348" s="45" t="s">
        <v>188</v>
      </c>
      <c r="B348" s="45">
        <v>50</v>
      </c>
      <c r="C348" s="45" t="s">
        <v>596</v>
      </c>
      <c r="D348" s="42"/>
      <c r="E348" s="45">
        <v>420</v>
      </c>
      <c r="F348" s="3">
        <v>200</v>
      </c>
    </row>
    <row r="349" spans="1:6" s="44" customFormat="1" x14ac:dyDescent="0.2">
      <c r="A349" s="45" t="s">
        <v>188</v>
      </c>
      <c r="B349" s="45">
        <v>60</v>
      </c>
      <c r="C349" s="45" t="s">
        <v>604</v>
      </c>
      <c r="D349" s="42"/>
      <c r="E349" s="45">
        <v>180</v>
      </c>
      <c r="F349" s="3">
        <v>200</v>
      </c>
    </row>
    <row r="350" spans="1:6" s="44" customFormat="1" x14ac:dyDescent="0.2">
      <c r="A350" s="45" t="s">
        <v>188</v>
      </c>
      <c r="B350" s="45">
        <v>70</v>
      </c>
      <c r="C350" s="45" t="s">
        <v>605</v>
      </c>
      <c r="D350" s="42"/>
      <c r="E350" s="45">
        <v>180</v>
      </c>
      <c r="F350" s="3">
        <v>200</v>
      </c>
    </row>
    <row r="351" spans="1:6" s="44" customFormat="1" x14ac:dyDescent="0.2">
      <c r="A351" s="45" t="s">
        <v>188</v>
      </c>
      <c r="B351" s="45">
        <v>20</v>
      </c>
      <c r="C351" s="45" t="s">
        <v>613</v>
      </c>
      <c r="D351" s="42"/>
      <c r="E351" s="45">
        <v>180</v>
      </c>
      <c r="F351" s="3">
        <v>200</v>
      </c>
    </row>
    <row r="352" spans="1:6" s="44" customFormat="1" x14ac:dyDescent="0.2">
      <c r="A352" s="45" t="s">
        <v>188</v>
      </c>
      <c r="B352" s="45">
        <v>10</v>
      </c>
      <c r="C352" s="45" t="s">
        <v>616</v>
      </c>
      <c r="D352" s="42"/>
      <c r="E352" s="45">
        <v>0</v>
      </c>
      <c r="F352" s="3">
        <v>200</v>
      </c>
    </row>
    <row r="353" spans="1:6" s="44" customFormat="1" x14ac:dyDescent="0.2">
      <c r="A353" s="45" t="s">
        <v>188</v>
      </c>
      <c r="B353" s="45">
        <v>80</v>
      </c>
      <c r="C353" s="45" t="s">
        <v>617</v>
      </c>
      <c r="D353" s="42"/>
      <c r="E353" s="45">
        <v>0</v>
      </c>
      <c r="F353" s="3">
        <v>200</v>
      </c>
    </row>
    <row r="354" spans="1:6" s="44" customFormat="1" x14ac:dyDescent="0.2">
      <c r="A354" s="45" t="s">
        <v>209</v>
      </c>
      <c r="B354" s="45">
        <v>40</v>
      </c>
      <c r="C354" s="45" t="s">
        <v>576</v>
      </c>
      <c r="D354" s="42"/>
      <c r="E354" s="45">
        <v>120</v>
      </c>
      <c r="F354" s="3">
        <v>200</v>
      </c>
    </row>
    <row r="355" spans="1:6" s="44" customFormat="1" x14ac:dyDescent="0.2">
      <c r="A355" s="45" t="s">
        <v>209</v>
      </c>
      <c r="B355" s="45">
        <v>30</v>
      </c>
      <c r="C355" s="45" t="s">
        <v>577</v>
      </c>
      <c r="D355" s="42"/>
      <c r="E355" s="45">
        <v>420</v>
      </c>
      <c r="F355" s="3">
        <v>200</v>
      </c>
    </row>
    <row r="356" spans="1:6" s="44" customFormat="1" x14ac:dyDescent="0.2">
      <c r="A356" s="45" t="s">
        <v>209</v>
      </c>
      <c r="B356" s="45">
        <v>50</v>
      </c>
      <c r="C356" s="45" t="s">
        <v>596</v>
      </c>
      <c r="D356" s="42"/>
      <c r="E356" s="45">
        <v>120</v>
      </c>
      <c r="F356" s="3">
        <v>200</v>
      </c>
    </row>
    <row r="357" spans="1:6" s="44" customFormat="1" x14ac:dyDescent="0.2">
      <c r="A357" s="45" t="s">
        <v>209</v>
      </c>
      <c r="B357" s="45">
        <v>60</v>
      </c>
      <c r="C357" s="45" t="s">
        <v>604</v>
      </c>
      <c r="D357" s="42"/>
      <c r="E357" s="45">
        <v>360</v>
      </c>
      <c r="F357" s="3">
        <v>200</v>
      </c>
    </row>
    <row r="358" spans="1:6" s="44" customFormat="1" x14ac:dyDescent="0.2">
      <c r="A358" s="45" t="s">
        <v>209</v>
      </c>
      <c r="B358" s="45">
        <v>70</v>
      </c>
      <c r="C358" s="45" t="s">
        <v>605</v>
      </c>
      <c r="D358" s="42"/>
      <c r="E358" s="45">
        <v>120</v>
      </c>
      <c r="F358" s="3">
        <v>200</v>
      </c>
    </row>
    <row r="359" spans="1:6" s="44" customFormat="1" x14ac:dyDescent="0.2">
      <c r="A359" s="45" t="s">
        <v>209</v>
      </c>
      <c r="B359" s="45">
        <v>20</v>
      </c>
      <c r="C359" s="45" t="s">
        <v>613</v>
      </c>
      <c r="D359" s="42"/>
      <c r="E359" s="45">
        <v>120</v>
      </c>
      <c r="F359" s="3">
        <v>200</v>
      </c>
    </row>
    <row r="360" spans="1:6" s="44" customFormat="1" x14ac:dyDescent="0.2">
      <c r="A360" s="45" t="s">
        <v>209</v>
      </c>
      <c r="B360" s="45">
        <v>80</v>
      </c>
      <c r="C360" s="45" t="s">
        <v>615</v>
      </c>
      <c r="D360" s="42"/>
      <c r="E360" s="45">
        <v>360</v>
      </c>
      <c r="F360" s="3">
        <v>200</v>
      </c>
    </row>
    <row r="361" spans="1:6" s="44" customFormat="1" x14ac:dyDescent="0.2">
      <c r="A361" s="45" t="s">
        <v>209</v>
      </c>
      <c r="B361" s="45">
        <v>10</v>
      </c>
      <c r="C361" s="45" t="s">
        <v>616</v>
      </c>
      <c r="D361" s="42"/>
      <c r="E361" s="45">
        <v>0</v>
      </c>
      <c r="F361" s="3">
        <v>200</v>
      </c>
    </row>
    <row r="362" spans="1:6" s="44" customFormat="1" x14ac:dyDescent="0.2">
      <c r="A362" s="45" t="s">
        <v>209</v>
      </c>
      <c r="B362" s="45">
        <v>90</v>
      </c>
      <c r="C362" s="45" t="s">
        <v>617</v>
      </c>
      <c r="D362" s="42"/>
      <c r="E362" s="45">
        <v>0</v>
      </c>
      <c r="F362" s="3">
        <v>200</v>
      </c>
    </row>
    <row r="363" spans="1:6" s="44" customFormat="1" x14ac:dyDescent="0.2">
      <c r="A363" s="45" t="s">
        <v>548</v>
      </c>
      <c r="B363" s="45">
        <v>30</v>
      </c>
      <c r="C363" s="45" t="s">
        <v>585</v>
      </c>
      <c r="D363" s="42"/>
      <c r="E363" s="45">
        <v>540</v>
      </c>
      <c r="F363" s="3">
        <v>200</v>
      </c>
    </row>
    <row r="364" spans="1:6" s="44" customFormat="1" x14ac:dyDescent="0.2">
      <c r="A364" s="45" t="s">
        <v>548</v>
      </c>
      <c r="B364" s="45">
        <v>40</v>
      </c>
      <c r="C364" s="45" t="s">
        <v>599</v>
      </c>
      <c r="D364" s="42"/>
      <c r="E364" s="45">
        <v>360</v>
      </c>
      <c r="F364" s="3">
        <v>200</v>
      </c>
    </row>
    <row r="365" spans="1:6" s="44" customFormat="1" x14ac:dyDescent="0.2">
      <c r="A365" s="45" t="s">
        <v>548</v>
      </c>
      <c r="B365" s="45">
        <v>20</v>
      </c>
      <c r="C365" s="45" t="s">
        <v>613</v>
      </c>
      <c r="D365" s="42"/>
      <c r="E365" s="45">
        <v>120</v>
      </c>
      <c r="F365" s="3">
        <v>200</v>
      </c>
    </row>
    <row r="366" spans="1:6" s="44" customFormat="1" x14ac:dyDescent="0.2">
      <c r="A366" s="45" t="s">
        <v>548</v>
      </c>
      <c r="B366" s="45">
        <v>10</v>
      </c>
      <c r="C366" s="45" t="s">
        <v>616</v>
      </c>
      <c r="D366" s="42"/>
      <c r="E366" s="45">
        <v>0</v>
      </c>
      <c r="F366" s="3">
        <v>200</v>
      </c>
    </row>
    <row r="367" spans="1:6" s="44" customFormat="1" x14ac:dyDescent="0.2">
      <c r="A367" s="45" t="s">
        <v>548</v>
      </c>
      <c r="B367" s="45">
        <v>50</v>
      </c>
      <c r="C367" s="45" t="s">
        <v>617</v>
      </c>
      <c r="D367" s="42"/>
      <c r="E367" s="45">
        <v>0</v>
      </c>
      <c r="F367" s="3">
        <v>200</v>
      </c>
    </row>
    <row r="368" spans="1:6" s="44" customFormat="1" x14ac:dyDescent="0.2">
      <c r="A368" s="45" t="s">
        <v>549</v>
      </c>
      <c r="B368" s="45">
        <v>30</v>
      </c>
      <c r="C368" s="45" t="s">
        <v>585</v>
      </c>
      <c r="D368" s="42"/>
      <c r="E368" s="45">
        <v>420</v>
      </c>
      <c r="F368" s="3">
        <v>200</v>
      </c>
    </row>
    <row r="369" spans="1:6" s="44" customFormat="1" x14ac:dyDescent="0.2">
      <c r="A369" s="45" t="s">
        <v>549</v>
      </c>
      <c r="B369" s="45">
        <v>40</v>
      </c>
      <c r="C369" s="45" t="s">
        <v>600</v>
      </c>
      <c r="D369" s="42"/>
      <c r="E369" s="45">
        <v>300</v>
      </c>
      <c r="F369" s="3">
        <v>200</v>
      </c>
    </row>
    <row r="370" spans="1:6" s="44" customFormat="1" x14ac:dyDescent="0.2">
      <c r="A370" s="45" t="s">
        <v>549</v>
      </c>
      <c r="B370" s="45">
        <v>20</v>
      </c>
      <c r="C370" s="45" t="s">
        <v>613</v>
      </c>
      <c r="D370" s="42"/>
      <c r="E370" s="45">
        <v>180</v>
      </c>
      <c r="F370" s="3">
        <v>200</v>
      </c>
    </row>
    <row r="371" spans="1:6" s="44" customFormat="1" x14ac:dyDescent="0.2">
      <c r="A371" s="45" t="s">
        <v>549</v>
      </c>
      <c r="B371" s="45">
        <v>10</v>
      </c>
      <c r="C371" s="45" t="s">
        <v>616</v>
      </c>
      <c r="D371" s="42"/>
      <c r="E371" s="45">
        <v>0</v>
      </c>
      <c r="F371" s="3">
        <v>200</v>
      </c>
    </row>
    <row r="372" spans="1:6" s="44" customFormat="1" x14ac:dyDescent="0.2">
      <c r="A372" s="45" t="s">
        <v>549</v>
      </c>
      <c r="B372" s="45">
        <v>50</v>
      </c>
      <c r="C372" s="45" t="s">
        <v>617</v>
      </c>
      <c r="D372" s="42"/>
      <c r="E372" s="45">
        <v>0</v>
      </c>
      <c r="F372" s="3">
        <v>200</v>
      </c>
    </row>
    <row r="373" spans="1:6" s="44" customFormat="1" x14ac:dyDescent="0.2">
      <c r="A373" s="45" t="s">
        <v>550</v>
      </c>
      <c r="B373" s="45">
        <v>30</v>
      </c>
      <c r="C373" s="45" t="s">
        <v>585</v>
      </c>
      <c r="D373" s="42"/>
      <c r="E373" s="45">
        <v>420</v>
      </c>
      <c r="F373" s="3">
        <v>200</v>
      </c>
    </row>
    <row r="374" spans="1:6" s="44" customFormat="1" x14ac:dyDescent="0.2">
      <c r="A374" s="45" t="s">
        <v>550</v>
      </c>
      <c r="B374" s="45">
        <v>40</v>
      </c>
      <c r="C374" s="45" t="s">
        <v>600</v>
      </c>
      <c r="D374" s="42"/>
      <c r="E374" s="45">
        <v>300</v>
      </c>
      <c r="F374" s="3">
        <v>200</v>
      </c>
    </row>
    <row r="375" spans="1:6" s="44" customFormat="1" x14ac:dyDescent="0.2">
      <c r="A375" s="45" t="s">
        <v>550</v>
      </c>
      <c r="B375" s="45">
        <v>20</v>
      </c>
      <c r="C375" s="45" t="s">
        <v>613</v>
      </c>
      <c r="D375" s="42"/>
      <c r="E375" s="45">
        <v>120</v>
      </c>
      <c r="F375" s="3">
        <v>200</v>
      </c>
    </row>
    <row r="376" spans="1:6" s="44" customFormat="1" x14ac:dyDescent="0.2">
      <c r="A376" s="45" t="s">
        <v>550</v>
      </c>
      <c r="B376" s="45">
        <v>10</v>
      </c>
      <c r="C376" s="45" t="s">
        <v>616</v>
      </c>
      <c r="D376" s="42"/>
      <c r="E376" s="45">
        <v>0</v>
      </c>
      <c r="F376" s="3">
        <v>200</v>
      </c>
    </row>
    <row r="377" spans="1:6" s="44" customFormat="1" x14ac:dyDescent="0.2">
      <c r="A377" s="45" t="s">
        <v>550</v>
      </c>
      <c r="B377" s="45">
        <v>50</v>
      </c>
      <c r="C377" s="45" t="s">
        <v>617</v>
      </c>
      <c r="D377" s="42"/>
      <c r="E377" s="45">
        <v>0</v>
      </c>
      <c r="F377" s="3">
        <v>200</v>
      </c>
    </row>
    <row r="378" spans="1:6" s="44" customFormat="1" x14ac:dyDescent="0.2">
      <c r="A378" s="45" t="s">
        <v>551</v>
      </c>
      <c r="B378" s="45">
        <v>30</v>
      </c>
      <c r="C378" s="45" t="s">
        <v>585</v>
      </c>
      <c r="D378" s="42"/>
      <c r="E378" s="45">
        <v>780</v>
      </c>
      <c r="F378" s="3">
        <v>200</v>
      </c>
    </row>
    <row r="379" spans="1:6" s="44" customFormat="1" x14ac:dyDescent="0.2">
      <c r="A379" s="45" t="s">
        <v>551</v>
      </c>
      <c r="B379" s="45">
        <v>40</v>
      </c>
      <c r="C379" s="45" t="s">
        <v>600</v>
      </c>
      <c r="D379" s="42"/>
      <c r="E379" s="45">
        <v>240</v>
      </c>
      <c r="F379" s="3">
        <v>200</v>
      </c>
    </row>
    <row r="380" spans="1:6" s="44" customFormat="1" x14ac:dyDescent="0.2">
      <c r="A380" s="45" t="s">
        <v>551</v>
      </c>
      <c r="B380" s="45">
        <v>20</v>
      </c>
      <c r="C380" s="45" t="s">
        <v>613</v>
      </c>
      <c r="D380" s="42"/>
      <c r="E380" s="45">
        <v>120</v>
      </c>
      <c r="F380" s="3">
        <v>200</v>
      </c>
    </row>
    <row r="381" spans="1:6" s="44" customFormat="1" x14ac:dyDescent="0.2">
      <c r="A381" s="45" t="s">
        <v>551</v>
      </c>
      <c r="B381" s="45">
        <v>10</v>
      </c>
      <c r="C381" s="45" t="s">
        <v>616</v>
      </c>
      <c r="D381" s="42"/>
      <c r="E381" s="45">
        <v>0</v>
      </c>
      <c r="F381" s="3">
        <v>200</v>
      </c>
    </row>
    <row r="382" spans="1:6" s="44" customFormat="1" x14ac:dyDescent="0.2">
      <c r="A382" s="45" t="s">
        <v>551</v>
      </c>
      <c r="B382" s="45">
        <v>50</v>
      </c>
      <c r="C382" s="45" t="s">
        <v>617</v>
      </c>
      <c r="D382" s="42"/>
      <c r="E382" s="45">
        <v>0</v>
      </c>
      <c r="F382" s="3">
        <v>200</v>
      </c>
    </row>
    <row r="383" spans="1:6" s="44" customFormat="1" x14ac:dyDescent="0.2">
      <c r="A383" s="45" t="s">
        <v>552</v>
      </c>
      <c r="B383" s="45">
        <v>30</v>
      </c>
      <c r="C383" s="45" t="s">
        <v>585</v>
      </c>
      <c r="D383" s="42"/>
      <c r="E383" s="45">
        <v>840</v>
      </c>
      <c r="F383" s="3">
        <v>200</v>
      </c>
    </row>
    <row r="384" spans="1:6" s="44" customFormat="1" x14ac:dyDescent="0.2">
      <c r="A384" s="45" t="s">
        <v>552</v>
      </c>
      <c r="B384" s="45">
        <v>20</v>
      </c>
      <c r="C384" s="45" t="s">
        <v>613</v>
      </c>
      <c r="D384" s="42"/>
      <c r="E384" s="45">
        <v>180</v>
      </c>
      <c r="F384" s="3">
        <v>200</v>
      </c>
    </row>
    <row r="385" spans="1:6" s="44" customFormat="1" x14ac:dyDescent="0.2">
      <c r="A385" s="45" t="s">
        <v>552</v>
      </c>
      <c r="B385" s="45">
        <v>10</v>
      </c>
      <c r="C385" s="45" t="s">
        <v>616</v>
      </c>
      <c r="D385" s="42"/>
      <c r="E385" s="45">
        <v>0</v>
      </c>
      <c r="F385" s="3">
        <v>200</v>
      </c>
    </row>
    <row r="386" spans="1:6" s="44" customFormat="1" x14ac:dyDescent="0.2">
      <c r="A386" s="45" t="s">
        <v>552</v>
      </c>
      <c r="B386" s="45">
        <v>40</v>
      </c>
      <c r="C386" s="45" t="s">
        <v>617</v>
      </c>
      <c r="D386" s="42"/>
      <c r="E386" s="45">
        <v>0</v>
      </c>
      <c r="F386" s="3">
        <v>200</v>
      </c>
    </row>
    <row r="387" spans="1:6" s="44" customFormat="1" x14ac:dyDescent="0.2">
      <c r="A387" s="45" t="s">
        <v>553</v>
      </c>
      <c r="B387" s="45">
        <v>30</v>
      </c>
      <c r="C387" s="45" t="s">
        <v>584</v>
      </c>
      <c r="D387" s="42"/>
      <c r="E387" s="45">
        <v>840</v>
      </c>
      <c r="F387" s="3">
        <v>200</v>
      </c>
    </row>
    <row r="388" spans="1:6" s="44" customFormat="1" x14ac:dyDescent="0.2">
      <c r="A388" s="45" t="s">
        <v>553</v>
      </c>
      <c r="B388" s="45">
        <v>20</v>
      </c>
      <c r="C388" s="45" t="s">
        <v>613</v>
      </c>
      <c r="D388" s="42"/>
      <c r="E388" s="45">
        <v>120</v>
      </c>
      <c r="F388" s="3">
        <v>200</v>
      </c>
    </row>
    <row r="389" spans="1:6" s="44" customFormat="1" x14ac:dyDescent="0.2">
      <c r="A389" s="45" t="s">
        <v>553</v>
      </c>
      <c r="B389" s="45">
        <v>10</v>
      </c>
      <c r="C389" s="45" t="s">
        <v>616</v>
      </c>
      <c r="D389" s="42"/>
      <c r="E389" s="45">
        <v>0</v>
      </c>
      <c r="F389" s="3">
        <v>200</v>
      </c>
    </row>
    <row r="390" spans="1:6" s="44" customFormat="1" x14ac:dyDescent="0.2">
      <c r="A390" s="45" t="s">
        <v>553</v>
      </c>
      <c r="B390" s="45">
        <v>40</v>
      </c>
      <c r="C390" s="45" t="s">
        <v>617</v>
      </c>
      <c r="D390" s="42"/>
      <c r="E390" s="45">
        <v>0</v>
      </c>
      <c r="F390" s="3">
        <v>200</v>
      </c>
    </row>
    <row r="391" spans="1:6" s="44" customFormat="1" x14ac:dyDescent="0.2">
      <c r="A391" s="45" t="s">
        <v>554</v>
      </c>
      <c r="B391" s="45">
        <v>30</v>
      </c>
      <c r="C391" s="45" t="s">
        <v>584</v>
      </c>
      <c r="D391" s="42"/>
      <c r="E391" s="45">
        <v>1080</v>
      </c>
      <c r="F391" s="3">
        <v>200</v>
      </c>
    </row>
    <row r="392" spans="1:6" s="44" customFormat="1" x14ac:dyDescent="0.2">
      <c r="A392" s="45" t="s">
        <v>554</v>
      </c>
      <c r="B392" s="45">
        <v>40</v>
      </c>
      <c r="C392" s="45" t="s">
        <v>599</v>
      </c>
      <c r="D392" s="42"/>
      <c r="E392" s="45">
        <v>480</v>
      </c>
      <c r="F392" s="3">
        <v>200</v>
      </c>
    </row>
    <row r="393" spans="1:6" s="44" customFormat="1" x14ac:dyDescent="0.2">
      <c r="A393" s="45" t="s">
        <v>554</v>
      </c>
      <c r="B393" s="45">
        <v>20</v>
      </c>
      <c r="C393" s="45" t="s">
        <v>613</v>
      </c>
      <c r="D393" s="42"/>
      <c r="E393" s="45">
        <v>120</v>
      </c>
      <c r="F393" s="3">
        <v>200</v>
      </c>
    </row>
    <row r="394" spans="1:6" s="44" customFormat="1" x14ac:dyDescent="0.2">
      <c r="A394" s="45" t="s">
        <v>554</v>
      </c>
      <c r="B394" s="45">
        <v>10</v>
      </c>
      <c r="C394" s="45" t="s">
        <v>616</v>
      </c>
      <c r="D394" s="42"/>
      <c r="E394" s="45">
        <v>0</v>
      </c>
      <c r="F394" s="3">
        <v>200</v>
      </c>
    </row>
    <row r="395" spans="1:6" s="44" customFormat="1" x14ac:dyDescent="0.2">
      <c r="A395" s="45" t="s">
        <v>554</v>
      </c>
      <c r="B395" s="45">
        <v>50</v>
      </c>
      <c r="C395" s="45" t="s">
        <v>617</v>
      </c>
      <c r="D395" s="42"/>
      <c r="E395" s="45">
        <v>0</v>
      </c>
      <c r="F395" s="3">
        <v>200</v>
      </c>
    </row>
    <row r="396" spans="1:6" s="44" customFormat="1" x14ac:dyDescent="0.2">
      <c r="A396" s="45" t="s">
        <v>555</v>
      </c>
      <c r="B396" s="45">
        <v>30</v>
      </c>
      <c r="C396" s="45" t="s">
        <v>584</v>
      </c>
      <c r="D396" s="42"/>
      <c r="E396" s="45">
        <v>1080</v>
      </c>
      <c r="F396" s="3">
        <v>200</v>
      </c>
    </row>
    <row r="397" spans="1:6" s="44" customFormat="1" x14ac:dyDescent="0.2">
      <c r="A397" s="45" t="s">
        <v>555</v>
      </c>
      <c r="B397" s="45">
        <v>40</v>
      </c>
      <c r="C397" s="45" t="s">
        <v>600</v>
      </c>
      <c r="D397" s="42"/>
      <c r="E397" s="45">
        <v>360</v>
      </c>
      <c r="F397" s="3">
        <v>200</v>
      </c>
    </row>
    <row r="398" spans="1:6" s="44" customFormat="1" x14ac:dyDescent="0.2">
      <c r="A398" s="45" t="s">
        <v>555</v>
      </c>
      <c r="B398" s="45">
        <v>50</v>
      </c>
      <c r="C398" s="45" t="s">
        <v>607</v>
      </c>
      <c r="D398" s="42"/>
      <c r="E398" s="45">
        <v>420</v>
      </c>
      <c r="F398" s="3">
        <v>200</v>
      </c>
    </row>
    <row r="399" spans="1:6" s="44" customFormat="1" x14ac:dyDescent="0.2">
      <c r="A399" s="45" t="s">
        <v>555</v>
      </c>
      <c r="B399" s="45">
        <v>20</v>
      </c>
      <c r="C399" s="45" t="s">
        <v>613</v>
      </c>
      <c r="D399" s="42"/>
      <c r="E399" s="45">
        <v>180</v>
      </c>
      <c r="F399" s="3">
        <v>200</v>
      </c>
    </row>
    <row r="400" spans="1:6" s="44" customFormat="1" x14ac:dyDescent="0.2">
      <c r="A400" s="45" t="s">
        <v>555</v>
      </c>
      <c r="B400" s="45">
        <v>10</v>
      </c>
      <c r="C400" s="45" t="s">
        <v>616</v>
      </c>
      <c r="D400" s="42"/>
      <c r="E400" s="45">
        <v>0</v>
      </c>
      <c r="F400" s="3">
        <v>200</v>
      </c>
    </row>
    <row r="401" spans="1:6" s="44" customFormat="1" x14ac:dyDescent="0.2">
      <c r="A401" s="45" t="s">
        <v>555</v>
      </c>
      <c r="B401" s="45">
        <v>60</v>
      </c>
      <c r="C401" s="45" t="s">
        <v>617</v>
      </c>
      <c r="D401" s="42"/>
      <c r="E401" s="45">
        <v>0</v>
      </c>
      <c r="F401" s="3">
        <v>200</v>
      </c>
    </row>
    <row r="402" spans="1:6" s="44" customFormat="1" x14ac:dyDescent="0.2">
      <c r="A402" s="45" t="s">
        <v>556</v>
      </c>
      <c r="B402" s="45">
        <v>30</v>
      </c>
      <c r="C402" s="45" t="s">
        <v>582</v>
      </c>
      <c r="D402" s="42"/>
      <c r="E402" s="45">
        <v>1080</v>
      </c>
      <c r="F402" s="3">
        <v>200</v>
      </c>
    </row>
    <row r="403" spans="1:6" s="44" customFormat="1" x14ac:dyDescent="0.2">
      <c r="A403" s="45" t="s">
        <v>556</v>
      </c>
      <c r="B403" s="45">
        <v>40</v>
      </c>
      <c r="C403" s="45" t="s">
        <v>599</v>
      </c>
      <c r="D403" s="42"/>
      <c r="E403" s="45">
        <v>360</v>
      </c>
      <c r="F403" s="3">
        <v>200</v>
      </c>
    </row>
    <row r="404" spans="1:6" s="44" customFormat="1" x14ac:dyDescent="0.2">
      <c r="A404" s="45" t="s">
        <v>556</v>
      </c>
      <c r="B404" s="45">
        <v>20</v>
      </c>
      <c r="C404" s="45" t="s">
        <v>613</v>
      </c>
      <c r="D404" s="42"/>
      <c r="E404" s="45">
        <v>120</v>
      </c>
      <c r="F404" s="3">
        <v>200</v>
      </c>
    </row>
    <row r="405" spans="1:6" s="44" customFormat="1" x14ac:dyDescent="0.2">
      <c r="A405" s="45" t="s">
        <v>556</v>
      </c>
      <c r="B405" s="45">
        <v>10</v>
      </c>
      <c r="C405" s="45" t="s">
        <v>616</v>
      </c>
      <c r="D405" s="42"/>
      <c r="E405" s="45">
        <v>0</v>
      </c>
      <c r="F405" s="3">
        <v>200</v>
      </c>
    </row>
    <row r="406" spans="1:6" s="44" customFormat="1" x14ac:dyDescent="0.2">
      <c r="A406" s="45" t="s">
        <v>556</v>
      </c>
      <c r="B406" s="45">
        <v>50</v>
      </c>
      <c r="C406" s="45" t="s">
        <v>617</v>
      </c>
      <c r="D406" s="42"/>
      <c r="E406" s="45">
        <v>0</v>
      </c>
      <c r="F406" s="3">
        <v>200</v>
      </c>
    </row>
    <row r="407" spans="1:6" s="44" customFormat="1" x14ac:dyDescent="0.2">
      <c r="A407" s="45" t="s">
        <v>182</v>
      </c>
      <c r="B407" s="45">
        <v>40</v>
      </c>
      <c r="C407" s="45" t="s">
        <v>576</v>
      </c>
      <c r="D407" s="42"/>
      <c r="E407" s="45">
        <v>120</v>
      </c>
      <c r="F407" s="3">
        <v>200</v>
      </c>
    </row>
    <row r="408" spans="1:6" s="44" customFormat="1" x14ac:dyDescent="0.2">
      <c r="A408" s="45" t="s">
        <v>182</v>
      </c>
      <c r="B408" s="45">
        <v>30</v>
      </c>
      <c r="C408" s="45" t="s">
        <v>577</v>
      </c>
      <c r="D408" s="42"/>
      <c r="E408" s="45">
        <v>120</v>
      </c>
      <c r="F408" s="3">
        <v>200</v>
      </c>
    </row>
    <row r="409" spans="1:6" s="44" customFormat="1" x14ac:dyDescent="0.2">
      <c r="A409" s="45" t="s">
        <v>182</v>
      </c>
      <c r="B409" s="45">
        <v>50</v>
      </c>
      <c r="C409" s="45" t="s">
        <v>596</v>
      </c>
      <c r="D409" s="42"/>
      <c r="E409" s="45">
        <v>180</v>
      </c>
      <c r="F409" s="3">
        <v>200</v>
      </c>
    </row>
    <row r="410" spans="1:6" s="44" customFormat="1" x14ac:dyDescent="0.2">
      <c r="A410" s="45" t="s">
        <v>182</v>
      </c>
      <c r="B410" s="45">
        <v>60</v>
      </c>
      <c r="C410" s="45" t="s">
        <v>604</v>
      </c>
      <c r="D410" s="42"/>
      <c r="E410" s="45">
        <v>180</v>
      </c>
      <c r="F410" s="3">
        <v>200</v>
      </c>
    </row>
    <row r="411" spans="1:6" s="44" customFormat="1" x14ac:dyDescent="0.2">
      <c r="A411" s="45" t="s">
        <v>182</v>
      </c>
      <c r="B411" s="45">
        <v>70</v>
      </c>
      <c r="C411" s="45" t="s">
        <v>605</v>
      </c>
      <c r="D411" s="42"/>
      <c r="E411" s="45">
        <v>780</v>
      </c>
      <c r="F411" s="3">
        <v>200</v>
      </c>
    </row>
    <row r="412" spans="1:6" s="44" customFormat="1" x14ac:dyDescent="0.2">
      <c r="A412" s="45" t="s">
        <v>182</v>
      </c>
      <c r="B412" s="45">
        <v>20</v>
      </c>
      <c r="C412" s="45" t="s">
        <v>613</v>
      </c>
      <c r="D412" s="42"/>
      <c r="E412" s="45">
        <v>180</v>
      </c>
      <c r="F412" s="3">
        <v>200</v>
      </c>
    </row>
    <row r="413" spans="1:6" s="44" customFormat="1" x14ac:dyDescent="0.2">
      <c r="A413" s="45" t="s">
        <v>182</v>
      </c>
      <c r="B413" s="45">
        <v>10</v>
      </c>
      <c r="C413" s="45" t="s">
        <v>616</v>
      </c>
      <c r="D413" s="42"/>
      <c r="E413" s="45">
        <v>0</v>
      </c>
      <c r="F413" s="3">
        <v>200</v>
      </c>
    </row>
    <row r="414" spans="1:6" s="44" customFormat="1" x14ac:dyDescent="0.2">
      <c r="A414" s="45" t="s">
        <v>182</v>
      </c>
      <c r="B414" s="45">
        <v>80</v>
      </c>
      <c r="C414" s="45" t="s">
        <v>617</v>
      </c>
      <c r="D414" s="42"/>
      <c r="E414" s="45">
        <v>0</v>
      </c>
      <c r="F414" s="3">
        <v>200</v>
      </c>
    </row>
    <row r="415" spans="1:6" s="44" customFormat="1" x14ac:dyDescent="0.2">
      <c r="A415" s="45" t="s">
        <v>557</v>
      </c>
      <c r="B415" s="45">
        <v>30</v>
      </c>
      <c r="C415" s="45" t="s">
        <v>578</v>
      </c>
      <c r="D415" s="42"/>
      <c r="E415" s="45">
        <v>720</v>
      </c>
      <c r="F415" s="3">
        <v>200</v>
      </c>
    </row>
    <row r="416" spans="1:6" s="44" customFormat="1" x14ac:dyDescent="0.2">
      <c r="A416" s="45" t="s">
        <v>557</v>
      </c>
      <c r="B416" s="45">
        <v>50</v>
      </c>
      <c r="C416" s="45" t="s">
        <v>597</v>
      </c>
      <c r="D416" s="42"/>
      <c r="E416" s="45">
        <v>720</v>
      </c>
      <c r="F416" s="3">
        <v>200</v>
      </c>
    </row>
    <row r="417" spans="1:6" s="44" customFormat="1" x14ac:dyDescent="0.2">
      <c r="A417" s="45" t="s">
        <v>557</v>
      </c>
      <c r="B417" s="45">
        <v>40</v>
      </c>
      <c r="C417" s="45" t="s">
        <v>606</v>
      </c>
      <c r="D417" s="42"/>
      <c r="E417" s="45">
        <v>120</v>
      </c>
      <c r="F417" s="3">
        <v>200</v>
      </c>
    </row>
    <row r="418" spans="1:6" s="44" customFormat="1" x14ac:dyDescent="0.2">
      <c r="A418" s="45" t="s">
        <v>557</v>
      </c>
      <c r="B418" s="45">
        <v>20</v>
      </c>
      <c r="C418" s="45" t="s">
        <v>609</v>
      </c>
      <c r="D418" s="42"/>
      <c r="E418" s="45">
        <v>240</v>
      </c>
      <c r="F418" s="3">
        <v>200</v>
      </c>
    </row>
    <row r="419" spans="1:6" s="44" customFormat="1" x14ac:dyDescent="0.2">
      <c r="A419" s="45" t="s">
        <v>557</v>
      </c>
      <c r="B419" s="45">
        <v>10</v>
      </c>
      <c r="C419" s="45" t="s">
        <v>616</v>
      </c>
      <c r="D419" s="42"/>
      <c r="E419" s="45">
        <v>0</v>
      </c>
      <c r="F419" s="3">
        <v>200</v>
      </c>
    </row>
    <row r="420" spans="1:6" s="44" customFormat="1" x14ac:dyDescent="0.2">
      <c r="A420" s="45" t="s">
        <v>557</v>
      </c>
      <c r="B420" s="45">
        <v>60</v>
      </c>
      <c r="C420" s="45" t="s">
        <v>617</v>
      </c>
      <c r="D420" s="42"/>
      <c r="E420" s="45">
        <v>0</v>
      </c>
      <c r="F420" s="3">
        <v>200</v>
      </c>
    </row>
    <row r="421" spans="1:6" s="44" customFormat="1" x14ac:dyDescent="0.2">
      <c r="A421" s="45" t="s">
        <v>192</v>
      </c>
      <c r="B421" s="45">
        <v>30</v>
      </c>
      <c r="C421" s="45" t="s">
        <v>578</v>
      </c>
      <c r="D421" s="42"/>
      <c r="E421" s="45">
        <v>720</v>
      </c>
      <c r="F421" s="3">
        <v>200</v>
      </c>
    </row>
    <row r="422" spans="1:6" s="44" customFormat="1" x14ac:dyDescent="0.2">
      <c r="A422" s="45" t="s">
        <v>192</v>
      </c>
      <c r="B422" s="45">
        <v>40</v>
      </c>
      <c r="C422" s="45" t="s">
        <v>598</v>
      </c>
      <c r="D422" s="42"/>
      <c r="E422" s="45">
        <v>120</v>
      </c>
      <c r="F422" s="3">
        <v>200</v>
      </c>
    </row>
    <row r="423" spans="1:6" s="44" customFormat="1" x14ac:dyDescent="0.2">
      <c r="A423" s="45" t="s">
        <v>192</v>
      </c>
      <c r="B423" s="45">
        <v>50</v>
      </c>
      <c r="C423" s="45" t="s">
        <v>607</v>
      </c>
      <c r="D423" s="42"/>
      <c r="E423" s="45">
        <v>3600</v>
      </c>
      <c r="F423" s="3">
        <v>200</v>
      </c>
    </row>
    <row r="424" spans="1:6" s="44" customFormat="1" x14ac:dyDescent="0.2">
      <c r="A424" s="45" t="s">
        <v>192</v>
      </c>
      <c r="B424" s="45">
        <v>20</v>
      </c>
      <c r="C424" s="45" t="s">
        <v>609</v>
      </c>
      <c r="D424" s="42"/>
      <c r="E424" s="45">
        <v>120</v>
      </c>
      <c r="F424" s="3">
        <v>200</v>
      </c>
    </row>
    <row r="425" spans="1:6" s="44" customFormat="1" x14ac:dyDescent="0.2">
      <c r="A425" s="45" t="s">
        <v>192</v>
      </c>
      <c r="B425" s="45">
        <v>10</v>
      </c>
      <c r="C425" s="45" t="s">
        <v>616</v>
      </c>
      <c r="D425" s="42"/>
      <c r="E425" s="45">
        <v>0</v>
      </c>
      <c r="F425" s="3">
        <v>200</v>
      </c>
    </row>
    <row r="426" spans="1:6" s="44" customFormat="1" x14ac:dyDescent="0.2">
      <c r="A426" s="45" t="s">
        <v>192</v>
      </c>
      <c r="B426" s="45">
        <v>60</v>
      </c>
      <c r="C426" s="45" t="s">
        <v>617</v>
      </c>
      <c r="D426" s="42"/>
      <c r="E426" s="45">
        <v>0</v>
      </c>
      <c r="F426" s="3">
        <v>200</v>
      </c>
    </row>
    <row r="427" spans="1:6" s="44" customFormat="1" x14ac:dyDescent="0.2">
      <c r="A427" s="45" t="s">
        <v>558</v>
      </c>
      <c r="B427" s="45">
        <v>30</v>
      </c>
      <c r="C427" s="45" t="s">
        <v>578</v>
      </c>
      <c r="D427" s="42"/>
      <c r="E427" s="45">
        <v>720</v>
      </c>
      <c r="F427" s="3">
        <v>200</v>
      </c>
    </row>
    <row r="428" spans="1:6" s="44" customFormat="1" x14ac:dyDescent="0.2">
      <c r="A428" s="45" t="s">
        <v>558</v>
      </c>
      <c r="B428" s="45">
        <v>50</v>
      </c>
      <c r="C428" s="45" t="s">
        <v>597</v>
      </c>
      <c r="D428" s="42"/>
      <c r="E428" s="45">
        <v>360</v>
      </c>
      <c r="F428" s="3">
        <v>200</v>
      </c>
    </row>
    <row r="429" spans="1:6" s="44" customFormat="1" x14ac:dyDescent="0.2">
      <c r="A429" s="45" t="s">
        <v>558</v>
      </c>
      <c r="B429" s="45">
        <v>40</v>
      </c>
      <c r="C429" s="45" t="s">
        <v>606</v>
      </c>
      <c r="D429" s="42"/>
      <c r="E429" s="45">
        <v>120</v>
      </c>
      <c r="F429" s="3">
        <v>200</v>
      </c>
    </row>
    <row r="430" spans="1:6" s="44" customFormat="1" x14ac:dyDescent="0.2">
      <c r="A430" s="45" t="s">
        <v>558</v>
      </c>
      <c r="B430" s="45">
        <v>20</v>
      </c>
      <c r="C430" s="45" t="s">
        <v>609</v>
      </c>
      <c r="D430" s="42"/>
      <c r="E430" s="45">
        <v>120</v>
      </c>
      <c r="F430" s="3">
        <v>200</v>
      </c>
    </row>
    <row r="431" spans="1:6" s="44" customFormat="1" x14ac:dyDescent="0.2">
      <c r="A431" s="45" t="s">
        <v>558</v>
      </c>
      <c r="B431" s="45">
        <v>10</v>
      </c>
      <c r="C431" s="45" t="s">
        <v>616</v>
      </c>
      <c r="D431" s="42"/>
      <c r="E431" s="45">
        <v>0</v>
      </c>
      <c r="F431" s="3">
        <v>200</v>
      </c>
    </row>
    <row r="432" spans="1:6" s="44" customFormat="1" x14ac:dyDescent="0.2">
      <c r="A432" s="45" t="s">
        <v>558</v>
      </c>
      <c r="B432" s="45">
        <v>60</v>
      </c>
      <c r="C432" s="45" t="s">
        <v>617</v>
      </c>
      <c r="D432" s="42"/>
      <c r="E432" s="45">
        <v>0</v>
      </c>
      <c r="F432" s="3">
        <v>200</v>
      </c>
    </row>
    <row r="433" spans="1:6" s="44" customFormat="1" x14ac:dyDescent="0.2">
      <c r="A433" s="45" t="s">
        <v>186</v>
      </c>
      <c r="B433" s="45">
        <v>30</v>
      </c>
      <c r="C433" s="45" t="s">
        <v>578</v>
      </c>
      <c r="D433" s="42"/>
      <c r="E433" s="45">
        <v>720</v>
      </c>
      <c r="F433" s="3">
        <v>200</v>
      </c>
    </row>
    <row r="434" spans="1:6" s="44" customFormat="1" x14ac:dyDescent="0.2">
      <c r="A434" s="45" t="s">
        <v>186</v>
      </c>
      <c r="B434" s="45">
        <v>40</v>
      </c>
      <c r="C434" s="45" t="s">
        <v>598</v>
      </c>
      <c r="D434" s="42"/>
      <c r="E434" s="45">
        <v>120</v>
      </c>
      <c r="F434" s="3">
        <v>200</v>
      </c>
    </row>
    <row r="435" spans="1:6" s="44" customFormat="1" x14ac:dyDescent="0.2">
      <c r="A435" s="45" t="s">
        <v>186</v>
      </c>
      <c r="B435" s="45">
        <v>50</v>
      </c>
      <c r="C435" s="45" t="s">
        <v>607</v>
      </c>
      <c r="D435" s="42"/>
      <c r="E435" s="45">
        <v>480</v>
      </c>
      <c r="F435" s="3">
        <v>200</v>
      </c>
    </row>
    <row r="436" spans="1:6" s="44" customFormat="1" x14ac:dyDescent="0.2">
      <c r="A436" s="45" t="s">
        <v>186</v>
      </c>
      <c r="B436" s="45">
        <v>20</v>
      </c>
      <c r="C436" s="45" t="s">
        <v>609</v>
      </c>
      <c r="D436" s="42"/>
      <c r="E436" s="45">
        <v>120</v>
      </c>
      <c r="F436" s="3">
        <v>200</v>
      </c>
    </row>
    <row r="437" spans="1:6" s="44" customFormat="1" x14ac:dyDescent="0.2">
      <c r="A437" s="45" t="s">
        <v>186</v>
      </c>
      <c r="B437" s="45">
        <v>10</v>
      </c>
      <c r="C437" s="45" t="s">
        <v>616</v>
      </c>
      <c r="D437" s="42"/>
      <c r="E437" s="45">
        <v>0</v>
      </c>
      <c r="F437" s="3">
        <v>200</v>
      </c>
    </row>
    <row r="438" spans="1:6" s="44" customFormat="1" x14ac:dyDescent="0.2">
      <c r="A438" s="45" t="s">
        <v>186</v>
      </c>
      <c r="B438" s="45">
        <v>60</v>
      </c>
      <c r="C438" s="45" t="s">
        <v>617</v>
      </c>
      <c r="D438" s="42"/>
      <c r="E438" s="45">
        <v>0</v>
      </c>
      <c r="F438" s="3">
        <v>200</v>
      </c>
    </row>
    <row r="439" spans="1:6" s="44" customFormat="1" x14ac:dyDescent="0.2">
      <c r="A439" s="45" t="s">
        <v>194</v>
      </c>
      <c r="B439" s="45">
        <v>30</v>
      </c>
      <c r="C439" s="45" t="s">
        <v>578</v>
      </c>
      <c r="D439" s="42"/>
      <c r="E439" s="45">
        <v>360</v>
      </c>
      <c r="F439" s="3">
        <v>200</v>
      </c>
    </row>
    <row r="440" spans="1:6" s="44" customFormat="1" x14ac:dyDescent="0.2">
      <c r="A440" s="45" t="s">
        <v>194</v>
      </c>
      <c r="B440" s="45">
        <v>40</v>
      </c>
      <c r="C440" s="45" t="s">
        <v>598</v>
      </c>
      <c r="D440" s="42"/>
      <c r="E440" s="45">
        <v>180</v>
      </c>
      <c r="F440" s="3">
        <v>200</v>
      </c>
    </row>
    <row r="441" spans="1:6" s="44" customFormat="1" x14ac:dyDescent="0.2">
      <c r="A441" s="45" t="s">
        <v>194</v>
      </c>
      <c r="B441" s="45">
        <v>50</v>
      </c>
      <c r="C441" s="45" t="s">
        <v>607</v>
      </c>
      <c r="D441" s="42"/>
      <c r="E441" s="45">
        <v>900</v>
      </c>
      <c r="F441" s="3">
        <v>200</v>
      </c>
    </row>
    <row r="442" spans="1:6" s="44" customFormat="1" x14ac:dyDescent="0.2">
      <c r="A442" s="45" t="s">
        <v>194</v>
      </c>
      <c r="B442" s="45">
        <v>20</v>
      </c>
      <c r="C442" s="45" t="s">
        <v>609</v>
      </c>
      <c r="D442" s="42"/>
      <c r="E442" s="45">
        <v>60</v>
      </c>
      <c r="F442" s="3">
        <v>200</v>
      </c>
    </row>
    <row r="443" spans="1:6" s="44" customFormat="1" x14ac:dyDescent="0.2">
      <c r="A443" s="45" t="s">
        <v>194</v>
      </c>
      <c r="B443" s="45">
        <v>10</v>
      </c>
      <c r="C443" s="45" t="s">
        <v>616</v>
      </c>
      <c r="D443" s="42"/>
      <c r="E443" s="45">
        <v>0</v>
      </c>
      <c r="F443" s="3">
        <v>200</v>
      </c>
    </row>
    <row r="444" spans="1:6" s="44" customFormat="1" x14ac:dyDescent="0.2">
      <c r="A444" s="45" t="s">
        <v>194</v>
      </c>
      <c r="B444" s="45">
        <v>60</v>
      </c>
      <c r="C444" s="45" t="s">
        <v>617</v>
      </c>
      <c r="D444" s="42"/>
      <c r="E444" s="45">
        <v>0</v>
      </c>
      <c r="F444" s="3">
        <v>200</v>
      </c>
    </row>
    <row r="445" spans="1:6" s="44" customFormat="1" x14ac:dyDescent="0.2">
      <c r="A445" s="45" t="s">
        <v>196</v>
      </c>
      <c r="B445" s="45">
        <v>30</v>
      </c>
      <c r="C445" s="45" t="s">
        <v>578</v>
      </c>
      <c r="D445" s="42"/>
      <c r="E445" s="45">
        <v>540</v>
      </c>
      <c r="F445" s="3">
        <v>200</v>
      </c>
    </row>
    <row r="446" spans="1:6" s="44" customFormat="1" x14ac:dyDescent="0.2">
      <c r="A446" s="45" t="s">
        <v>196</v>
      </c>
      <c r="B446" s="45">
        <v>40</v>
      </c>
      <c r="C446" s="45" t="s">
        <v>598</v>
      </c>
      <c r="D446" s="42"/>
      <c r="E446" s="45">
        <v>180</v>
      </c>
      <c r="F446" s="3">
        <v>200</v>
      </c>
    </row>
    <row r="447" spans="1:6" s="44" customFormat="1" x14ac:dyDescent="0.2">
      <c r="A447" s="45" t="s">
        <v>196</v>
      </c>
      <c r="B447" s="45">
        <v>50</v>
      </c>
      <c r="C447" s="45" t="s">
        <v>607</v>
      </c>
      <c r="D447" s="42"/>
      <c r="E447" s="45">
        <v>240</v>
      </c>
      <c r="F447" s="3">
        <v>200</v>
      </c>
    </row>
    <row r="448" spans="1:6" s="44" customFormat="1" x14ac:dyDescent="0.2">
      <c r="A448" s="45" t="s">
        <v>196</v>
      </c>
      <c r="B448" s="45">
        <v>20</v>
      </c>
      <c r="C448" s="45" t="s">
        <v>609</v>
      </c>
      <c r="D448" s="42"/>
      <c r="E448" s="45">
        <v>120</v>
      </c>
      <c r="F448" s="3">
        <v>200</v>
      </c>
    </row>
    <row r="449" spans="1:6" s="44" customFormat="1" x14ac:dyDescent="0.2">
      <c r="A449" s="45" t="s">
        <v>196</v>
      </c>
      <c r="B449" s="45">
        <v>10</v>
      </c>
      <c r="C449" s="45" t="s">
        <v>616</v>
      </c>
      <c r="D449" s="42"/>
      <c r="E449" s="45">
        <v>0</v>
      </c>
      <c r="F449" s="3">
        <v>200</v>
      </c>
    </row>
    <row r="450" spans="1:6" s="44" customFormat="1" x14ac:dyDescent="0.2">
      <c r="A450" s="45" t="s">
        <v>196</v>
      </c>
      <c r="B450" s="45">
        <v>60</v>
      </c>
      <c r="C450" s="45" t="s">
        <v>617</v>
      </c>
      <c r="D450" s="42"/>
      <c r="E450" s="45">
        <v>0</v>
      </c>
      <c r="F450" s="3">
        <v>200</v>
      </c>
    </row>
    <row r="451" spans="1:6" s="44" customFormat="1" x14ac:dyDescent="0.2">
      <c r="A451" s="45" t="s">
        <v>202</v>
      </c>
      <c r="B451" s="45">
        <v>30</v>
      </c>
      <c r="C451" s="45" t="s">
        <v>578</v>
      </c>
      <c r="D451" s="42"/>
      <c r="E451" s="45">
        <v>840</v>
      </c>
      <c r="F451" s="3">
        <v>200</v>
      </c>
    </row>
    <row r="452" spans="1:6" s="44" customFormat="1" x14ac:dyDescent="0.2">
      <c r="A452" s="45" t="s">
        <v>202</v>
      </c>
      <c r="B452" s="45">
        <v>40</v>
      </c>
      <c r="C452" s="45" t="s">
        <v>598</v>
      </c>
      <c r="D452" s="42"/>
      <c r="E452" s="45">
        <v>840</v>
      </c>
      <c r="F452" s="3">
        <v>200</v>
      </c>
    </row>
    <row r="453" spans="1:6" s="44" customFormat="1" x14ac:dyDescent="0.2">
      <c r="A453" s="45" t="s">
        <v>202</v>
      </c>
      <c r="B453" s="45">
        <v>50</v>
      </c>
      <c r="C453" s="45" t="s">
        <v>607</v>
      </c>
      <c r="D453" s="42"/>
      <c r="E453" s="45">
        <v>480</v>
      </c>
      <c r="F453" s="3">
        <v>200</v>
      </c>
    </row>
    <row r="454" spans="1:6" s="44" customFormat="1" x14ac:dyDescent="0.2">
      <c r="A454" s="45" t="s">
        <v>202</v>
      </c>
      <c r="B454" s="45">
        <v>20</v>
      </c>
      <c r="C454" s="45" t="s">
        <v>609</v>
      </c>
      <c r="D454" s="42"/>
      <c r="E454" s="45">
        <v>60</v>
      </c>
      <c r="F454" s="3">
        <v>200</v>
      </c>
    </row>
    <row r="455" spans="1:6" s="44" customFormat="1" x14ac:dyDescent="0.2">
      <c r="A455" s="45" t="s">
        <v>202</v>
      </c>
      <c r="B455" s="45">
        <v>10</v>
      </c>
      <c r="C455" s="45" t="s">
        <v>616</v>
      </c>
      <c r="D455" s="42"/>
      <c r="E455" s="45">
        <v>0</v>
      </c>
      <c r="F455" s="3">
        <v>200</v>
      </c>
    </row>
    <row r="456" spans="1:6" s="44" customFormat="1" x14ac:dyDescent="0.2">
      <c r="A456" s="45" t="s">
        <v>202</v>
      </c>
      <c r="B456" s="45">
        <v>60</v>
      </c>
      <c r="C456" s="45" t="s">
        <v>617</v>
      </c>
      <c r="D456" s="42"/>
      <c r="E456" s="45">
        <v>0</v>
      </c>
      <c r="F456" s="3">
        <v>200</v>
      </c>
    </row>
    <row r="457" spans="1:6" s="44" customFormat="1" x14ac:dyDescent="0.2">
      <c r="A457" s="45" t="s">
        <v>221</v>
      </c>
      <c r="B457" s="45">
        <v>30</v>
      </c>
      <c r="C457" s="45" t="s">
        <v>578</v>
      </c>
      <c r="D457" s="42"/>
      <c r="E457" s="45">
        <v>540</v>
      </c>
      <c r="F457" s="3">
        <v>200</v>
      </c>
    </row>
    <row r="458" spans="1:6" s="44" customFormat="1" x14ac:dyDescent="0.2">
      <c r="A458" s="45" t="s">
        <v>221</v>
      </c>
      <c r="B458" s="45">
        <v>40</v>
      </c>
      <c r="C458" s="45" t="s">
        <v>598</v>
      </c>
      <c r="D458" s="42"/>
      <c r="E458" s="45">
        <v>720</v>
      </c>
      <c r="F458" s="3">
        <v>200</v>
      </c>
    </row>
    <row r="459" spans="1:6" s="44" customFormat="1" x14ac:dyDescent="0.2">
      <c r="A459" s="45" t="s">
        <v>221</v>
      </c>
      <c r="B459" s="45">
        <v>50</v>
      </c>
      <c r="C459" s="45" t="s">
        <v>607</v>
      </c>
      <c r="D459" s="42"/>
      <c r="E459" s="45">
        <v>180</v>
      </c>
      <c r="F459" s="3">
        <v>200</v>
      </c>
    </row>
    <row r="460" spans="1:6" s="44" customFormat="1" x14ac:dyDescent="0.2">
      <c r="A460" s="45" t="s">
        <v>221</v>
      </c>
      <c r="B460" s="45">
        <v>20</v>
      </c>
      <c r="C460" s="45" t="s">
        <v>609</v>
      </c>
      <c r="D460" s="42"/>
      <c r="E460" s="45">
        <v>60</v>
      </c>
      <c r="F460" s="3">
        <v>200</v>
      </c>
    </row>
    <row r="461" spans="1:6" s="44" customFormat="1" x14ac:dyDescent="0.2">
      <c r="A461" s="45" t="s">
        <v>221</v>
      </c>
      <c r="B461" s="45">
        <v>10</v>
      </c>
      <c r="C461" s="45" t="s">
        <v>616</v>
      </c>
      <c r="D461" s="42"/>
      <c r="E461" s="45">
        <v>0</v>
      </c>
      <c r="F461" s="3">
        <v>200</v>
      </c>
    </row>
    <row r="462" spans="1:6" s="44" customFormat="1" x14ac:dyDescent="0.2">
      <c r="A462" s="45" t="s">
        <v>221</v>
      </c>
      <c r="B462" s="45">
        <v>60</v>
      </c>
      <c r="C462" s="45" t="s">
        <v>617</v>
      </c>
      <c r="D462" s="42"/>
      <c r="E462" s="45">
        <v>0</v>
      </c>
      <c r="F462" s="3">
        <v>200</v>
      </c>
    </row>
    <row r="463" spans="1:6" s="44" customFormat="1" x14ac:dyDescent="0.2">
      <c r="A463" s="45" t="s">
        <v>200</v>
      </c>
      <c r="B463" s="45">
        <v>30</v>
      </c>
      <c r="C463" s="45" t="s">
        <v>580</v>
      </c>
      <c r="D463" s="42"/>
      <c r="E463" s="45">
        <v>540</v>
      </c>
      <c r="F463" s="3">
        <v>200</v>
      </c>
    </row>
    <row r="464" spans="1:6" s="44" customFormat="1" x14ac:dyDescent="0.2">
      <c r="A464" s="45" t="s">
        <v>200</v>
      </c>
      <c r="B464" s="45">
        <v>40</v>
      </c>
      <c r="C464" s="45" t="s">
        <v>594</v>
      </c>
      <c r="D464" s="42"/>
      <c r="E464" s="45">
        <v>180</v>
      </c>
      <c r="F464" s="3">
        <v>200</v>
      </c>
    </row>
    <row r="465" spans="1:6" s="44" customFormat="1" x14ac:dyDescent="0.2">
      <c r="A465" s="45" t="s">
        <v>200</v>
      </c>
      <c r="B465" s="45">
        <v>60</v>
      </c>
      <c r="C465" s="45" t="s">
        <v>600</v>
      </c>
      <c r="D465" s="42"/>
      <c r="E465" s="45">
        <v>540</v>
      </c>
      <c r="F465" s="3">
        <v>200</v>
      </c>
    </row>
    <row r="466" spans="1:6" s="44" customFormat="1" x14ac:dyDescent="0.2">
      <c r="A466" s="45" t="s">
        <v>200</v>
      </c>
      <c r="B466" s="45">
        <v>50</v>
      </c>
      <c r="C466" s="45" t="s">
        <v>601</v>
      </c>
      <c r="D466" s="42"/>
      <c r="E466" s="45">
        <v>300</v>
      </c>
      <c r="F466" s="3">
        <v>200</v>
      </c>
    </row>
    <row r="467" spans="1:6" s="44" customFormat="1" x14ac:dyDescent="0.2">
      <c r="A467" s="45" t="s">
        <v>200</v>
      </c>
      <c r="B467" s="45">
        <v>70</v>
      </c>
      <c r="C467" s="45" t="s">
        <v>605</v>
      </c>
      <c r="D467" s="42"/>
      <c r="E467" s="45">
        <v>180</v>
      </c>
      <c r="F467" s="3">
        <v>200</v>
      </c>
    </row>
    <row r="468" spans="1:6" s="44" customFormat="1" x14ac:dyDescent="0.2">
      <c r="A468" s="45" t="s">
        <v>200</v>
      </c>
      <c r="B468" s="45">
        <v>20</v>
      </c>
      <c r="C468" s="45" t="s">
        <v>611</v>
      </c>
      <c r="D468" s="42"/>
      <c r="E468" s="45">
        <v>120</v>
      </c>
      <c r="F468" s="3">
        <v>200</v>
      </c>
    </row>
    <row r="469" spans="1:6" s="44" customFormat="1" x14ac:dyDescent="0.2">
      <c r="A469" s="45" t="s">
        <v>200</v>
      </c>
      <c r="B469" s="45">
        <v>10</v>
      </c>
      <c r="C469" s="45" t="s">
        <v>616</v>
      </c>
      <c r="D469" s="42"/>
      <c r="E469" s="45">
        <v>120</v>
      </c>
      <c r="F469" s="3">
        <v>200</v>
      </c>
    </row>
    <row r="470" spans="1:6" s="44" customFormat="1" x14ac:dyDescent="0.2">
      <c r="A470" s="45" t="s">
        <v>200</v>
      </c>
      <c r="B470" s="45">
        <v>80</v>
      </c>
      <c r="C470" s="45" t="s">
        <v>617</v>
      </c>
      <c r="D470" s="42"/>
      <c r="E470" s="45">
        <v>240</v>
      </c>
      <c r="F470" s="3">
        <v>200</v>
      </c>
    </row>
    <row r="471" spans="1:6" s="44" customFormat="1" x14ac:dyDescent="0.2">
      <c r="A471" s="45" t="s">
        <v>205</v>
      </c>
      <c r="B471" s="45">
        <v>30</v>
      </c>
      <c r="C471" s="45" t="s">
        <v>580</v>
      </c>
      <c r="D471" s="42"/>
      <c r="E471" s="45">
        <v>840</v>
      </c>
      <c r="F471" s="3">
        <v>50</v>
      </c>
    </row>
    <row r="472" spans="1:6" s="44" customFormat="1" x14ac:dyDescent="0.2">
      <c r="A472" s="45" t="s">
        <v>205</v>
      </c>
      <c r="B472" s="45">
        <v>40</v>
      </c>
      <c r="C472" s="45" t="s">
        <v>594</v>
      </c>
      <c r="D472" s="42"/>
      <c r="E472" s="45">
        <v>180</v>
      </c>
      <c r="F472" s="3">
        <v>50</v>
      </c>
    </row>
    <row r="473" spans="1:6" s="44" customFormat="1" x14ac:dyDescent="0.2">
      <c r="A473" s="45" t="s">
        <v>205</v>
      </c>
      <c r="B473" s="45">
        <v>60</v>
      </c>
      <c r="C473" s="45" t="s">
        <v>600</v>
      </c>
      <c r="D473" s="42"/>
      <c r="E473" s="45">
        <v>480</v>
      </c>
      <c r="F473" s="3">
        <v>50</v>
      </c>
    </row>
    <row r="474" spans="1:6" s="44" customFormat="1" x14ac:dyDescent="0.2">
      <c r="A474" s="45" t="s">
        <v>205</v>
      </c>
      <c r="B474" s="45">
        <v>50</v>
      </c>
      <c r="C474" s="45" t="s">
        <v>601</v>
      </c>
      <c r="D474" s="42"/>
      <c r="E474" s="45">
        <v>300</v>
      </c>
      <c r="F474" s="3">
        <v>50</v>
      </c>
    </row>
    <row r="475" spans="1:6" s="44" customFormat="1" x14ac:dyDescent="0.2">
      <c r="A475" s="45" t="s">
        <v>205</v>
      </c>
      <c r="B475" s="45">
        <v>70</v>
      </c>
      <c r="C475" s="45" t="s">
        <v>605</v>
      </c>
      <c r="D475" s="42"/>
      <c r="E475" s="45">
        <v>300</v>
      </c>
      <c r="F475" s="3">
        <v>50</v>
      </c>
    </row>
    <row r="476" spans="1:6" s="44" customFormat="1" x14ac:dyDescent="0.2">
      <c r="A476" s="45" t="s">
        <v>205</v>
      </c>
      <c r="B476" s="45">
        <v>20</v>
      </c>
      <c r="C476" s="45" t="s">
        <v>611</v>
      </c>
      <c r="D476" s="42"/>
      <c r="E476" s="45">
        <v>120</v>
      </c>
      <c r="F476" s="3">
        <v>50</v>
      </c>
    </row>
    <row r="477" spans="1:6" s="44" customFormat="1" x14ac:dyDescent="0.2">
      <c r="A477" s="45" t="s">
        <v>205</v>
      </c>
      <c r="B477" s="45">
        <v>10</v>
      </c>
      <c r="C477" s="45" t="s">
        <v>616</v>
      </c>
      <c r="D477" s="42"/>
      <c r="E477" s="45">
        <v>0</v>
      </c>
      <c r="F477" s="3">
        <v>50</v>
      </c>
    </row>
    <row r="478" spans="1:6" s="44" customFormat="1" x14ac:dyDescent="0.2">
      <c r="A478" s="45" t="s">
        <v>205</v>
      </c>
      <c r="B478" s="45">
        <v>80</v>
      </c>
      <c r="C478" s="45" t="s">
        <v>617</v>
      </c>
      <c r="D478" s="42"/>
      <c r="E478" s="45">
        <v>300</v>
      </c>
      <c r="F478" s="3">
        <v>50</v>
      </c>
    </row>
    <row r="479" spans="1:6" s="44" customFormat="1" x14ac:dyDescent="0.2">
      <c r="A479" s="45" t="s">
        <v>559</v>
      </c>
      <c r="B479" s="45">
        <v>30</v>
      </c>
      <c r="C479" s="45" t="s">
        <v>574</v>
      </c>
      <c r="D479" s="42"/>
      <c r="E479" s="45">
        <v>960</v>
      </c>
      <c r="F479" s="3">
        <v>50</v>
      </c>
    </row>
    <row r="480" spans="1:6" s="44" customFormat="1" x14ac:dyDescent="0.2">
      <c r="A480" s="45" t="s">
        <v>559</v>
      </c>
      <c r="B480" s="45">
        <v>50</v>
      </c>
      <c r="C480" s="45" t="s">
        <v>596</v>
      </c>
      <c r="D480" s="42"/>
      <c r="E480" s="45">
        <v>720</v>
      </c>
      <c r="F480" s="3">
        <v>200</v>
      </c>
    </row>
    <row r="481" spans="1:6" s="44" customFormat="1" x14ac:dyDescent="0.2">
      <c r="A481" s="45" t="s">
        <v>559</v>
      </c>
      <c r="B481" s="45">
        <v>40</v>
      </c>
      <c r="C481" s="45" t="s">
        <v>601</v>
      </c>
      <c r="D481" s="42"/>
      <c r="E481" s="45">
        <v>480</v>
      </c>
      <c r="F481" s="3">
        <v>200</v>
      </c>
    </row>
    <row r="482" spans="1:6" s="44" customFormat="1" x14ac:dyDescent="0.2">
      <c r="A482" s="45" t="s">
        <v>559</v>
      </c>
      <c r="B482" s="45">
        <v>60</v>
      </c>
      <c r="C482" s="45" t="s">
        <v>605</v>
      </c>
      <c r="D482" s="42"/>
      <c r="E482" s="45">
        <v>720</v>
      </c>
      <c r="F482" s="3">
        <v>200</v>
      </c>
    </row>
    <row r="483" spans="1:6" s="44" customFormat="1" x14ac:dyDescent="0.2">
      <c r="A483" s="45" t="s">
        <v>559</v>
      </c>
      <c r="B483" s="45">
        <v>20</v>
      </c>
      <c r="C483" s="45" t="s">
        <v>611</v>
      </c>
      <c r="D483" s="42"/>
      <c r="E483" s="45">
        <v>120</v>
      </c>
      <c r="F483" s="3">
        <v>200</v>
      </c>
    </row>
    <row r="484" spans="1:6" s="44" customFormat="1" x14ac:dyDescent="0.2">
      <c r="A484" s="45" t="s">
        <v>559</v>
      </c>
      <c r="B484" s="45">
        <v>70</v>
      </c>
      <c r="C484" s="45" t="s">
        <v>615</v>
      </c>
      <c r="D484" s="42"/>
      <c r="E484" s="45">
        <v>300</v>
      </c>
      <c r="F484" s="3">
        <v>200</v>
      </c>
    </row>
    <row r="485" spans="1:6" s="44" customFormat="1" x14ac:dyDescent="0.2">
      <c r="A485" s="45" t="s">
        <v>559</v>
      </c>
      <c r="B485" s="45">
        <v>10</v>
      </c>
      <c r="C485" s="45" t="s">
        <v>616</v>
      </c>
      <c r="D485" s="42"/>
      <c r="E485" s="45">
        <v>0</v>
      </c>
      <c r="F485" s="3">
        <v>200</v>
      </c>
    </row>
    <row r="486" spans="1:6" s="44" customFormat="1" x14ac:dyDescent="0.2">
      <c r="A486" s="45" t="s">
        <v>559</v>
      </c>
      <c r="B486" s="45">
        <v>80</v>
      </c>
      <c r="C486" s="45" t="s">
        <v>617</v>
      </c>
      <c r="D486" s="42"/>
      <c r="E486" s="45">
        <v>0</v>
      </c>
      <c r="F486" s="3">
        <v>200</v>
      </c>
    </row>
    <row r="487" spans="1:6" s="44" customFormat="1" x14ac:dyDescent="0.2">
      <c r="A487" s="45" t="s">
        <v>560</v>
      </c>
      <c r="B487" s="45">
        <v>30</v>
      </c>
      <c r="C487" s="45" t="s">
        <v>574</v>
      </c>
      <c r="D487" s="42"/>
      <c r="E487" s="45">
        <v>1020</v>
      </c>
      <c r="F487" s="3">
        <v>200</v>
      </c>
    </row>
    <row r="488" spans="1:6" s="44" customFormat="1" x14ac:dyDescent="0.2">
      <c r="A488" s="45" t="s">
        <v>560</v>
      </c>
      <c r="B488" s="45">
        <v>50</v>
      </c>
      <c r="C488" s="45" t="s">
        <v>596</v>
      </c>
      <c r="D488" s="42"/>
      <c r="E488" s="45">
        <v>360</v>
      </c>
      <c r="F488" s="3">
        <v>200</v>
      </c>
    </row>
    <row r="489" spans="1:6" s="44" customFormat="1" x14ac:dyDescent="0.2">
      <c r="A489" s="45" t="s">
        <v>560</v>
      </c>
      <c r="B489" s="45">
        <v>40</v>
      </c>
      <c r="C489" s="45" t="s">
        <v>601</v>
      </c>
      <c r="D489" s="42"/>
      <c r="E489" s="45">
        <v>480</v>
      </c>
      <c r="F489" s="3">
        <v>200</v>
      </c>
    </row>
    <row r="490" spans="1:6" s="44" customFormat="1" x14ac:dyDescent="0.2">
      <c r="A490" s="45" t="s">
        <v>560</v>
      </c>
      <c r="B490" s="45">
        <v>60</v>
      </c>
      <c r="C490" s="45" t="s">
        <v>605</v>
      </c>
      <c r="D490" s="42"/>
      <c r="E490" s="45">
        <v>720</v>
      </c>
      <c r="F490" s="3">
        <v>200</v>
      </c>
    </row>
    <row r="491" spans="1:6" s="44" customFormat="1" x14ac:dyDescent="0.2">
      <c r="A491" s="45" t="s">
        <v>560</v>
      </c>
      <c r="B491" s="45">
        <v>20</v>
      </c>
      <c r="C491" s="45" t="s">
        <v>611</v>
      </c>
      <c r="D491" s="42"/>
      <c r="E491" s="45">
        <v>180</v>
      </c>
      <c r="F491" s="3">
        <v>200</v>
      </c>
    </row>
    <row r="492" spans="1:6" s="44" customFormat="1" x14ac:dyDescent="0.2">
      <c r="A492" s="45" t="s">
        <v>560</v>
      </c>
      <c r="B492" s="45">
        <v>70</v>
      </c>
      <c r="C492" s="45" t="s">
        <v>615</v>
      </c>
      <c r="D492" s="42"/>
      <c r="E492" s="45">
        <v>300</v>
      </c>
      <c r="F492" s="3">
        <v>200</v>
      </c>
    </row>
    <row r="493" spans="1:6" s="44" customFormat="1" x14ac:dyDescent="0.2">
      <c r="A493" s="45" t="s">
        <v>560</v>
      </c>
      <c r="B493" s="45">
        <v>10</v>
      </c>
      <c r="C493" s="45" t="s">
        <v>616</v>
      </c>
      <c r="D493" s="42"/>
      <c r="E493" s="45">
        <v>0</v>
      </c>
      <c r="F493" s="3">
        <v>200</v>
      </c>
    </row>
    <row r="494" spans="1:6" s="44" customFormat="1" x14ac:dyDescent="0.2">
      <c r="A494" s="45" t="s">
        <v>560</v>
      </c>
      <c r="B494" s="45">
        <v>80</v>
      </c>
      <c r="C494" s="45" t="s">
        <v>617</v>
      </c>
      <c r="D494" s="42"/>
      <c r="E494" s="45">
        <v>0</v>
      </c>
      <c r="F494" s="3">
        <v>200</v>
      </c>
    </row>
    <row r="495" spans="1:6" s="44" customFormat="1" x14ac:dyDescent="0.2">
      <c r="A495" s="45" t="s">
        <v>561</v>
      </c>
      <c r="B495" s="45">
        <v>30</v>
      </c>
      <c r="C495" s="45" t="s">
        <v>575</v>
      </c>
      <c r="D495" s="42"/>
      <c r="E495" s="45">
        <v>360</v>
      </c>
      <c r="F495" s="3">
        <v>200</v>
      </c>
    </row>
    <row r="496" spans="1:6" s="44" customFormat="1" x14ac:dyDescent="0.2">
      <c r="A496" s="45" t="s">
        <v>561</v>
      </c>
      <c r="B496" s="45">
        <v>50</v>
      </c>
      <c r="C496" s="45" t="s">
        <v>596</v>
      </c>
      <c r="D496" s="42"/>
      <c r="E496" s="45">
        <v>360</v>
      </c>
      <c r="F496" s="3">
        <v>200</v>
      </c>
    </row>
    <row r="497" spans="1:6" s="44" customFormat="1" x14ac:dyDescent="0.2">
      <c r="A497" s="45" t="s">
        <v>561</v>
      </c>
      <c r="B497" s="45">
        <v>40</v>
      </c>
      <c r="C497" s="45" t="s">
        <v>599</v>
      </c>
      <c r="D497" s="42"/>
      <c r="E497" s="45">
        <v>180</v>
      </c>
      <c r="F497" s="3">
        <v>200</v>
      </c>
    </row>
    <row r="498" spans="1:6" s="44" customFormat="1" x14ac:dyDescent="0.2">
      <c r="A498" s="45" t="s">
        <v>561</v>
      </c>
      <c r="B498" s="45">
        <v>20</v>
      </c>
      <c r="C498" s="45" t="s">
        <v>611</v>
      </c>
      <c r="D498" s="42"/>
      <c r="E498" s="45">
        <v>180</v>
      </c>
      <c r="F498" s="3">
        <v>200</v>
      </c>
    </row>
    <row r="499" spans="1:6" s="44" customFormat="1" x14ac:dyDescent="0.2">
      <c r="A499" s="45" t="s">
        <v>561</v>
      </c>
      <c r="B499" s="45">
        <v>10</v>
      </c>
      <c r="C499" s="45" t="s">
        <v>616</v>
      </c>
      <c r="D499" s="42"/>
      <c r="E499" s="45">
        <v>0</v>
      </c>
      <c r="F499" s="3">
        <v>200</v>
      </c>
    </row>
    <row r="500" spans="1:6" s="44" customFormat="1" x14ac:dyDescent="0.2">
      <c r="A500" s="45" t="s">
        <v>561</v>
      </c>
      <c r="B500" s="45">
        <v>60</v>
      </c>
      <c r="C500" s="45" t="s">
        <v>617</v>
      </c>
      <c r="D500" s="42"/>
      <c r="E500" s="45">
        <v>0</v>
      </c>
      <c r="F500" s="3">
        <v>200</v>
      </c>
    </row>
    <row r="501" spans="1:6" s="44" customFormat="1" x14ac:dyDescent="0.2">
      <c r="A501" s="45" t="s">
        <v>562</v>
      </c>
      <c r="B501" s="45">
        <v>30</v>
      </c>
      <c r="C501" s="45" t="s">
        <v>575</v>
      </c>
      <c r="D501" s="42"/>
      <c r="E501" s="45">
        <v>480</v>
      </c>
      <c r="F501" s="3">
        <v>200</v>
      </c>
    </row>
    <row r="502" spans="1:6" s="44" customFormat="1" x14ac:dyDescent="0.2">
      <c r="A502" s="45" t="s">
        <v>562</v>
      </c>
      <c r="B502" s="45">
        <v>50</v>
      </c>
      <c r="C502" s="45" t="s">
        <v>596</v>
      </c>
      <c r="D502" s="42"/>
      <c r="E502" s="45">
        <v>420</v>
      </c>
      <c r="F502" s="3">
        <v>200</v>
      </c>
    </row>
    <row r="503" spans="1:6" s="44" customFormat="1" x14ac:dyDescent="0.2">
      <c r="A503" s="45" t="s">
        <v>562</v>
      </c>
      <c r="B503" s="45">
        <v>40</v>
      </c>
      <c r="C503" s="45" t="s">
        <v>599</v>
      </c>
      <c r="D503" s="42"/>
      <c r="E503" s="45">
        <v>180</v>
      </c>
      <c r="F503" s="3">
        <v>200</v>
      </c>
    </row>
    <row r="504" spans="1:6" s="44" customFormat="1" x14ac:dyDescent="0.2">
      <c r="A504" s="45" t="s">
        <v>562</v>
      </c>
      <c r="B504" s="45">
        <v>20</v>
      </c>
      <c r="C504" s="45" t="s">
        <v>612</v>
      </c>
      <c r="D504" s="42"/>
      <c r="E504" s="45">
        <v>60</v>
      </c>
      <c r="F504" s="3">
        <v>200</v>
      </c>
    </row>
    <row r="505" spans="1:6" s="44" customFormat="1" x14ac:dyDescent="0.2">
      <c r="A505" s="45" t="s">
        <v>562</v>
      </c>
      <c r="B505" s="45">
        <v>10</v>
      </c>
      <c r="C505" s="45" t="s">
        <v>616</v>
      </c>
      <c r="D505" s="42"/>
      <c r="E505" s="45">
        <v>0</v>
      </c>
      <c r="F505" s="3">
        <v>200</v>
      </c>
    </row>
    <row r="506" spans="1:6" s="44" customFormat="1" x14ac:dyDescent="0.2">
      <c r="A506" s="45" t="s">
        <v>562</v>
      </c>
      <c r="B506" s="45">
        <v>60</v>
      </c>
      <c r="C506" s="45" t="s">
        <v>617</v>
      </c>
      <c r="D506" s="42"/>
      <c r="E506" s="45">
        <v>0</v>
      </c>
      <c r="F506" s="3">
        <v>200</v>
      </c>
    </row>
    <row r="507" spans="1:6" s="44" customFormat="1" x14ac:dyDescent="0.2">
      <c r="A507" s="45" t="s">
        <v>563</v>
      </c>
      <c r="B507" s="45">
        <v>30</v>
      </c>
      <c r="C507" s="45" t="s">
        <v>574</v>
      </c>
      <c r="D507" s="42"/>
      <c r="E507" s="45">
        <v>660</v>
      </c>
      <c r="F507" s="3">
        <v>200</v>
      </c>
    </row>
    <row r="508" spans="1:6" s="44" customFormat="1" x14ac:dyDescent="0.2">
      <c r="A508" s="45" t="s">
        <v>563</v>
      </c>
      <c r="B508" s="45">
        <v>50</v>
      </c>
      <c r="C508" s="45" t="s">
        <v>596</v>
      </c>
      <c r="D508" s="42"/>
      <c r="E508" s="45">
        <v>420</v>
      </c>
      <c r="F508" s="3">
        <v>200</v>
      </c>
    </row>
    <row r="509" spans="1:6" s="44" customFormat="1" x14ac:dyDescent="0.2">
      <c r="A509" s="45" t="s">
        <v>563</v>
      </c>
      <c r="B509" s="45">
        <v>40</v>
      </c>
      <c r="C509" s="45" t="s">
        <v>606</v>
      </c>
      <c r="D509" s="42"/>
      <c r="E509" s="45">
        <v>480</v>
      </c>
      <c r="F509" s="3">
        <v>200</v>
      </c>
    </row>
    <row r="510" spans="1:6" s="44" customFormat="1" x14ac:dyDescent="0.2">
      <c r="A510" s="45" t="s">
        <v>563</v>
      </c>
      <c r="B510" s="45">
        <v>20</v>
      </c>
      <c r="C510" s="45" t="s">
        <v>611</v>
      </c>
      <c r="D510" s="42"/>
      <c r="E510" s="45">
        <v>120</v>
      </c>
      <c r="F510" s="3">
        <v>200</v>
      </c>
    </row>
    <row r="511" spans="1:6" s="44" customFormat="1" x14ac:dyDescent="0.2">
      <c r="A511" s="45" t="s">
        <v>563</v>
      </c>
      <c r="B511" s="45">
        <v>10</v>
      </c>
      <c r="C511" s="45" t="s">
        <v>616</v>
      </c>
      <c r="D511" s="42"/>
      <c r="E511" s="45">
        <v>0</v>
      </c>
      <c r="F511" s="3">
        <v>200</v>
      </c>
    </row>
    <row r="512" spans="1:6" s="44" customFormat="1" x14ac:dyDescent="0.2">
      <c r="A512" s="45" t="s">
        <v>563</v>
      </c>
      <c r="B512" s="45">
        <v>60</v>
      </c>
      <c r="C512" s="45" t="s">
        <v>617</v>
      </c>
      <c r="D512" s="42"/>
      <c r="E512" s="45">
        <v>0</v>
      </c>
      <c r="F512" s="3">
        <v>200</v>
      </c>
    </row>
    <row r="513" spans="1:6" s="44" customFormat="1" x14ac:dyDescent="0.2">
      <c r="A513" s="45" t="s">
        <v>213</v>
      </c>
      <c r="B513" s="45">
        <v>30</v>
      </c>
      <c r="C513" s="45" t="s">
        <v>575</v>
      </c>
      <c r="D513" s="42"/>
      <c r="E513" s="45">
        <v>360</v>
      </c>
      <c r="F513" s="3">
        <v>200</v>
      </c>
    </row>
    <row r="514" spans="1:6" s="44" customFormat="1" x14ac:dyDescent="0.2">
      <c r="A514" s="45" t="s">
        <v>213</v>
      </c>
      <c r="B514" s="45">
        <v>50</v>
      </c>
      <c r="C514" s="45" t="s">
        <v>596</v>
      </c>
      <c r="D514" s="42"/>
      <c r="E514" s="45">
        <v>480</v>
      </c>
      <c r="F514" s="3">
        <v>200</v>
      </c>
    </row>
    <row r="515" spans="1:6" s="44" customFormat="1" x14ac:dyDescent="0.2">
      <c r="A515" s="45" t="s">
        <v>213</v>
      </c>
      <c r="B515" s="45">
        <v>40</v>
      </c>
      <c r="C515" s="45" t="s">
        <v>606</v>
      </c>
      <c r="D515" s="42"/>
      <c r="E515" s="45">
        <v>480</v>
      </c>
      <c r="F515" s="3">
        <v>200</v>
      </c>
    </row>
    <row r="516" spans="1:6" s="44" customFormat="1" x14ac:dyDescent="0.2">
      <c r="A516" s="45" t="s">
        <v>213</v>
      </c>
      <c r="B516" s="45">
        <v>20</v>
      </c>
      <c r="C516" s="45" t="s">
        <v>612</v>
      </c>
      <c r="D516" s="42"/>
      <c r="E516" s="45">
        <v>120</v>
      </c>
      <c r="F516" s="3">
        <v>200</v>
      </c>
    </row>
    <row r="517" spans="1:6" s="44" customFormat="1" x14ac:dyDescent="0.2">
      <c r="A517" s="45" t="s">
        <v>213</v>
      </c>
      <c r="B517" s="45">
        <v>10</v>
      </c>
      <c r="C517" s="45" t="s">
        <v>616</v>
      </c>
      <c r="D517" s="42"/>
      <c r="E517" s="45">
        <v>0</v>
      </c>
      <c r="F517" s="3">
        <v>200</v>
      </c>
    </row>
    <row r="518" spans="1:6" s="44" customFormat="1" x14ac:dyDescent="0.2">
      <c r="A518" s="45" t="s">
        <v>213</v>
      </c>
      <c r="B518" s="45">
        <v>60</v>
      </c>
      <c r="C518" s="45" t="s">
        <v>617</v>
      </c>
      <c r="D518" s="42"/>
      <c r="E518" s="45">
        <v>0</v>
      </c>
      <c r="F518" s="3">
        <v>200</v>
      </c>
    </row>
    <row r="519" spans="1:6" s="44" customFormat="1" x14ac:dyDescent="0.2">
      <c r="A519" s="45" t="s">
        <v>219</v>
      </c>
      <c r="B519" s="45">
        <v>30</v>
      </c>
      <c r="C519" s="45" t="s">
        <v>574</v>
      </c>
      <c r="D519" s="42"/>
      <c r="E519" s="45">
        <v>600</v>
      </c>
      <c r="F519" s="3">
        <v>200</v>
      </c>
    </row>
    <row r="520" spans="1:6" s="44" customFormat="1" x14ac:dyDescent="0.2">
      <c r="A520" s="45" t="s">
        <v>219</v>
      </c>
      <c r="B520" s="45">
        <v>40</v>
      </c>
      <c r="C520" s="45" t="s">
        <v>606</v>
      </c>
      <c r="D520" s="42"/>
      <c r="E520" s="45">
        <v>480</v>
      </c>
      <c r="F520" s="3">
        <v>200</v>
      </c>
    </row>
    <row r="521" spans="1:6" s="44" customFormat="1" x14ac:dyDescent="0.2">
      <c r="A521" s="45" t="s">
        <v>219</v>
      </c>
      <c r="B521" s="45">
        <v>20</v>
      </c>
      <c r="C521" s="45" t="s">
        <v>612</v>
      </c>
      <c r="D521" s="42"/>
      <c r="E521" s="45">
        <v>180</v>
      </c>
      <c r="F521" s="3">
        <v>200</v>
      </c>
    </row>
    <row r="522" spans="1:6" s="44" customFormat="1" x14ac:dyDescent="0.2">
      <c r="A522" s="45" t="s">
        <v>219</v>
      </c>
      <c r="B522" s="45">
        <v>10</v>
      </c>
      <c r="C522" s="45" t="s">
        <v>616</v>
      </c>
      <c r="D522" s="42"/>
      <c r="E522" s="45">
        <v>0</v>
      </c>
      <c r="F522" s="3">
        <v>200</v>
      </c>
    </row>
    <row r="523" spans="1:6" s="44" customFormat="1" x14ac:dyDescent="0.2">
      <c r="A523" s="45" t="s">
        <v>219</v>
      </c>
      <c r="B523" s="45">
        <v>50</v>
      </c>
      <c r="C523" s="45" t="s">
        <v>617</v>
      </c>
      <c r="D523" s="42"/>
      <c r="E523" s="45">
        <v>0</v>
      </c>
      <c r="F523" s="3">
        <v>200</v>
      </c>
    </row>
    <row r="524" spans="1:6" s="44" customFormat="1" x14ac:dyDescent="0.2">
      <c r="A524" s="45" t="s">
        <v>564</v>
      </c>
      <c r="B524" s="45">
        <v>30</v>
      </c>
      <c r="C524" s="45" t="s">
        <v>574</v>
      </c>
      <c r="D524" s="42"/>
      <c r="E524" s="45">
        <v>960</v>
      </c>
      <c r="F524" s="3">
        <v>200</v>
      </c>
    </row>
    <row r="525" spans="1:6" s="44" customFormat="1" x14ac:dyDescent="0.2">
      <c r="A525" s="45" t="s">
        <v>564</v>
      </c>
      <c r="B525" s="45">
        <v>40</v>
      </c>
      <c r="C525" s="45" t="s">
        <v>606</v>
      </c>
      <c r="D525" s="42"/>
      <c r="E525" s="45">
        <v>600</v>
      </c>
      <c r="F525" s="3">
        <v>200</v>
      </c>
    </row>
    <row r="526" spans="1:6" s="44" customFormat="1" x14ac:dyDescent="0.2">
      <c r="A526" s="45" t="s">
        <v>564</v>
      </c>
      <c r="B526" s="45">
        <v>20</v>
      </c>
      <c r="C526" s="45" t="s">
        <v>613</v>
      </c>
      <c r="D526" s="42"/>
      <c r="E526" s="45">
        <v>180</v>
      </c>
      <c r="F526" s="3">
        <v>200</v>
      </c>
    </row>
    <row r="527" spans="1:6" s="44" customFormat="1" x14ac:dyDescent="0.2">
      <c r="A527" s="45" t="s">
        <v>564</v>
      </c>
      <c r="B527" s="45">
        <v>10</v>
      </c>
      <c r="C527" s="45" t="s">
        <v>616</v>
      </c>
      <c r="D527" s="42"/>
      <c r="E527" s="45">
        <v>0</v>
      </c>
      <c r="F527" s="3">
        <v>200</v>
      </c>
    </row>
    <row r="528" spans="1:6" s="44" customFormat="1" x14ac:dyDescent="0.2">
      <c r="A528" s="45" t="s">
        <v>564</v>
      </c>
      <c r="B528" s="45">
        <v>50</v>
      </c>
      <c r="C528" s="45" t="s">
        <v>617</v>
      </c>
      <c r="D528" s="42"/>
      <c r="E528" s="45">
        <v>0</v>
      </c>
      <c r="F528" s="3">
        <v>200</v>
      </c>
    </row>
    <row r="529" spans="1:6" s="44" customFormat="1" x14ac:dyDescent="0.2">
      <c r="A529" s="45" t="s">
        <v>223</v>
      </c>
      <c r="B529" s="45">
        <v>30</v>
      </c>
      <c r="C529" s="45" t="s">
        <v>574</v>
      </c>
      <c r="D529" s="42"/>
      <c r="E529" s="45">
        <v>600</v>
      </c>
      <c r="F529" s="3">
        <v>200</v>
      </c>
    </row>
    <row r="530" spans="1:6" s="44" customFormat="1" x14ac:dyDescent="0.2">
      <c r="A530" s="45" t="s">
        <v>223</v>
      </c>
      <c r="B530" s="45">
        <v>40</v>
      </c>
      <c r="C530" s="45" t="s">
        <v>606</v>
      </c>
      <c r="D530" s="42"/>
      <c r="E530" s="45">
        <v>180</v>
      </c>
      <c r="F530" s="3">
        <v>200</v>
      </c>
    </row>
    <row r="531" spans="1:6" s="44" customFormat="1" x14ac:dyDescent="0.2">
      <c r="A531" s="45" t="s">
        <v>223</v>
      </c>
      <c r="B531" s="45">
        <v>20</v>
      </c>
      <c r="C531" s="45" t="s">
        <v>612</v>
      </c>
      <c r="D531" s="42"/>
      <c r="E531" s="45">
        <v>60</v>
      </c>
      <c r="F531" s="3">
        <v>200</v>
      </c>
    </row>
    <row r="532" spans="1:6" s="44" customFormat="1" x14ac:dyDescent="0.2">
      <c r="A532" s="45" t="s">
        <v>223</v>
      </c>
      <c r="B532" s="45">
        <v>10</v>
      </c>
      <c r="C532" s="45" t="s">
        <v>616</v>
      </c>
      <c r="D532" s="42"/>
      <c r="E532" s="45">
        <v>0</v>
      </c>
      <c r="F532" s="3">
        <v>200</v>
      </c>
    </row>
    <row r="533" spans="1:6" s="44" customFormat="1" x14ac:dyDescent="0.2">
      <c r="A533" s="45" t="s">
        <v>223</v>
      </c>
      <c r="B533" s="45">
        <v>50</v>
      </c>
      <c r="C533" s="45" t="s">
        <v>617</v>
      </c>
      <c r="D533" s="42"/>
      <c r="E533" s="45">
        <v>0</v>
      </c>
      <c r="F533" s="3">
        <v>200</v>
      </c>
    </row>
  </sheetData>
  <autoFilter ref="A1:F533" xr:uid="{F833FA6E-E253-4D7B-915E-EBBC32886775}"/>
  <phoneticPr fontId="25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workbookViewId="0">
      <selection activeCell="A3" sqref="A3:I18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03" t="s">
        <v>565</v>
      </c>
      <c r="C1" s="304"/>
      <c r="D1" s="304"/>
      <c r="E1" s="304"/>
      <c r="F1" s="304"/>
      <c r="G1" s="304"/>
      <c r="H1" s="304"/>
      <c r="I1" s="305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/>
      <c r="B3" s="51"/>
      <c r="C3" s="51"/>
      <c r="D3" s="51"/>
      <c r="E3" s="51"/>
      <c r="F3" s="51"/>
      <c r="G3" s="51"/>
      <c r="H3" s="51"/>
      <c r="I3" s="51"/>
    </row>
    <row r="4" spans="1:9" x14ac:dyDescent="0.2">
      <c r="A4" s="50"/>
      <c r="B4" s="51"/>
      <c r="C4" s="51"/>
      <c r="D4" s="51"/>
      <c r="E4" s="51"/>
      <c r="F4" s="51"/>
      <c r="G4" s="51"/>
      <c r="H4" s="51"/>
      <c r="I4" s="51"/>
    </row>
    <row r="5" spans="1:9" x14ac:dyDescent="0.2">
      <c r="A5" s="50"/>
      <c r="B5" s="51"/>
      <c r="C5" s="51"/>
      <c r="D5" s="51"/>
      <c r="E5" s="51"/>
      <c r="F5" s="51"/>
      <c r="G5" s="51"/>
      <c r="H5" s="51"/>
      <c r="I5" s="51"/>
    </row>
    <row r="6" spans="1:9" x14ac:dyDescent="0.2">
      <c r="A6" s="50"/>
      <c r="B6" s="51"/>
      <c r="C6" s="51"/>
      <c r="D6" s="51"/>
      <c r="E6" s="51"/>
      <c r="F6" s="51"/>
      <c r="G6" s="51"/>
      <c r="H6" s="51"/>
      <c r="I6" s="51"/>
    </row>
    <row r="7" spans="1:9" x14ac:dyDescent="0.2">
      <c r="A7" s="50"/>
      <c r="B7" s="51"/>
      <c r="C7" s="51"/>
      <c r="D7" s="51"/>
      <c r="E7" s="51"/>
      <c r="F7" s="51"/>
      <c r="G7" s="51"/>
      <c r="H7" s="51"/>
      <c r="I7" s="51"/>
    </row>
    <row r="8" spans="1:9" x14ac:dyDescent="0.2">
      <c r="A8" s="50"/>
      <c r="B8" s="51"/>
      <c r="C8" s="51"/>
      <c r="D8" s="51"/>
      <c r="E8" s="51"/>
      <c r="F8" s="51"/>
      <c r="G8" s="51"/>
      <c r="H8" s="51"/>
      <c r="I8" s="51"/>
    </row>
    <row r="9" spans="1:9" x14ac:dyDescent="0.2">
      <c r="A9" s="50"/>
      <c r="B9" s="51"/>
      <c r="C9" s="51"/>
      <c r="D9" s="51"/>
      <c r="E9" s="51"/>
      <c r="F9" s="51"/>
      <c r="G9" s="51"/>
      <c r="H9" s="51"/>
      <c r="I9" s="51"/>
    </row>
    <row r="10" spans="1:9" x14ac:dyDescent="0.2">
      <c r="A10" s="50"/>
      <c r="B10" s="51"/>
      <c r="C10" s="51"/>
      <c r="D10" s="51"/>
      <c r="E10" s="51"/>
      <c r="F10" s="51"/>
      <c r="G10" s="51"/>
      <c r="H10" s="51"/>
      <c r="I10" s="51"/>
    </row>
    <row r="11" spans="1:9" x14ac:dyDescent="0.2">
      <c r="A11" s="50"/>
      <c r="B11" s="51"/>
      <c r="C11" s="51"/>
      <c r="D11" s="51"/>
      <c r="E11" s="51"/>
      <c r="F11" s="51"/>
      <c r="G11" s="51"/>
      <c r="H11" s="51"/>
      <c r="I11" s="51"/>
    </row>
    <row r="12" spans="1:9" x14ac:dyDescent="0.2">
      <c r="A12" s="50"/>
      <c r="B12" s="51"/>
      <c r="C12" s="51"/>
      <c r="D12" s="51"/>
      <c r="E12" s="51"/>
      <c r="F12" s="51"/>
      <c r="G12" s="51"/>
      <c r="H12" s="51"/>
      <c r="I12" s="51"/>
    </row>
    <row r="13" spans="1:9" x14ac:dyDescent="0.2">
      <c r="A13" s="50"/>
      <c r="B13" s="51"/>
      <c r="C13" s="51"/>
      <c r="D13" s="51"/>
      <c r="E13" s="51"/>
      <c r="F13" s="51"/>
      <c r="G13" s="51"/>
      <c r="H13" s="51"/>
      <c r="I13" s="51"/>
    </row>
    <row r="14" spans="1:9" x14ac:dyDescent="0.2">
      <c r="A14" s="50"/>
      <c r="B14" s="51"/>
      <c r="C14" s="51"/>
      <c r="D14" s="51"/>
      <c r="E14" s="51"/>
      <c r="F14" s="51"/>
      <c r="G14" s="51"/>
      <c r="H14" s="51"/>
      <c r="I14" s="51"/>
    </row>
    <row r="15" spans="1:9" x14ac:dyDescent="0.2">
      <c r="A15" s="50"/>
      <c r="B15" s="51"/>
      <c r="C15" s="51"/>
      <c r="D15" s="51"/>
      <c r="E15" s="51"/>
      <c r="F15" s="51"/>
      <c r="G15" s="51"/>
      <c r="H15" s="51"/>
      <c r="I15" s="51"/>
    </row>
    <row r="16" spans="1:9" x14ac:dyDescent="0.2">
      <c r="A16" s="50"/>
      <c r="B16" s="51"/>
      <c r="C16" s="51"/>
      <c r="D16" s="51"/>
      <c r="E16" s="51"/>
      <c r="F16" s="51"/>
      <c r="G16" s="51"/>
      <c r="H16" s="51"/>
      <c r="I16" s="51"/>
    </row>
    <row r="17" spans="1:9" x14ac:dyDescent="0.2">
      <c r="A17" s="50"/>
      <c r="B17" s="51"/>
      <c r="C17" s="51"/>
      <c r="D17" s="51"/>
      <c r="E17" s="51"/>
      <c r="F17" s="51"/>
      <c r="G17" s="51"/>
      <c r="H17" s="51"/>
      <c r="I17" s="51"/>
    </row>
    <row r="18" spans="1:9" x14ac:dyDescent="0.2">
      <c r="A18" s="50"/>
      <c r="B18" s="51"/>
      <c r="C18" s="51"/>
      <c r="D18" s="51"/>
      <c r="E18" s="51"/>
      <c r="F18" s="51"/>
      <c r="G18" s="51"/>
      <c r="H18" s="51"/>
      <c r="I18" s="51"/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69" zoomScaleNormal="69" workbookViewId="0">
      <selection activeCell="B22" sqref="B22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209" t="s">
        <v>933</v>
      </c>
      <c r="B1" s="52" t="s">
        <v>566</v>
      </c>
      <c r="C1" s="309" t="s">
        <v>567</v>
      </c>
      <c r="D1" s="310"/>
      <c r="E1" s="311"/>
      <c r="F1" s="306" t="s">
        <v>568</v>
      </c>
      <c r="G1" s="307"/>
      <c r="H1" s="308"/>
      <c r="I1" s="309" t="s">
        <v>569</v>
      </c>
      <c r="J1" s="310"/>
      <c r="K1" s="310"/>
      <c r="L1" s="310"/>
      <c r="M1" s="310"/>
      <c r="N1" s="310"/>
      <c r="O1" s="310"/>
      <c r="P1" s="311"/>
      <c r="Q1" s="306" t="s">
        <v>570</v>
      </c>
      <c r="R1" s="307"/>
      <c r="S1" s="307"/>
      <c r="T1" s="308"/>
      <c r="U1" s="309" t="s">
        <v>571</v>
      </c>
      <c r="V1" s="311"/>
      <c r="W1" s="306" t="s">
        <v>567</v>
      </c>
      <c r="X1" s="307"/>
      <c r="Y1" s="308"/>
      <c r="Z1" s="148" t="s">
        <v>572</v>
      </c>
      <c r="AA1" s="52" t="s">
        <v>566</v>
      </c>
    </row>
    <row r="2" spans="1:27" ht="18" thickBot="1" x14ac:dyDescent="0.25">
      <c r="A2" s="161" t="s">
        <v>170</v>
      </c>
      <c r="B2" s="149" t="s">
        <v>616</v>
      </c>
      <c r="C2" s="150" t="s">
        <v>609</v>
      </c>
      <c r="D2" s="151" t="s">
        <v>611</v>
      </c>
      <c r="E2" s="152" t="s">
        <v>613</v>
      </c>
      <c r="F2" s="153" t="s">
        <v>575</v>
      </c>
      <c r="G2" s="154" t="s">
        <v>577</v>
      </c>
      <c r="H2" s="155" t="s">
        <v>580</v>
      </c>
      <c r="I2" s="150" t="s">
        <v>576</v>
      </c>
      <c r="J2" s="151" t="s">
        <v>578</v>
      </c>
      <c r="K2" s="151" t="s">
        <v>581</v>
      </c>
      <c r="L2" s="151" t="s">
        <v>591</v>
      </c>
      <c r="M2" s="151" t="s">
        <v>593</v>
      </c>
      <c r="N2" s="151" t="s">
        <v>594</v>
      </c>
      <c r="O2" s="151" t="s">
        <v>596</v>
      </c>
      <c r="P2" s="152" t="s">
        <v>597</v>
      </c>
      <c r="Q2" s="153" t="s">
        <v>598</v>
      </c>
      <c r="R2" s="154" t="s">
        <v>599</v>
      </c>
      <c r="S2" s="154" t="s">
        <v>601</v>
      </c>
      <c r="T2" s="155" t="s">
        <v>604</v>
      </c>
      <c r="U2" s="150" t="s">
        <v>600</v>
      </c>
      <c r="V2" s="152" t="s">
        <v>602</v>
      </c>
      <c r="W2" s="153" t="s">
        <v>605</v>
      </c>
      <c r="X2" s="154" t="s">
        <v>606</v>
      </c>
      <c r="Y2" s="155" t="s">
        <v>607</v>
      </c>
      <c r="Z2" s="156" t="s">
        <v>615</v>
      </c>
      <c r="AA2" s="149" t="s">
        <v>617</v>
      </c>
    </row>
    <row r="3" spans="1:27" ht="17" x14ac:dyDescent="0.2">
      <c r="A3" s="179"/>
      <c r="B3" s="157" t="str">
        <f t="array" ref="B3">IFERROR(VLOOKUP($A3&amp;"-"&amp;B$2, CHOOSE({1,2}, 'S12 Operations'!$A$2:$A$533&amp;"-"&amp;'S12 Operations'!$C$2:$C$533, 'S12 Operations'!$B$2:$B$533), 2, 0), "")</f>
        <v/>
      </c>
      <c r="C3" s="169" t="str">
        <f t="array" ref="C3">IFERROR(VLOOKUP($A3&amp;"-"&amp;C$2, CHOOSE({1,2}, 'S12 Operations'!$A$2:$A$533&amp;"-"&amp;'S12 Operations'!$C$2:$C$533, 'S12 Operations'!$B$2:$B$533), 2, 0), "")</f>
        <v/>
      </c>
      <c r="D3" s="170" t="str">
        <f t="array" ref="D3">IFERROR(VLOOKUP($A3&amp;"-"&amp;D$2, CHOOSE({1,2}, 'S12 Operations'!$A$2:$A$533&amp;"-"&amp;'S12 Operations'!$C$2:$C$533, 'S12 Operations'!$B$2:$B$533), 2, 0), "")</f>
        <v/>
      </c>
      <c r="E3" s="171" t="str">
        <f t="array" ref="E3">IFERROR(VLOOKUP($A3&amp;"-"&amp;E$2, CHOOSE({1,2}, 'S12 Operations'!$A$2:$A$533&amp;"-"&amp;'S12 Operations'!$C$2:$C$533, 'S12 Operations'!$B$2:$B$533), 2, 0), "")</f>
        <v/>
      </c>
      <c r="F3" s="172" t="str">
        <f t="array" ref="F3">IFERROR(VLOOKUP($A3&amp;"-"&amp;F$2, CHOOSE({1,2}, 'S12 Operations'!$A$2:$A$533&amp;"-"&amp;'S12 Operations'!$C$2:$C$533, 'S12 Operations'!$B$2:$B$533), 2, 0), "")</f>
        <v/>
      </c>
      <c r="G3" s="173" t="str">
        <f t="array" ref="G3">IFERROR(VLOOKUP($A3&amp;"-"&amp;G$2, CHOOSE({1,2}, 'S12 Operations'!$A$2:$A$533&amp;"-"&amp;'S12 Operations'!$C$2:$C$533, 'S12 Operations'!$B$2:$B$533), 2, 0), "")</f>
        <v/>
      </c>
      <c r="H3" s="174" t="str">
        <f t="array" ref="H3">IFERROR(VLOOKUP($A3&amp;"-"&amp;H$2, CHOOSE({1,2}, 'S12 Operations'!$A$2:$A$533&amp;"-"&amp;'S12 Operations'!$C$2:$C$533, 'S12 Operations'!$B$2:$B$533), 2, 0), "")</f>
        <v/>
      </c>
      <c r="I3" s="169" t="str">
        <f t="array" ref="I3">IFERROR(VLOOKUP($A3&amp;"-"&amp;I$2, CHOOSE({1,2}, 'S12 Operations'!$A$2:$A$533&amp;"-"&amp;'S12 Operations'!$C$2:$C$533, 'S12 Operations'!$B$2:$B$533), 2, 0), "")</f>
        <v/>
      </c>
      <c r="J3" s="170" t="str">
        <f t="array" ref="J3">IFERROR(VLOOKUP($A3&amp;"-"&amp;J$2, CHOOSE({1,2}, 'S12 Operations'!$A$2:$A$533&amp;"-"&amp;'S12 Operations'!$C$2:$C$533, 'S12 Operations'!$B$2:$B$533), 2, 0), "")</f>
        <v/>
      </c>
      <c r="K3" s="170" t="str">
        <f t="array" ref="K3">IFERROR(VLOOKUP($A3&amp;"-"&amp;K$2, CHOOSE({1,2}, 'S12 Operations'!$A$2:$A$533&amp;"-"&amp;'S12 Operations'!$C$2:$C$533, 'S12 Operations'!$B$2:$B$533), 2, 0), "")</f>
        <v/>
      </c>
      <c r="L3" s="170" t="str">
        <f t="array" ref="L3">IFERROR(VLOOKUP($A3&amp;"-"&amp;L$2, CHOOSE({1,2}, 'S12 Operations'!$A$2:$A$533&amp;"-"&amp;'S12 Operations'!$C$2:$C$533, 'S12 Operations'!$B$2:$B$533), 2, 0), "")</f>
        <v/>
      </c>
      <c r="M3" s="170" t="str">
        <f t="array" ref="M3">IFERROR(VLOOKUP($A3&amp;"-"&amp;M$2, CHOOSE({1,2}, 'S12 Operations'!$A$2:$A$533&amp;"-"&amp;'S12 Operations'!$C$2:$C$533, 'S12 Operations'!$B$2:$B$533), 2, 0), "")</f>
        <v/>
      </c>
      <c r="N3" s="170" t="str">
        <f t="array" ref="N3">IFERROR(VLOOKUP($A3&amp;"-"&amp;N$2, CHOOSE({1,2}, 'S12 Operations'!$A$2:$A$533&amp;"-"&amp;'S12 Operations'!$C$2:$C$533, 'S12 Operations'!$B$2:$B$533), 2, 0), "")</f>
        <v/>
      </c>
      <c r="O3" s="170" t="str">
        <f t="array" ref="O3">IFERROR(VLOOKUP($A3&amp;"-"&amp;O$2, CHOOSE({1,2}, 'S12 Operations'!$A$2:$A$533&amp;"-"&amp;'S12 Operations'!$C$2:$C$533, 'S12 Operations'!$B$2:$B$533), 2, 0), "")</f>
        <v/>
      </c>
      <c r="P3" s="171" t="str">
        <f t="array" ref="P3">IFERROR(VLOOKUP($A3&amp;"-"&amp;P$2, CHOOSE({1,2}, 'S12 Operations'!$A$2:$A$533&amp;"-"&amp;'S12 Operations'!$C$2:$C$533, 'S12 Operations'!$B$2:$B$533), 2, 0), "")</f>
        <v/>
      </c>
      <c r="Q3" s="172" t="str">
        <f t="array" ref="Q3">IFERROR(VLOOKUP($A3&amp;"-"&amp;Q$2, CHOOSE({1,2}, 'S12 Operations'!$A$2:$A$533&amp;"-"&amp;'S12 Operations'!$C$2:$C$533, 'S12 Operations'!$B$2:$B$533), 2, 0), "")</f>
        <v/>
      </c>
      <c r="R3" s="173" t="str">
        <f t="array" ref="R3">IFERROR(VLOOKUP($A3&amp;"-"&amp;R$2, CHOOSE({1,2}, 'S12 Operations'!$A$2:$A$533&amp;"-"&amp;'S12 Operations'!$C$2:$C$533, 'S12 Operations'!$B$2:$B$533), 2, 0), "")</f>
        <v/>
      </c>
      <c r="S3" s="173" t="str">
        <f t="array" ref="S3">IFERROR(VLOOKUP($A3&amp;"-"&amp;S$2, CHOOSE({1,2}, 'S12 Operations'!$A$2:$A$533&amp;"-"&amp;'S12 Operations'!$C$2:$C$533, 'S12 Operations'!$B$2:$B$533), 2, 0), "")</f>
        <v/>
      </c>
      <c r="T3" s="174" t="str">
        <f t="array" ref="T3">IFERROR(VLOOKUP($A3&amp;"-"&amp;T$2, CHOOSE({1,2}, 'S12 Operations'!$A$2:$A$533&amp;"-"&amp;'S12 Operations'!$C$2:$C$533, 'S12 Operations'!$B$2:$B$533), 2, 0), "")</f>
        <v/>
      </c>
      <c r="U3" s="169" t="str">
        <f t="array" ref="U3">IFERROR(VLOOKUP($A3&amp;"-"&amp;U$2, CHOOSE({1,2}, 'S12 Operations'!$A$2:$A$533&amp;"-"&amp;'S12 Operations'!$C$2:$C$533, 'S12 Operations'!$B$2:$B$533), 2, 0), "")</f>
        <v/>
      </c>
      <c r="V3" s="171" t="str">
        <f t="array" ref="V3">IFERROR(VLOOKUP($A3&amp;"-"&amp;V$2, CHOOSE({1,2}, 'S12 Operations'!$A$2:$A$533&amp;"-"&amp;'S12 Operations'!$C$2:$C$533, 'S12 Operations'!$B$2:$B$533), 2, 0), "")</f>
        <v/>
      </c>
      <c r="W3" s="172" t="str">
        <f t="array" ref="W3">IFERROR(VLOOKUP($A3&amp;"-"&amp;W$2, CHOOSE({1,2}, 'S12 Operations'!$A$2:$A$533&amp;"-"&amp;'S12 Operations'!$C$2:$C$533, 'S12 Operations'!$B$2:$B$533), 2, 0), "")</f>
        <v/>
      </c>
      <c r="X3" s="173" t="str">
        <f t="array" ref="X3">IFERROR(VLOOKUP($A3&amp;"-"&amp;X$2, CHOOSE({1,2}, 'S12 Operations'!$A$2:$A$533&amp;"-"&amp;'S12 Operations'!$C$2:$C$533, 'S12 Operations'!$B$2:$B$533), 2, 0), "")</f>
        <v/>
      </c>
      <c r="Y3" s="174" t="str">
        <f t="array" ref="Y3">IFERROR(VLOOKUP($A3&amp;"-"&amp;Y$2, CHOOSE({1,2}, 'S12 Operations'!$A$2:$A$533&amp;"-"&amp;'S12 Operations'!$C$2:$C$533, 'S12 Operations'!$B$2:$B$533), 2, 0), "")</f>
        <v/>
      </c>
      <c r="Z3" s="158" t="str">
        <f t="array" ref="Z3">IFERROR(VLOOKUP($A3&amp;"-"&amp;Z$2, CHOOSE({1,2}, 'S12 Operations'!$A$2:$A$533&amp;"-"&amp;'S12 Operations'!$C$2:$C$533, 'S12 Operations'!$B$2:$B$533), 2, 0), "")</f>
        <v/>
      </c>
      <c r="AA3" s="157" t="str">
        <f t="array" ref="AA3">IFERROR(VLOOKUP($A3&amp;"-"&amp;AA$2, CHOOSE({1,2}, 'S12 Operations'!$A$2:$A$533&amp;"-"&amp;'S12 Operations'!$C$2:$C$533, 'S12 Operations'!$B$2:$B$533), 2, 0), "")</f>
        <v/>
      </c>
    </row>
    <row r="4" spans="1:27" ht="17" x14ac:dyDescent="0.2">
      <c r="A4" s="180"/>
      <c r="B4" s="59" t="str">
        <f t="array" ref="B4">IFERROR(VLOOKUP($A4&amp;"-"&amp;B$2, CHOOSE({1,2}, 'S12 Operations'!$A$2:$A$533&amp;"-"&amp;'S12 Operations'!$C$2:$C$533, 'S12 Operations'!$B$2:$B$533), 2, 0), "")</f>
        <v/>
      </c>
      <c r="C4" s="162" t="str">
        <f t="array" ref="C4">IFERROR(VLOOKUP($A4&amp;"-"&amp;C$2, CHOOSE({1,2}, 'S12 Operations'!$A$2:$A$533&amp;"-"&amp;'S12 Operations'!$C$2:$C$533, 'S12 Operations'!$B$2:$B$533), 2, 0), "")</f>
        <v/>
      </c>
      <c r="D4" s="160" t="str">
        <f t="array" ref="D4">IFERROR(VLOOKUP($A4&amp;"-"&amp;D$2, CHOOSE({1,2}, 'S12 Operations'!$A$2:$A$533&amp;"-"&amp;'S12 Operations'!$C$2:$C$533, 'S12 Operations'!$B$2:$B$533), 2, 0), "")</f>
        <v/>
      </c>
      <c r="E4" s="163" t="str">
        <f t="array" ref="E4">IFERROR(VLOOKUP($A4&amp;"-"&amp;E$2, CHOOSE({1,2}, 'S12 Operations'!$A$2:$A$533&amp;"-"&amp;'S12 Operations'!$C$2:$C$533, 'S12 Operations'!$B$2:$B$533), 2, 0), "")</f>
        <v/>
      </c>
      <c r="F4" s="60" t="str">
        <f t="array" ref="F4">IFERROR(VLOOKUP($A4&amp;"-"&amp;F$2, CHOOSE({1,2}, 'S12 Operations'!$A$2:$A$533&amp;"-"&amp;'S12 Operations'!$C$2:$C$533, 'S12 Operations'!$B$2:$B$533), 2, 0), "")</f>
        <v/>
      </c>
      <c r="G4" s="4" t="str">
        <f t="array" ref="G4">IFERROR(VLOOKUP($A4&amp;"-"&amp;G$2, CHOOSE({1,2}, 'S12 Operations'!$A$2:$A$533&amp;"-"&amp;'S12 Operations'!$C$2:$C$533, 'S12 Operations'!$B$2:$B$533), 2, 0), "")</f>
        <v/>
      </c>
      <c r="H4" s="61" t="str">
        <f t="array" ref="H4">IFERROR(VLOOKUP($A4&amp;"-"&amp;H$2, CHOOSE({1,2}, 'S12 Operations'!$A$2:$A$533&amp;"-"&amp;'S12 Operations'!$C$2:$C$533, 'S12 Operations'!$B$2:$B$533), 2, 0), "")</f>
        <v/>
      </c>
      <c r="I4" s="162" t="str">
        <f t="array" ref="I4">IFERROR(VLOOKUP($A4&amp;"-"&amp;I$2, CHOOSE({1,2}, 'S12 Operations'!$A$2:$A$533&amp;"-"&amp;'S12 Operations'!$C$2:$C$533, 'S12 Operations'!$B$2:$B$533), 2, 0), "")</f>
        <v/>
      </c>
      <c r="J4" s="160" t="str">
        <f t="array" ref="J4">IFERROR(VLOOKUP($A4&amp;"-"&amp;J$2, CHOOSE({1,2}, 'S12 Operations'!$A$2:$A$533&amp;"-"&amp;'S12 Operations'!$C$2:$C$533, 'S12 Operations'!$B$2:$B$533), 2, 0), "")</f>
        <v/>
      </c>
      <c r="K4" s="160" t="str">
        <f t="array" ref="K4">IFERROR(VLOOKUP($A4&amp;"-"&amp;K$2, CHOOSE({1,2}, 'S12 Operations'!$A$2:$A$533&amp;"-"&amp;'S12 Operations'!$C$2:$C$533, 'S12 Operations'!$B$2:$B$533), 2, 0), "")</f>
        <v/>
      </c>
      <c r="L4" s="160" t="str">
        <f t="array" ref="L4">IFERROR(VLOOKUP($A4&amp;"-"&amp;L$2, CHOOSE({1,2}, 'S12 Operations'!$A$2:$A$533&amp;"-"&amp;'S12 Operations'!$C$2:$C$533, 'S12 Operations'!$B$2:$B$533), 2, 0), "")</f>
        <v/>
      </c>
      <c r="M4" s="160" t="str">
        <f t="array" ref="M4">IFERROR(VLOOKUP($A4&amp;"-"&amp;M$2, CHOOSE({1,2}, 'S12 Operations'!$A$2:$A$533&amp;"-"&amp;'S12 Operations'!$C$2:$C$533, 'S12 Operations'!$B$2:$B$533), 2, 0), "")</f>
        <v/>
      </c>
      <c r="N4" s="160" t="str">
        <f t="array" ref="N4">IFERROR(VLOOKUP($A4&amp;"-"&amp;N$2, CHOOSE({1,2}, 'S12 Operations'!$A$2:$A$533&amp;"-"&amp;'S12 Operations'!$C$2:$C$533, 'S12 Operations'!$B$2:$B$533), 2, 0), "")</f>
        <v/>
      </c>
      <c r="O4" s="160" t="str">
        <f t="array" ref="O4">IFERROR(VLOOKUP($A4&amp;"-"&amp;O$2, CHOOSE({1,2}, 'S12 Operations'!$A$2:$A$533&amp;"-"&amp;'S12 Operations'!$C$2:$C$533, 'S12 Operations'!$B$2:$B$533), 2, 0), "")</f>
        <v/>
      </c>
      <c r="P4" s="163" t="str">
        <f t="array" ref="P4">IFERROR(VLOOKUP($A4&amp;"-"&amp;P$2, CHOOSE({1,2}, 'S12 Operations'!$A$2:$A$533&amp;"-"&amp;'S12 Operations'!$C$2:$C$533, 'S12 Operations'!$B$2:$B$533), 2, 0), "")</f>
        <v/>
      </c>
      <c r="Q4" s="60" t="str">
        <f t="array" ref="Q4">IFERROR(VLOOKUP($A4&amp;"-"&amp;Q$2, CHOOSE({1,2}, 'S12 Operations'!$A$2:$A$533&amp;"-"&amp;'S12 Operations'!$C$2:$C$533, 'S12 Operations'!$B$2:$B$533), 2, 0), "")</f>
        <v/>
      </c>
      <c r="R4" s="4" t="str">
        <f t="array" ref="R4">IFERROR(VLOOKUP($A4&amp;"-"&amp;R$2, CHOOSE({1,2}, 'S12 Operations'!$A$2:$A$533&amp;"-"&amp;'S12 Operations'!$C$2:$C$533, 'S12 Operations'!$B$2:$B$533), 2, 0), "")</f>
        <v/>
      </c>
      <c r="S4" s="4" t="str">
        <f t="array" ref="S4">IFERROR(VLOOKUP($A4&amp;"-"&amp;S$2, CHOOSE({1,2}, 'S12 Operations'!$A$2:$A$533&amp;"-"&amp;'S12 Operations'!$C$2:$C$533, 'S12 Operations'!$B$2:$B$533), 2, 0), "")</f>
        <v/>
      </c>
      <c r="T4" s="61" t="str">
        <f t="array" ref="T4">IFERROR(VLOOKUP($A4&amp;"-"&amp;T$2, CHOOSE({1,2}, 'S12 Operations'!$A$2:$A$533&amp;"-"&amp;'S12 Operations'!$C$2:$C$533, 'S12 Operations'!$B$2:$B$533), 2, 0), "")</f>
        <v/>
      </c>
      <c r="U4" s="162" t="str">
        <f t="array" ref="U4">IFERROR(VLOOKUP($A4&amp;"-"&amp;U$2, CHOOSE({1,2}, 'S12 Operations'!$A$2:$A$533&amp;"-"&amp;'S12 Operations'!$C$2:$C$533, 'S12 Operations'!$B$2:$B$533), 2, 0), "")</f>
        <v/>
      </c>
      <c r="V4" s="163" t="str">
        <f t="array" ref="V4">IFERROR(VLOOKUP($A4&amp;"-"&amp;V$2, CHOOSE({1,2}, 'S12 Operations'!$A$2:$A$533&amp;"-"&amp;'S12 Operations'!$C$2:$C$533, 'S12 Operations'!$B$2:$B$533), 2, 0), "")</f>
        <v/>
      </c>
      <c r="W4" s="60" t="str">
        <f t="array" ref="W4">IFERROR(VLOOKUP($A4&amp;"-"&amp;W$2, CHOOSE({1,2}, 'S12 Operations'!$A$2:$A$533&amp;"-"&amp;'S12 Operations'!$C$2:$C$533, 'S12 Operations'!$B$2:$B$533), 2, 0), "")</f>
        <v/>
      </c>
      <c r="X4" s="4" t="str">
        <f t="array" ref="X4">IFERROR(VLOOKUP($A4&amp;"-"&amp;X$2, CHOOSE({1,2}, 'S12 Operations'!$A$2:$A$533&amp;"-"&amp;'S12 Operations'!$C$2:$C$533, 'S12 Operations'!$B$2:$B$533), 2, 0), "")</f>
        <v/>
      </c>
      <c r="Y4" s="61" t="str">
        <f t="array" ref="Y4">IFERROR(VLOOKUP($A4&amp;"-"&amp;Y$2, CHOOSE({1,2}, 'S12 Operations'!$A$2:$A$533&amp;"-"&amp;'S12 Operations'!$C$2:$C$533, 'S12 Operations'!$B$2:$B$533), 2, 0), "")</f>
        <v/>
      </c>
      <c r="Z4" s="167" t="str">
        <f t="array" ref="Z4">IFERROR(VLOOKUP($A4&amp;"-"&amp;Z$2, CHOOSE({1,2}, 'S12 Operations'!$A$2:$A$533&amp;"-"&amp;'S12 Operations'!$C$2:$C$533, 'S12 Operations'!$B$2:$B$533), 2, 0), "")</f>
        <v/>
      </c>
      <c r="AA4" s="59" t="str">
        <f t="array" ref="AA4">IFERROR(VLOOKUP($A4&amp;"-"&amp;AA$2, CHOOSE({1,2}, 'S12 Operations'!$A$2:$A$533&amp;"-"&amp;'S12 Operations'!$C$2:$C$533, 'S12 Operations'!$B$2:$B$533), 2, 0), "")</f>
        <v/>
      </c>
    </row>
    <row r="5" spans="1:27" ht="17" x14ac:dyDescent="0.2">
      <c r="A5" s="180"/>
      <c r="B5" s="59" t="str">
        <f t="array" ref="B5">IFERROR(VLOOKUP($A5&amp;"-"&amp;B$2, CHOOSE({1,2}, 'S12 Operations'!$A$2:$A$533&amp;"-"&amp;'S12 Operations'!$C$2:$C$533, 'S12 Operations'!$B$2:$B$533), 2, 0), "")</f>
        <v/>
      </c>
      <c r="C5" s="162" t="str">
        <f t="array" ref="C5">IFERROR(VLOOKUP($A5&amp;"-"&amp;C$2, CHOOSE({1,2}, 'S12 Operations'!$A$2:$A$533&amp;"-"&amp;'S12 Operations'!$C$2:$C$533, 'S12 Operations'!$B$2:$B$533), 2, 0), "")</f>
        <v/>
      </c>
      <c r="D5" s="160" t="str">
        <f t="array" ref="D5">IFERROR(VLOOKUP($A5&amp;"-"&amp;D$2, CHOOSE({1,2}, 'S12 Operations'!$A$2:$A$533&amp;"-"&amp;'S12 Operations'!$C$2:$C$533, 'S12 Operations'!$B$2:$B$533), 2, 0), "")</f>
        <v/>
      </c>
      <c r="E5" s="163" t="str">
        <f t="array" ref="E5">IFERROR(VLOOKUP($A5&amp;"-"&amp;E$2, CHOOSE({1,2}, 'S12 Operations'!$A$2:$A$533&amp;"-"&amp;'S12 Operations'!$C$2:$C$533, 'S12 Operations'!$B$2:$B$533), 2, 0), "")</f>
        <v/>
      </c>
      <c r="F5" s="60" t="str">
        <f t="array" ref="F5">IFERROR(VLOOKUP($A5&amp;"-"&amp;F$2, CHOOSE({1,2}, 'S12 Operations'!$A$2:$A$533&amp;"-"&amp;'S12 Operations'!$C$2:$C$533, 'S12 Operations'!$B$2:$B$533), 2, 0), "")</f>
        <v/>
      </c>
      <c r="G5" s="4" t="str">
        <f t="array" ref="G5">IFERROR(VLOOKUP($A5&amp;"-"&amp;G$2, CHOOSE({1,2}, 'S12 Operations'!$A$2:$A$533&amp;"-"&amp;'S12 Operations'!$C$2:$C$533, 'S12 Operations'!$B$2:$B$533), 2, 0), "")</f>
        <v/>
      </c>
      <c r="H5" s="61" t="str">
        <f t="array" ref="H5">IFERROR(VLOOKUP($A5&amp;"-"&amp;H$2, CHOOSE({1,2}, 'S12 Operations'!$A$2:$A$533&amp;"-"&amp;'S12 Operations'!$C$2:$C$533, 'S12 Operations'!$B$2:$B$533), 2, 0), "")</f>
        <v/>
      </c>
      <c r="I5" s="162" t="str">
        <f t="array" ref="I5">IFERROR(VLOOKUP($A5&amp;"-"&amp;I$2, CHOOSE({1,2}, 'S12 Operations'!$A$2:$A$533&amp;"-"&amp;'S12 Operations'!$C$2:$C$533, 'S12 Operations'!$B$2:$B$533), 2, 0), "")</f>
        <v/>
      </c>
      <c r="J5" s="160" t="str">
        <f t="array" ref="J5">IFERROR(VLOOKUP($A5&amp;"-"&amp;J$2, CHOOSE({1,2}, 'S12 Operations'!$A$2:$A$533&amp;"-"&amp;'S12 Operations'!$C$2:$C$533, 'S12 Operations'!$B$2:$B$533), 2, 0), "")</f>
        <v/>
      </c>
      <c r="K5" s="160" t="str">
        <f t="array" ref="K5">IFERROR(VLOOKUP($A5&amp;"-"&amp;K$2, CHOOSE({1,2}, 'S12 Operations'!$A$2:$A$533&amp;"-"&amp;'S12 Operations'!$C$2:$C$533, 'S12 Operations'!$B$2:$B$533), 2, 0), "")</f>
        <v/>
      </c>
      <c r="L5" s="160" t="str">
        <f t="array" ref="L5">IFERROR(VLOOKUP($A5&amp;"-"&amp;L$2, CHOOSE({1,2}, 'S12 Operations'!$A$2:$A$533&amp;"-"&amp;'S12 Operations'!$C$2:$C$533, 'S12 Operations'!$B$2:$B$533), 2, 0), "")</f>
        <v/>
      </c>
      <c r="M5" s="160" t="str">
        <f t="array" ref="M5">IFERROR(VLOOKUP($A5&amp;"-"&amp;M$2, CHOOSE({1,2}, 'S12 Operations'!$A$2:$A$533&amp;"-"&amp;'S12 Operations'!$C$2:$C$533, 'S12 Operations'!$B$2:$B$533), 2, 0), "")</f>
        <v/>
      </c>
      <c r="N5" s="160" t="str">
        <f t="array" ref="N5">IFERROR(VLOOKUP($A5&amp;"-"&amp;N$2, CHOOSE({1,2}, 'S12 Operations'!$A$2:$A$533&amp;"-"&amp;'S12 Operations'!$C$2:$C$533, 'S12 Operations'!$B$2:$B$533), 2, 0), "")</f>
        <v/>
      </c>
      <c r="O5" s="160" t="str">
        <f t="array" ref="O5">IFERROR(VLOOKUP($A5&amp;"-"&amp;O$2, CHOOSE({1,2}, 'S12 Operations'!$A$2:$A$533&amp;"-"&amp;'S12 Operations'!$C$2:$C$533, 'S12 Operations'!$B$2:$B$533), 2, 0), "")</f>
        <v/>
      </c>
      <c r="P5" s="163" t="str">
        <f t="array" ref="P5">IFERROR(VLOOKUP($A5&amp;"-"&amp;P$2, CHOOSE({1,2}, 'S12 Operations'!$A$2:$A$533&amp;"-"&amp;'S12 Operations'!$C$2:$C$533, 'S12 Operations'!$B$2:$B$533), 2, 0), "")</f>
        <v/>
      </c>
      <c r="Q5" s="60" t="str">
        <f t="array" ref="Q5">IFERROR(VLOOKUP($A5&amp;"-"&amp;Q$2, CHOOSE({1,2}, 'S12 Operations'!$A$2:$A$533&amp;"-"&amp;'S12 Operations'!$C$2:$C$533, 'S12 Operations'!$B$2:$B$533), 2, 0), "")</f>
        <v/>
      </c>
      <c r="R5" s="4" t="str">
        <f t="array" ref="R5">IFERROR(VLOOKUP($A5&amp;"-"&amp;R$2, CHOOSE({1,2}, 'S12 Operations'!$A$2:$A$533&amp;"-"&amp;'S12 Operations'!$C$2:$C$533, 'S12 Operations'!$B$2:$B$533), 2, 0), "")</f>
        <v/>
      </c>
      <c r="S5" s="4" t="str">
        <f t="array" ref="S5">IFERROR(VLOOKUP($A5&amp;"-"&amp;S$2, CHOOSE({1,2}, 'S12 Operations'!$A$2:$A$533&amp;"-"&amp;'S12 Operations'!$C$2:$C$533, 'S12 Operations'!$B$2:$B$533), 2, 0), "")</f>
        <v/>
      </c>
      <c r="T5" s="61" t="str">
        <f t="array" ref="T5">IFERROR(VLOOKUP($A5&amp;"-"&amp;T$2, CHOOSE({1,2}, 'S12 Operations'!$A$2:$A$533&amp;"-"&amp;'S12 Operations'!$C$2:$C$533, 'S12 Operations'!$B$2:$B$533), 2, 0), "")</f>
        <v/>
      </c>
      <c r="U5" s="162" t="str">
        <f t="array" ref="U5">IFERROR(VLOOKUP($A5&amp;"-"&amp;U$2, CHOOSE({1,2}, 'S12 Operations'!$A$2:$A$533&amp;"-"&amp;'S12 Operations'!$C$2:$C$533, 'S12 Operations'!$B$2:$B$533), 2, 0), "")</f>
        <v/>
      </c>
      <c r="V5" s="163" t="str">
        <f t="array" ref="V5">IFERROR(VLOOKUP($A5&amp;"-"&amp;V$2, CHOOSE({1,2}, 'S12 Operations'!$A$2:$A$533&amp;"-"&amp;'S12 Operations'!$C$2:$C$533, 'S12 Operations'!$B$2:$B$533), 2, 0), "")</f>
        <v/>
      </c>
      <c r="W5" s="60" t="str">
        <f t="array" ref="W5">IFERROR(VLOOKUP($A5&amp;"-"&amp;W$2, CHOOSE({1,2}, 'S12 Operations'!$A$2:$A$533&amp;"-"&amp;'S12 Operations'!$C$2:$C$533, 'S12 Operations'!$B$2:$B$533), 2, 0), "")</f>
        <v/>
      </c>
      <c r="X5" s="4" t="str">
        <f t="array" ref="X5">IFERROR(VLOOKUP($A5&amp;"-"&amp;X$2, CHOOSE({1,2}, 'S12 Operations'!$A$2:$A$533&amp;"-"&amp;'S12 Operations'!$C$2:$C$533, 'S12 Operations'!$B$2:$B$533), 2, 0), "")</f>
        <v/>
      </c>
      <c r="Y5" s="61" t="str">
        <f t="array" ref="Y5">IFERROR(VLOOKUP($A5&amp;"-"&amp;Y$2, CHOOSE({1,2}, 'S12 Operations'!$A$2:$A$533&amp;"-"&amp;'S12 Operations'!$C$2:$C$533, 'S12 Operations'!$B$2:$B$533), 2, 0), "")</f>
        <v/>
      </c>
      <c r="Z5" s="167" t="str">
        <f t="array" ref="Z5">IFERROR(VLOOKUP($A5&amp;"-"&amp;Z$2, CHOOSE({1,2}, 'S12 Operations'!$A$2:$A$533&amp;"-"&amp;'S12 Operations'!$C$2:$C$533, 'S12 Operations'!$B$2:$B$533), 2, 0), "")</f>
        <v/>
      </c>
      <c r="AA5" s="59" t="str">
        <f t="array" ref="AA5">IFERROR(VLOOKUP($A5&amp;"-"&amp;AA$2, CHOOSE({1,2}, 'S12 Operations'!$A$2:$A$533&amp;"-"&amp;'S12 Operations'!$C$2:$C$533, 'S12 Operations'!$B$2:$B$533), 2, 0), "")</f>
        <v/>
      </c>
    </row>
    <row r="6" spans="1:27" ht="17" x14ac:dyDescent="0.2">
      <c r="A6" s="180"/>
      <c r="B6" s="59" t="str">
        <f t="array" ref="B6">IFERROR(VLOOKUP($A6&amp;"-"&amp;B$2, CHOOSE({1,2}, 'S12 Operations'!$A$2:$A$533&amp;"-"&amp;'S12 Operations'!$C$2:$C$533, 'S12 Operations'!$B$2:$B$533), 2, 0), "")</f>
        <v/>
      </c>
      <c r="C6" s="162" t="str">
        <f t="array" ref="C6">IFERROR(VLOOKUP($A6&amp;"-"&amp;C$2, CHOOSE({1,2}, 'S12 Operations'!$A$2:$A$533&amp;"-"&amp;'S12 Operations'!$C$2:$C$533, 'S12 Operations'!$B$2:$B$533), 2, 0), "")</f>
        <v/>
      </c>
      <c r="D6" s="160" t="str">
        <f t="array" ref="D6">IFERROR(VLOOKUP($A6&amp;"-"&amp;D$2, CHOOSE({1,2}, 'S12 Operations'!$A$2:$A$533&amp;"-"&amp;'S12 Operations'!$C$2:$C$533, 'S12 Operations'!$B$2:$B$533), 2, 0), "")</f>
        <v/>
      </c>
      <c r="E6" s="163" t="str">
        <f t="array" ref="E6">IFERROR(VLOOKUP($A6&amp;"-"&amp;E$2, CHOOSE({1,2}, 'S12 Operations'!$A$2:$A$533&amp;"-"&amp;'S12 Operations'!$C$2:$C$533, 'S12 Operations'!$B$2:$B$533), 2, 0), "")</f>
        <v/>
      </c>
      <c r="F6" s="60" t="str">
        <f t="array" ref="F6">IFERROR(VLOOKUP($A6&amp;"-"&amp;F$2, CHOOSE({1,2}, 'S12 Operations'!$A$2:$A$533&amp;"-"&amp;'S12 Operations'!$C$2:$C$533, 'S12 Operations'!$B$2:$B$533), 2, 0), "")</f>
        <v/>
      </c>
      <c r="G6" s="4" t="str">
        <f t="array" ref="G6">IFERROR(VLOOKUP($A6&amp;"-"&amp;G$2, CHOOSE({1,2}, 'S12 Operations'!$A$2:$A$533&amp;"-"&amp;'S12 Operations'!$C$2:$C$533, 'S12 Operations'!$B$2:$B$533), 2, 0), "")</f>
        <v/>
      </c>
      <c r="H6" s="61" t="str">
        <f t="array" ref="H6">IFERROR(VLOOKUP($A6&amp;"-"&amp;H$2, CHOOSE({1,2}, 'S12 Operations'!$A$2:$A$533&amp;"-"&amp;'S12 Operations'!$C$2:$C$533, 'S12 Operations'!$B$2:$B$533), 2, 0), "")</f>
        <v/>
      </c>
      <c r="I6" s="162" t="str">
        <f t="array" ref="I6">IFERROR(VLOOKUP($A6&amp;"-"&amp;I$2, CHOOSE({1,2}, 'S12 Operations'!$A$2:$A$533&amp;"-"&amp;'S12 Operations'!$C$2:$C$533, 'S12 Operations'!$B$2:$B$533), 2, 0), "")</f>
        <v/>
      </c>
      <c r="J6" s="160" t="str">
        <f t="array" ref="J6">IFERROR(VLOOKUP($A6&amp;"-"&amp;J$2, CHOOSE({1,2}, 'S12 Operations'!$A$2:$A$533&amp;"-"&amp;'S12 Operations'!$C$2:$C$533, 'S12 Operations'!$B$2:$B$533), 2, 0), "")</f>
        <v/>
      </c>
      <c r="K6" s="160" t="str">
        <f t="array" ref="K6">IFERROR(VLOOKUP($A6&amp;"-"&amp;K$2, CHOOSE({1,2}, 'S12 Operations'!$A$2:$A$533&amp;"-"&amp;'S12 Operations'!$C$2:$C$533, 'S12 Operations'!$B$2:$B$533), 2, 0), "")</f>
        <v/>
      </c>
      <c r="L6" s="160" t="str">
        <f t="array" ref="L6">IFERROR(VLOOKUP($A6&amp;"-"&amp;L$2, CHOOSE({1,2}, 'S12 Operations'!$A$2:$A$533&amp;"-"&amp;'S12 Operations'!$C$2:$C$533, 'S12 Operations'!$B$2:$B$533), 2, 0), "")</f>
        <v/>
      </c>
      <c r="M6" s="160" t="str">
        <f t="array" ref="M6">IFERROR(VLOOKUP($A6&amp;"-"&amp;M$2, CHOOSE({1,2}, 'S12 Operations'!$A$2:$A$533&amp;"-"&amp;'S12 Operations'!$C$2:$C$533, 'S12 Operations'!$B$2:$B$533), 2, 0), "")</f>
        <v/>
      </c>
      <c r="N6" s="160" t="str">
        <f t="array" ref="N6">IFERROR(VLOOKUP($A6&amp;"-"&amp;N$2, CHOOSE({1,2}, 'S12 Operations'!$A$2:$A$533&amp;"-"&amp;'S12 Operations'!$C$2:$C$533, 'S12 Operations'!$B$2:$B$533), 2, 0), "")</f>
        <v/>
      </c>
      <c r="O6" s="160" t="str">
        <f t="array" ref="O6">IFERROR(VLOOKUP($A6&amp;"-"&amp;O$2, CHOOSE({1,2}, 'S12 Operations'!$A$2:$A$533&amp;"-"&amp;'S12 Operations'!$C$2:$C$533, 'S12 Operations'!$B$2:$B$533), 2, 0), "")</f>
        <v/>
      </c>
      <c r="P6" s="163" t="str">
        <f t="array" ref="P6">IFERROR(VLOOKUP($A6&amp;"-"&amp;P$2, CHOOSE({1,2}, 'S12 Operations'!$A$2:$A$533&amp;"-"&amp;'S12 Operations'!$C$2:$C$533, 'S12 Operations'!$B$2:$B$533), 2, 0), "")</f>
        <v/>
      </c>
      <c r="Q6" s="60" t="str">
        <f t="array" ref="Q6">IFERROR(VLOOKUP($A6&amp;"-"&amp;Q$2, CHOOSE({1,2}, 'S12 Operations'!$A$2:$A$533&amp;"-"&amp;'S12 Operations'!$C$2:$C$533, 'S12 Operations'!$B$2:$B$533), 2, 0), "")</f>
        <v/>
      </c>
      <c r="R6" s="4" t="str">
        <f t="array" ref="R6">IFERROR(VLOOKUP($A6&amp;"-"&amp;R$2, CHOOSE({1,2}, 'S12 Operations'!$A$2:$A$533&amp;"-"&amp;'S12 Operations'!$C$2:$C$533, 'S12 Operations'!$B$2:$B$533), 2, 0), "")</f>
        <v/>
      </c>
      <c r="S6" s="4" t="str">
        <f t="array" ref="S6">IFERROR(VLOOKUP($A6&amp;"-"&amp;S$2, CHOOSE({1,2}, 'S12 Operations'!$A$2:$A$533&amp;"-"&amp;'S12 Operations'!$C$2:$C$533, 'S12 Operations'!$B$2:$B$533), 2, 0), "")</f>
        <v/>
      </c>
      <c r="T6" s="61" t="str">
        <f t="array" ref="T6">IFERROR(VLOOKUP($A6&amp;"-"&amp;T$2, CHOOSE({1,2}, 'S12 Operations'!$A$2:$A$533&amp;"-"&amp;'S12 Operations'!$C$2:$C$533, 'S12 Operations'!$B$2:$B$533), 2, 0), "")</f>
        <v/>
      </c>
      <c r="U6" s="162" t="str">
        <f t="array" ref="U6">IFERROR(VLOOKUP($A6&amp;"-"&amp;U$2, CHOOSE({1,2}, 'S12 Operations'!$A$2:$A$533&amp;"-"&amp;'S12 Operations'!$C$2:$C$533, 'S12 Operations'!$B$2:$B$533), 2, 0), "")</f>
        <v/>
      </c>
      <c r="V6" s="163" t="str">
        <f t="array" ref="V6">IFERROR(VLOOKUP($A6&amp;"-"&amp;V$2, CHOOSE({1,2}, 'S12 Operations'!$A$2:$A$533&amp;"-"&amp;'S12 Operations'!$C$2:$C$533, 'S12 Operations'!$B$2:$B$533), 2, 0), "")</f>
        <v/>
      </c>
      <c r="W6" s="60" t="str">
        <f t="array" ref="W6">IFERROR(VLOOKUP($A6&amp;"-"&amp;W$2, CHOOSE({1,2}, 'S12 Operations'!$A$2:$A$533&amp;"-"&amp;'S12 Operations'!$C$2:$C$533, 'S12 Operations'!$B$2:$B$533), 2, 0), "")</f>
        <v/>
      </c>
      <c r="X6" s="4" t="str">
        <f t="array" ref="X6">IFERROR(VLOOKUP($A6&amp;"-"&amp;X$2, CHOOSE({1,2}, 'S12 Operations'!$A$2:$A$533&amp;"-"&amp;'S12 Operations'!$C$2:$C$533, 'S12 Operations'!$B$2:$B$533), 2, 0), "")</f>
        <v/>
      </c>
      <c r="Y6" s="61" t="str">
        <f t="array" ref="Y6">IFERROR(VLOOKUP($A6&amp;"-"&amp;Y$2, CHOOSE({1,2}, 'S12 Operations'!$A$2:$A$533&amp;"-"&amp;'S12 Operations'!$C$2:$C$533, 'S12 Operations'!$B$2:$B$533), 2, 0), "")</f>
        <v/>
      </c>
      <c r="Z6" s="167" t="str">
        <f t="array" ref="Z6">IFERROR(VLOOKUP($A6&amp;"-"&amp;Z$2, CHOOSE({1,2}, 'S12 Operations'!$A$2:$A$533&amp;"-"&amp;'S12 Operations'!$C$2:$C$533, 'S12 Operations'!$B$2:$B$533), 2, 0), "")</f>
        <v/>
      </c>
      <c r="AA6" s="59" t="str">
        <f t="array" ref="AA6">IFERROR(VLOOKUP($A6&amp;"-"&amp;AA$2, CHOOSE({1,2}, 'S12 Operations'!$A$2:$A$533&amp;"-"&amp;'S12 Operations'!$C$2:$C$533, 'S12 Operations'!$B$2:$B$533), 2, 0), "")</f>
        <v/>
      </c>
    </row>
    <row r="7" spans="1:27" ht="17" x14ac:dyDescent="0.2">
      <c r="A7" s="180"/>
      <c r="B7" s="59" t="str">
        <f t="array" ref="B7">IFERROR(VLOOKUP($A7&amp;"-"&amp;B$2, CHOOSE({1,2}, 'S12 Operations'!$A$2:$A$533&amp;"-"&amp;'S12 Operations'!$C$2:$C$533, 'S12 Operations'!$B$2:$B$533), 2, 0), "")</f>
        <v/>
      </c>
      <c r="C7" s="162" t="str">
        <f t="array" ref="C7">IFERROR(VLOOKUP($A7&amp;"-"&amp;C$2, CHOOSE({1,2}, 'S12 Operations'!$A$2:$A$533&amp;"-"&amp;'S12 Operations'!$C$2:$C$533, 'S12 Operations'!$B$2:$B$533), 2, 0), "")</f>
        <v/>
      </c>
      <c r="D7" s="160" t="str">
        <f t="array" ref="D7">IFERROR(VLOOKUP($A7&amp;"-"&amp;D$2, CHOOSE({1,2}, 'S12 Operations'!$A$2:$A$533&amp;"-"&amp;'S12 Operations'!$C$2:$C$533, 'S12 Operations'!$B$2:$B$533), 2, 0), "")</f>
        <v/>
      </c>
      <c r="E7" s="163" t="str">
        <f t="array" ref="E7">IFERROR(VLOOKUP($A7&amp;"-"&amp;E$2, CHOOSE({1,2}, 'S12 Operations'!$A$2:$A$533&amp;"-"&amp;'S12 Operations'!$C$2:$C$533, 'S12 Operations'!$B$2:$B$533), 2, 0), "")</f>
        <v/>
      </c>
      <c r="F7" s="60" t="str">
        <f t="array" ref="F7">IFERROR(VLOOKUP($A7&amp;"-"&amp;F$2, CHOOSE({1,2}, 'S12 Operations'!$A$2:$A$533&amp;"-"&amp;'S12 Operations'!$C$2:$C$533, 'S12 Operations'!$B$2:$B$533), 2, 0), "")</f>
        <v/>
      </c>
      <c r="G7" s="4" t="str">
        <f t="array" ref="G7">IFERROR(VLOOKUP($A7&amp;"-"&amp;G$2, CHOOSE({1,2}, 'S12 Operations'!$A$2:$A$533&amp;"-"&amp;'S12 Operations'!$C$2:$C$533, 'S12 Operations'!$B$2:$B$533), 2, 0), "")</f>
        <v/>
      </c>
      <c r="H7" s="61" t="str">
        <f t="array" ref="H7">IFERROR(VLOOKUP($A7&amp;"-"&amp;H$2, CHOOSE({1,2}, 'S12 Operations'!$A$2:$A$533&amp;"-"&amp;'S12 Operations'!$C$2:$C$533, 'S12 Operations'!$B$2:$B$533), 2, 0), "")</f>
        <v/>
      </c>
      <c r="I7" s="162" t="str">
        <f t="array" ref="I7">IFERROR(VLOOKUP($A7&amp;"-"&amp;I$2, CHOOSE({1,2}, 'S12 Operations'!$A$2:$A$533&amp;"-"&amp;'S12 Operations'!$C$2:$C$533, 'S12 Operations'!$B$2:$B$533), 2, 0), "")</f>
        <v/>
      </c>
      <c r="J7" s="160" t="str">
        <f t="array" ref="J7">IFERROR(VLOOKUP($A7&amp;"-"&amp;J$2, CHOOSE({1,2}, 'S12 Operations'!$A$2:$A$533&amp;"-"&amp;'S12 Operations'!$C$2:$C$533, 'S12 Operations'!$B$2:$B$533), 2, 0), "")</f>
        <v/>
      </c>
      <c r="K7" s="160" t="str">
        <f t="array" ref="K7">IFERROR(VLOOKUP($A7&amp;"-"&amp;K$2, CHOOSE({1,2}, 'S12 Operations'!$A$2:$A$533&amp;"-"&amp;'S12 Operations'!$C$2:$C$533, 'S12 Operations'!$B$2:$B$533), 2, 0), "")</f>
        <v/>
      </c>
      <c r="L7" s="160" t="str">
        <f t="array" ref="L7">IFERROR(VLOOKUP($A7&amp;"-"&amp;L$2, CHOOSE({1,2}, 'S12 Operations'!$A$2:$A$533&amp;"-"&amp;'S12 Operations'!$C$2:$C$533, 'S12 Operations'!$B$2:$B$533), 2, 0), "")</f>
        <v/>
      </c>
      <c r="M7" s="160" t="str">
        <f t="array" ref="M7">IFERROR(VLOOKUP($A7&amp;"-"&amp;M$2, CHOOSE({1,2}, 'S12 Operations'!$A$2:$A$533&amp;"-"&amp;'S12 Operations'!$C$2:$C$533, 'S12 Operations'!$B$2:$B$533), 2, 0), "")</f>
        <v/>
      </c>
      <c r="N7" s="160" t="str">
        <f t="array" ref="N7">IFERROR(VLOOKUP($A7&amp;"-"&amp;N$2, CHOOSE({1,2}, 'S12 Operations'!$A$2:$A$533&amp;"-"&amp;'S12 Operations'!$C$2:$C$533, 'S12 Operations'!$B$2:$B$533), 2, 0), "")</f>
        <v/>
      </c>
      <c r="O7" s="160" t="str">
        <f t="array" ref="O7">IFERROR(VLOOKUP($A7&amp;"-"&amp;O$2, CHOOSE({1,2}, 'S12 Operations'!$A$2:$A$533&amp;"-"&amp;'S12 Operations'!$C$2:$C$533, 'S12 Operations'!$B$2:$B$533), 2, 0), "")</f>
        <v/>
      </c>
      <c r="P7" s="163" t="str">
        <f t="array" ref="P7">IFERROR(VLOOKUP($A7&amp;"-"&amp;P$2, CHOOSE({1,2}, 'S12 Operations'!$A$2:$A$533&amp;"-"&amp;'S12 Operations'!$C$2:$C$533, 'S12 Operations'!$B$2:$B$533), 2, 0), "")</f>
        <v/>
      </c>
      <c r="Q7" s="60" t="str">
        <f t="array" ref="Q7">IFERROR(VLOOKUP($A7&amp;"-"&amp;Q$2, CHOOSE({1,2}, 'S12 Operations'!$A$2:$A$533&amp;"-"&amp;'S12 Operations'!$C$2:$C$533, 'S12 Operations'!$B$2:$B$533), 2, 0), "")</f>
        <v/>
      </c>
      <c r="R7" s="4" t="str">
        <f t="array" ref="R7">IFERROR(VLOOKUP($A7&amp;"-"&amp;R$2, CHOOSE({1,2}, 'S12 Operations'!$A$2:$A$533&amp;"-"&amp;'S12 Operations'!$C$2:$C$533, 'S12 Operations'!$B$2:$B$533), 2, 0), "")</f>
        <v/>
      </c>
      <c r="S7" s="4" t="str">
        <f t="array" ref="S7">IFERROR(VLOOKUP($A7&amp;"-"&amp;S$2, CHOOSE({1,2}, 'S12 Operations'!$A$2:$A$533&amp;"-"&amp;'S12 Operations'!$C$2:$C$533, 'S12 Operations'!$B$2:$B$533), 2, 0), "")</f>
        <v/>
      </c>
      <c r="T7" s="61" t="str">
        <f t="array" ref="T7">IFERROR(VLOOKUP($A7&amp;"-"&amp;T$2, CHOOSE({1,2}, 'S12 Operations'!$A$2:$A$533&amp;"-"&amp;'S12 Operations'!$C$2:$C$533, 'S12 Operations'!$B$2:$B$533), 2, 0), "")</f>
        <v/>
      </c>
      <c r="U7" s="162" t="str">
        <f t="array" ref="U7">IFERROR(VLOOKUP($A7&amp;"-"&amp;U$2, CHOOSE({1,2}, 'S12 Operations'!$A$2:$A$533&amp;"-"&amp;'S12 Operations'!$C$2:$C$533, 'S12 Operations'!$B$2:$B$533), 2, 0), "")</f>
        <v/>
      </c>
      <c r="V7" s="163" t="str">
        <f t="array" ref="V7">IFERROR(VLOOKUP($A7&amp;"-"&amp;V$2, CHOOSE({1,2}, 'S12 Operations'!$A$2:$A$533&amp;"-"&amp;'S12 Operations'!$C$2:$C$533, 'S12 Operations'!$B$2:$B$533), 2, 0), "")</f>
        <v/>
      </c>
      <c r="W7" s="60" t="str">
        <f t="array" ref="W7">IFERROR(VLOOKUP($A7&amp;"-"&amp;W$2, CHOOSE({1,2}, 'S12 Operations'!$A$2:$A$533&amp;"-"&amp;'S12 Operations'!$C$2:$C$533, 'S12 Operations'!$B$2:$B$533), 2, 0), "")</f>
        <v/>
      </c>
      <c r="X7" s="4" t="str">
        <f t="array" ref="X7">IFERROR(VLOOKUP($A7&amp;"-"&amp;X$2, CHOOSE({1,2}, 'S12 Operations'!$A$2:$A$533&amp;"-"&amp;'S12 Operations'!$C$2:$C$533, 'S12 Operations'!$B$2:$B$533), 2, 0), "")</f>
        <v/>
      </c>
      <c r="Y7" s="61" t="str">
        <f t="array" ref="Y7">IFERROR(VLOOKUP($A7&amp;"-"&amp;Y$2, CHOOSE({1,2}, 'S12 Operations'!$A$2:$A$533&amp;"-"&amp;'S12 Operations'!$C$2:$C$533, 'S12 Operations'!$B$2:$B$533), 2, 0), "")</f>
        <v/>
      </c>
      <c r="Z7" s="167" t="str">
        <f t="array" ref="Z7">IFERROR(VLOOKUP($A7&amp;"-"&amp;Z$2, CHOOSE({1,2}, 'S12 Operations'!$A$2:$A$533&amp;"-"&amp;'S12 Operations'!$C$2:$C$533, 'S12 Operations'!$B$2:$B$533), 2, 0), "")</f>
        <v/>
      </c>
      <c r="AA7" s="59" t="str">
        <f t="array" ref="AA7">IFERROR(VLOOKUP($A7&amp;"-"&amp;AA$2, CHOOSE({1,2}, 'S12 Operations'!$A$2:$A$533&amp;"-"&amp;'S12 Operations'!$C$2:$C$533, 'S12 Operations'!$B$2:$B$533), 2, 0), "")</f>
        <v/>
      </c>
    </row>
    <row r="8" spans="1:27" ht="18" thickBot="1" x14ac:dyDescent="0.25">
      <c r="A8" s="159"/>
      <c r="B8" s="62" t="str">
        <f t="array" ref="B8">IFERROR(VLOOKUP($A8&amp;"-"&amp;B$2, CHOOSE({1,2}, 'S12 Operations'!$A$2:$A$533&amp;"-"&amp;'S12 Operations'!$C$2:$C$533, 'S12 Operations'!$B$2:$B$533), 2, 0), "")</f>
        <v/>
      </c>
      <c r="C8" s="164" t="str">
        <f t="array" ref="C8">IFERROR(VLOOKUP($A8&amp;"-"&amp;C$2, CHOOSE({1,2}, 'S12 Operations'!$A$2:$A$533&amp;"-"&amp;'S12 Operations'!$C$2:$C$533, 'S12 Operations'!$B$2:$B$533), 2, 0), "")</f>
        <v/>
      </c>
      <c r="D8" s="165" t="str">
        <f t="array" ref="D8">IFERROR(VLOOKUP($A8&amp;"-"&amp;D$2, CHOOSE({1,2}, 'S12 Operations'!$A$2:$A$533&amp;"-"&amp;'S12 Operations'!$C$2:$C$533, 'S12 Operations'!$B$2:$B$533), 2, 0), "")</f>
        <v/>
      </c>
      <c r="E8" s="166" t="str">
        <f t="array" ref="E8">IFERROR(VLOOKUP($A8&amp;"-"&amp;E$2, CHOOSE({1,2}, 'S12 Operations'!$A$2:$A$533&amp;"-"&amp;'S12 Operations'!$C$2:$C$533, 'S12 Operations'!$B$2:$B$533), 2, 0), "")</f>
        <v/>
      </c>
      <c r="F8" s="63" t="str">
        <f t="array" ref="F8">IFERROR(VLOOKUP($A8&amp;"-"&amp;F$2, CHOOSE({1,2}, 'S12 Operations'!$A$2:$A$533&amp;"-"&amp;'S12 Operations'!$C$2:$C$533, 'S12 Operations'!$B$2:$B$533), 2, 0), "")</f>
        <v/>
      </c>
      <c r="G8" s="64" t="str">
        <f t="array" ref="G8">IFERROR(VLOOKUP($A8&amp;"-"&amp;G$2, CHOOSE({1,2}, 'S12 Operations'!$A$2:$A$533&amp;"-"&amp;'S12 Operations'!$C$2:$C$533, 'S12 Operations'!$B$2:$B$533), 2, 0), "")</f>
        <v/>
      </c>
      <c r="H8" s="65" t="str">
        <f t="array" ref="H8">IFERROR(VLOOKUP($A8&amp;"-"&amp;H$2, CHOOSE({1,2}, 'S12 Operations'!$A$2:$A$533&amp;"-"&amp;'S12 Operations'!$C$2:$C$533, 'S12 Operations'!$B$2:$B$533), 2, 0), "")</f>
        <v/>
      </c>
      <c r="I8" s="164" t="str">
        <f t="array" ref="I8">IFERROR(VLOOKUP($A8&amp;"-"&amp;I$2, CHOOSE({1,2}, 'S12 Operations'!$A$2:$A$533&amp;"-"&amp;'S12 Operations'!$C$2:$C$533, 'S12 Operations'!$B$2:$B$533), 2, 0), "")</f>
        <v/>
      </c>
      <c r="J8" s="165" t="str">
        <f t="array" ref="J8">IFERROR(VLOOKUP($A8&amp;"-"&amp;J$2, CHOOSE({1,2}, 'S12 Operations'!$A$2:$A$533&amp;"-"&amp;'S12 Operations'!$C$2:$C$533, 'S12 Operations'!$B$2:$B$533), 2, 0), "")</f>
        <v/>
      </c>
      <c r="K8" s="165" t="str">
        <f t="array" ref="K8">IFERROR(VLOOKUP($A8&amp;"-"&amp;K$2, CHOOSE({1,2}, 'S12 Operations'!$A$2:$A$533&amp;"-"&amp;'S12 Operations'!$C$2:$C$533, 'S12 Operations'!$B$2:$B$533), 2, 0), "")</f>
        <v/>
      </c>
      <c r="L8" s="165" t="str">
        <f t="array" ref="L8">IFERROR(VLOOKUP($A8&amp;"-"&amp;L$2, CHOOSE({1,2}, 'S12 Operations'!$A$2:$A$533&amp;"-"&amp;'S12 Operations'!$C$2:$C$533, 'S12 Operations'!$B$2:$B$533), 2, 0), "")</f>
        <v/>
      </c>
      <c r="M8" s="165" t="str">
        <f t="array" ref="M8">IFERROR(VLOOKUP($A8&amp;"-"&amp;M$2, CHOOSE({1,2}, 'S12 Operations'!$A$2:$A$533&amp;"-"&amp;'S12 Operations'!$C$2:$C$533, 'S12 Operations'!$B$2:$B$533), 2, 0), "")</f>
        <v/>
      </c>
      <c r="N8" s="165" t="str">
        <f t="array" ref="N8">IFERROR(VLOOKUP($A8&amp;"-"&amp;N$2, CHOOSE({1,2}, 'S12 Operations'!$A$2:$A$533&amp;"-"&amp;'S12 Operations'!$C$2:$C$533, 'S12 Operations'!$B$2:$B$533), 2, 0), "")</f>
        <v/>
      </c>
      <c r="O8" s="165" t="str">
        <f t="array" ref="O8">IFERROR(VLOOKUP($A8&amp;"-"&amp;O$2, CHOOSE({1,2}, 'S12 Operations'!$A$2:$A$533&amp;"-"&amp;'S12 Operations'!$C$2:$C$533, 'S12 Operations'!$B$2:$B$533), 2, 0), "")</f>
        <v/>
      </c>
      <c r="P8" s="166" t="str">
        <f t="array" ref="P8">IFERROR(VLOOKUP($A8&amp;"-"&amp;P$2, CHOOSE({1,2}, 'S12 Operations'!$A$2:$A$533&amp;"-"&amp;'S12 Operations'!$C$2:$C$533, 'S12 Operations'!$B$2:$B$533), 2, 0), "")</f>
        <v/>
      </c>
      <c r="Q8" s="63" t="str">
        <f t="array" ref="Q8">IFERROR(VLOOKUP($A8&amp;"-"&amp;Q$2, CHOOSE({1,2}, 'S12 Operations'!$A$2:$A$533&amp;"-"&amp;'S12 Operations'!$C$2:$C$533, 'S12 Operations'!$B$2:$B$533), 2, 0), "")</f>
        <v/>
      </c>
      <c r="R8" s="64" t="str">
        <f t="array" ref="R8">IFERROR(VLOOKUP($A8&amp;"-"&amp;R$2, CHOOSE({1,2}, 'S12 Operations'!$A$2:$A$533&amp;"-"&amp;'S12 Operations'!$C$2:$C$533, 'S12 Operations'!$B$2:$B$533), 2, 0), "")</f>
        <v/>
      </c>
      <c r="S8" s="64" t="str">
        <f t="array" ref="S8">IFERROR(VLOOKUP($A8&amp;"-"&amp;S$2, CHOOSE({1,2}, 'S12 Operations'!$A$2:$A$533&amp;"-"&amp;'S12 Operations'!$C$2:$C$533, 'S12 Operations'!$B$2:$B$533), 2, 0), "")</f>
        <v/>
      </c>
      <c r="T8" s="65" t="str">
        <f t="array" ref="T8">IFERROR(VLOOKUP($A8&amp;"-"&amp;T$2, CHOOSE({1,2}, 'S12 Operations'!$A$2:$A$533&amp;"-"&amp;'S12 Operations'!$C$2:$C$533, 'S12 Operations'!$B$2:$B$533), 2, 0), "")</f>
        <v/>
      </c>
      <c r="U8" s="164" t="str">
        <f t="array" ref="U8">IFERROR(VLOOKUP($A8&amp;"-"&amp;U$2, CHOOSE({1,2}, 'S12 Operations'!$A$2:$A$533&amp;"-"&amp;'S12 Operations'!$C$2:$C$533, 'S12 Operations'!$B$2:$B$533), 2, 0), "")</f>
        <v/>
      </c>
      <c r="V8" s="166" t="str">
        <f t="array" ref="V8">IFERROR(VLOOKUP($A8&amp;"-"&amp;V$2, CHOOSE({1,2}, 'S12 Operations'!$A$2:$A$533&amp;"-"&amp;'S12 Operations'!$C$2:$C$533, 'S12 Operations'!$B$2:$B$533), 2, 0), "")</f>
        <v/>
      </c>
      <c r="W8" s="63" t="str">
        <f t="array" ref="W8">IFERROR(VLOOKUP($A8&amp;"-"&amp;W$2, CHOOSE({1,2}, 'S12 Operations'!$A$2:$A$533&amp;"-"&amp;'S12 Operations'!$C$2:$C$533, 'S12 Operations'!$B$2:$B$533), 2, 0), "")</f>
        <v/>
      </c>
      <c r="X8" s="64" t="str">
        <f t="array" ref="X8">IFERROR(VLOOKUP($A8&amp;"-"&amp;X$2, CHOOSE({1,2}, 'S12 Operations'!$A$2:$A$533&amp;"-"&amp;'S12 Operations'!$C$2:$C$533, 'S12 Operations'!$B$2:$B$533), 2, 0), "")</f>
        <v/>
      </c>
      <c r="Y8" s="65" t="str">
        <f t="array" ref="Y8">IFERROR(VLOOKUP($A8&amp;"-"&amp;Y$2, CHOOSE({1,2}, 'S12 Operations'!$A$2:$A$533&amp;"-"&amp;'S12 Operations'!$C$2:$C$533, 'S12 Operations'!$B$2:$B$533), 2, 0), "")</f>
        <v/>
      </c>
      <c r="Z8" s="168" t="str">
        <f t="array" ref="Z8">IFERROR(VLOOKUP($A8&amp;"-"&amp;Z$2, CHOOSE({1,2}, 'S12 Operations'!$A$2:$A$533&amp;"-"&amp;'S12 Operations'!$C$2:$C$533, 'S12 Operations'!$B$2:$B$533), 2, 0), "")</f>
        <v/>
      </c>
      <c r="AA8" s="62" t="str">
        <f t="array" ref="AA8">IFERROR(VLOOKUP($A8&amp;"-"&amp;AA$2, CHOOSE({1,2}, 'S12 Operations'!$A$2:$A$533&amp;"-"&amp;'S12 Operations'!$C$2:$C$533, 'S12 Operations'!$B$2:$B$533), 2, 0), "")</f>
        <v/>
      </c>
    </row>
    <row r="9" spans="1:27" ht="17" x14ac:dyDescent="0.2">
      <c r="A9" s="179"/>
      <c r="B9" s="157" t="str">
        <f t="array" ref="B9">IFERROR(VLOOKUP($A9&amp;"-"&amp;B$2, CHOOSE({1,2}, 'S12 Operations'!$A$2:$A$533&amp;"-"&amp;'S12 Operations'!$C$2:$C$533, 'S12 Operations'!$B$2:$B$533), 2, 0), "")</f>
        <v/>
      </c>
      <c r="C9" s="169" t="str">
        <f t="array" ref="C9">IFERROR(VLOOKUP($A9&amp;"-"&amp;C$2, CHOOSE({1,2}, 'S12 Operations'!$A$2:$A$533&amp;"-"&amp;'S12 Operations'!$C$2:$C$533, 'S12 Operations'!$B$2:$B$533), 2, 0), "")</f>
        <v/>
      </c>
      <c r="D9" s="170" t="str">
        <f t="array" ref="D9">IFERROR(VLOOKUP($A9&amp;"-"&amp;D$2, CHOOSE({1,2}, 'S12 Operations'!$A$2:$A$533&amp;"-"&amp;'S12 Operations'!$C$2:$C$533, 'S12 Operations'!$B$2:$B$533), 2, 0), "")</f>
        <v/>
      </c>
      <c r="E9" s="171" t="str">
        <f t="array" ref="E9">IFERROR(VLOOKUP($A9&amp;"-"&amp;E$2, CHOOSE({1,2}, 'S12 Operations'!$A$2:$A$533&amp;"-"&amp;'S12 Operations'!$C$2:$C$533, 'S12 Operations'!$B$2:$B$533), 2, 0), "")</f>
        <v/>
      </c>
      <c r="F9" s="172" t="str">
        <f t="array" ref="F9">IFERROR(VLOOKUP($A9&amp;"-"&amp;F$2, CHOOSE({1,2}, 'S12 Operations'!$A$2:$A$533&amp;"-"&amp;'S12 Operations'!$C$2:$C$533, 'S12 Operations'!$B$2:$B$533), 2, 0), "")</f>
        <v/>
      </c>
      <c r="G9" s="173" t="str">
        <f t="array" ref="G9">IFERROR(VLOOKUP($A9&amp;"-"&amp;G$2, CHOOSE({1,2}, 'S12 Operations'!$A$2:$A$533&amp;"-"&amp;'S12 Operations'!$C$2:$C$533, 'S12 Operations'!$B$2:$B$533), 2, 0), "")</f>
        <v/>
      </c>
      <c r="H9" s="174" t="str">
        <f t="array" ref="H9">IFERROR(VLOOKUP($A9&amp;"-"&amp;H$2, CHOOSE({1,2}, 'S12 Operations'!$A$2:$A$533&amp;"-"&amp;'S12 Operations'!$C$2:$C$533, 'S12 Operations'!$B$2:$B$533), 2, 0), "")</f>
        <v/>
      </c>
      <c r="I9" s="169" t="str">
        <f t="array" ref="I9">IFERROR(VLOOKUP($A9&amp;"-"&amp;I$2, CHOOSE({1,2}, 'S12 Operations'!$A$2:$A$533&amp;"-"&amp;'S12 Operations'!$C$2:$C$533, 'S12 Operations'!$B$2:$B$533), 2, 0), "")</f>
        <v/>
      </c>
      <c r="J9" s="170" t="str">
        <f t="array" ref="J9">IFERROR(VLOOKUP($A9&amp;"-"&amp;J$2, CHOOSE({1,2}, 'S12 Operations'!$A$2:$A$533&amp;"-"&amp;'S12 Operations'!$C$2:$C$533, 'S12 Operations'!$B$2:$B$533), 2, 0), "")</f>
        <v/>
      </c>
      <c r="K9" s="170" t="str">
        <f t="array" ref="K9">IFERROR(VLOOKUP($A9&amp;"-"&amp;K$2, CHOOSE({1,2}, 'S12 Operations'!$A$2:$A$533&amp;"-"&amp;'S12 Operations'!$C$2:$C$533, 'S12 Operations'!$B$2:$B$533), 2, 0), "")</f>
        <v/>
      </c>
      <c r="L9" s="170" t="str">
        <f t="array" ref="L9">IFERROR(VLOOKUP($A9&amp;"-"&amp;L$2, CHOOSE({1,2}, 'S12 Operations'!$A$2:$A$533&amp;"-"&amp;'S12 Operations'!$C$2:$C$533, 'S12 Operations'!$B$2:$B$533), 2, 0), "")</f>
        <v/>
      </c>
      <c r="M9" s="170" t="str">
        <f t="array" ref="M9">IFERROR(VLOOKUP($A9&amp;"-"&amp;M$2, CHOOSE({1,2}, 'S12 Operations'!$A$2:$A$533&amp;"-"&amp;'S12 Operations'!$C$2:$C$533, 'S12 Operations'!$B$2:$B$533), 2, 0), "")</f>
        <v/>
      </c>
      <c r="N9" s="170" t="str">
        <f t="array" ref="N9">IFERROR(VLOOKUP($A9&amp;"-"&amp;N$2, CHOOSE({1,2}, 'S12 Operations'!$A$2:$A$533&amp;"-"&amp;'S12 Operations'!$C$2:$C$533, 'S12 Operations'!$B$2:$B$533), 2, 0), "")</f>
        <v/>
      </c>
      <c r="O9" s="170" t="str">
        <f t="array" ref="O9">IFERROR(VLOOKUP($A9&amp;"-"&amp;O$2, CHOOSE({1,2}, 'S12 Operations'!$A$2:$A$533&amp;"-"&amp;'S12 Operations'!$C$2:$C$533, 'S12 Operations'!$B$2:$B$533), 2, 0), "")</f>
        <v/>
      </c>
      <c r="P9" s="171" t="str">
        <f t="array" ref="P9">IFERROR(VLOOKUP($A9&amp;"-"&amp;P$2, CHOOSE({1,2}, 'S12 Operations'!$A$2:$A$533&amp;"-"&amp;'S12 Operations'!$C$2:$C$533, 'S12 Operations'!$B$2:$B$533), 2, 0), "")</f>
        <v/>
      </c>
      <c r="Q9" s="172" t="str">
        <f t="array" ref="Q9">IFERROR(VLOOKUP($A9&amp;"-"&amp;Q$2, CHOOSE({1,2}, 'S12 Operations'!$A$2:$A$533&amp;"-"&amp;'S12 Operations'!$C$2:$C$533, 'S12 Operations'!$B$2:$B$533), 2, 0), "")</f>
        <v/>
      </c>
      <c r="R9" s="173" t="str">
        <f t="array" ref="R9">IFERROR(VLOOKUP($A9&amp;"-"&amp;R$2, CHOOSE({1,2}, 'S12 Operations'!$A$2:$A$533&amp;"-"&amp;'S12 Operations'!$C$2:$C$533, 'S12 Operations'!$B$2:$B$533), 2, 0), "")</f>
        <v/>
      </c>
      <c r="S9" s="173" t="str">
        <f t="array" ref="S9">IFERROR(VLOOKUP($A9&amp;"-"&amp;S$2, CHOOSE({1,2}, 'S12 Operations'!$A$2:$A$533&amp;"-"&amp;'S12 Operations'!$C$2:$C$533, 'S12 Operations'!$B$2:$B$533), 2, 0), "")</f>
        <v/>
      </c>
      <c r="T9" s="174" t="str">
        <f t="array" ref="T9">IFERROR(VLOOKUP($A9&amp;"-"&amp;T$2, CHOOSE({1,2}, 'S12 Operations'!$A$2:$A$533&amp;"-"&amp;'S12 Operations'!$C$2:$C$533, 'S12 Operations'!$B$2:$B$533), 2, 0), "")</f>
        <v/>
      </c>
      <c r="U9" s="169" t="str">
        <f t="array" ref="U9">IFERROR(VLOOKUP($A9&amp;"-"&amp;U$2, CHOOSE({1,2}, 'S12 Operations'!$A$2:$A$533&amp;"-"&amp;'S12 Operations'!$C$2:$C$533, 'S12 Operations'!$B$2:$B$533), 2, 0), "")</f>
        <v/>
      </c>
      <c r="V9" s="171" t="str">
        <f t="array" ref="V9">IFERROR(VLOOKUP($A9&amp;"-"&amp;V$2, CHOOSE({1,2}, 'S12 Operations'!$A$2:$A$533&amp;"-"&amp;'S12 Operations'!$C$2:$C$533, 'S12 Operations'!$B$2:$B$533), 2, 0), "")</f>
        <v/>
      </c>
      <c r="W9" s="172" t="str">
        <f t="array" ref="W9">IFERROR(VLOOKUP($A9&amp;"-"&amp;W$2, CHOOSE({1,2}, 'S12 Operations'!$A$2:$A$533&amp;"-"&amp;'S12 Operations'!$C$2:$C$533, 'S12 Operations'!$B$2:$B$533), 2, 0), "")</f>
        <v/>
      </c>
      <c r="X9" s="173" t="str">
        <f t="array" ref="X9">IFERROR(VLOOKUP($A9&amp;"-"&amp;X$2, CHOOSE({1,2}, 'S12 Operations'!$A$2:$A$533&amp;"-"&amp;'S12 Operations'!$C$2:$C$533, 'S12 Operations'!$B$2:$B$533), 2, 0), "")</f>
        <v/>
      </c>
      <c r="Y9" s="174" t="str">
        <f t="array" ref="Y9">IFERROR(VLOOKUP($A9&amp;"-"&amp;Y$2, CHOOSE({1,2}, 'S12 Operations'!$A$2:$A$533&amp;"-"&amp;'S12 Operations'!$C$2:$C$533, 'S12 Operations'!$B$2:$B$533), 2, 0), "")</f>
        <v/>
      </c>
      <c r="Z9" s="158" t="str">
        <f t="array" ref="Z9">IFERROR(VLOOKUP($A9&amp;"-"&amp;Z$2, CHOOSE({1,2}, 'S12 Operations'!$A$2:$A$533&amp;"-"&amp;'S12 Operations'!$C$2:$C$533, 'S12 Operations'!$B$2:$B$533), 2, 0), "")</f>
        <v/>
      </c>
      <c r="AA9" s="157" t="str">
        <f t="array" ref="AA9">IFERROR(VLOOKUP($A9&amp;"-"&amp;AA$2, CHOOSE({1,2}, 'S12 Operations'!$A$2:$A$533&amp;"-"&amp;'S12 Operations'!$C$2:$C$533, 'S12 Operations'!$B$2:$B$533), 2, 0), "")</f>
        <v/>
      </c>
    </row>
    <row r="10" spans="1:27" ht="17" x14ac:dyDescent="0.2">
      <c r="A10" s="180"/>
      <c r="B10" s="59" t="str">
        <f t="array" ref="B10">IFERROR(VLOOKUP($A10&amp;"-"&amp;B$2, CHOOSE({1,2}, 'S12 Operations'!$A$2:$A$533&amp;"-"&amp;'S12 Operations'!$C$2:$C$533, 'S12 Operations'!$B$2:$B$533), 2, 0), "")</f>
        <v/>
      </c>
      <c r="C10" s="162" t="str">
        <f t="array" ref="C10">IFERROR(VLOOKUP($A10&amp;"-"&amp;C$2, CHOOSE({1,2}, 'S12 Operations'!$A$2:$A$533&amp;"-"&amp;'S12 Operations'!$C$2:$C$533, 'S12 Operations'!$B$2:$B$533), 2, 0), "")</f>
        <v/>
      </c>
      <c r="D10" s="160" t="str">
        <f t="array" ref="D10">IFERROR(VLOOKUP($A10&amp;"-"&amp;D$2, CHOOSE({1,2}, 'S12 Operations'!$A$2:$A$533&amp;"-"&amp;'S12 Operations'!$C$2:$C$533, 'S12 Operations'!$B$2:$B$533), 2, 0), "")</f>
        <v/>
      </c>
      <c r="E10" s="163" t="str">
        <f t="array" ref="E10">IFERROR(VLOOKUP($A10&amp;"-"&amp;E$2, CHOOSE({1,2}, 'S12 Operations'!$A$2:$A$533&amp;"-"&amp;'S12 Operations'!$C$2:$C$533, 'S12 Operations'!$B$2:$B$533), 2, 0), "")</f>
        <v/>
      </c>
      <c r="F10" s="60" t="str">
        <f t="array" ref="F10">IFERROR(VLOOKUP($A10&amp;"-"&amp;F$2, CHOOSE({1,2}, 'S12 Operations'!$A$2:$A$533&amp;"-"&amp;'S12 Operations'!$C$2:$C$533, 'S12 Operations'!$B$2:$B$533), 2, 0), "")</f>
        <v/>
      </c>
      <c r="G10" s="4" t="str">
        <f t="array" ref="G10">IFERROR(VLOOKUP($A10&amp;"-"&amp;G$2, CHOOSE({1,2}, 'S12 Operations'!$A$2:$A$533&amp;"-"&amp;'S12 Operations'!$C$2:$C$533, 'S12 Operations'!$B$2:$B$533), 2, 0), "")</f>
        <v/>
      </c>
      <c r="H10" s="61" t="str">
        <f t="array" ref="H10">IFERROR(VLOOKUP($A10&amp;"-"&amp;H$2, CHOOSE({1,2}, 'S12 Operations'!$A$2:$A$533&amp;"-"&amp;'S12 Operations'!$C$2:$C$533, 'S12 Operations'!$B$2:$B$533), 2, 0), "")</f>
        <v/>
      </c>
      <c r="I10" s="162" t="str">
        <f t="array" ref="I10">IFERROR(VLOOKUP($A10&amp;"-"&amp;I$2, CHOOSE({1,2}, 'S12 Operations'!$A$2:$A$533&amp;"-"&amp;'S12 Operations'!$C$2:$C$533, 'S12 Operations'!$B$2:$B$533), 2, 0), "")</f>
        <v/>
      </c>
      <c r="J10" s="160" t="str">
        <f t="array" ref="J10">IFERROR(VLOOKUP($A10&amp;"-"&amp;J$2, CHOOSE({1,2}, 'S12 Operations'!$A$2:$A$533&amp;"-"&amp;'S12 Operations'!$C$2:$C$533, 'S12 Operations'!$B$2:$B$533), 2, 0), "")</f>
        <v/>
      </c>
      <c r="K10" s="160" t="str">
        <f t="array" ref="K10">IFERROR(VLOOKUP($A10&amp;"-"&amp;K$2, CHOOSE({1,2}, 'S12 Operations'!$A$2:$A$533&amp;"-"&amp;'S12 Operations'!$C$2:$C$533, 'S12 Operations'!$B$2:$B$533), 2, 0), "")</f>
        <v/>
      </c>
      <c r="L10" s="160" t="str">
        <f t="array" ref="L10">IFERROR(VLOOKUP($A10&amp;"-"&amp;L$2, CHOOSE({1,2}, 'S12 Operations'!$A$2:$A$533&amp;"-"&amp;'S12 Operations'!$C$2:$C$533, 'S12 Operations'!$B$2:$B$533), 2, 0), "")</f>
        <v/>
      </c>
      <c r="M10" s="160" t="str">
        <f t="array" ref="M10">IFERROR(VLOOKUP($A10&amp;"-"&amp;M$2, CHOOSE({1,2}, 'S12 Operations'!$A$2:$A$533&amp;"-"&amp;'S12 Operations'!$C$2:$C$533, 'S12 Operations'!$B$2:$B$533), 2, 0), "")</f>
        <v/>
      </c>
      <c r="N10" s="160" t="str">
        <f t="array" ref="N10">IFERROR(VLOOKUP($A10&amp;"-"&amp;N$2, CHOOSE({1,2}, 'S12 Operations'!$A$2:$A$533&amp;"-"&amp;'S12 Operations'!$C$2:$C$533, 'S12 Operations'!$B$2:$B$533), 2, 0), "")</f>
        <v/>
      </c>
      <c r="O10" s="160" t="str">
        <f t="array" ref="O10">IFERROR(VLOOKUP($A10&amp;"-"&amp;O$2, CHOOSE({1,2}, 'S12 Operations'!$A$2:$A$533&amp;"-"&amp;'S12 Operations'!$C$2:$C$533, 'S12 Operations'!$B$2:$B$533), 2, 0), "")</f>
        <v/>
      </c>
      <c r="P10" s="163" t="str">
        <f t="array" ref="P10">IFERROR(VLOOKUP($A10&amp;"-"&amp;P$2, CHOOSE({1,2}, 'S12 Operations'!$A$2:$A$533&amp;"-"&amp;'S12 Operations'!$C$2:$C$533, 'S12 Operations'!$B$2:$B$533), 2, 0), "")</f>
        <v/>
      </c>
      <c r="Q10" s="60" t="str">
        <f t="array" ref="Q10">IFERROR(VLOOKUP($A10&amp;"-"&amp;Q$2, CHOOSE({1,2}, 'S12 Operations'!$A$2:$A$533&amp;"-"&amp;'S12 Operations'!$C$2:$C$533, 'S12 Operations'!$B$2:$B$533), 2, 0), "")</f>
        <v/>
      </c>
      <c r="R10" s="4" t="str">
        <f t="array" ref="R10">IFERROR(VLOOKUP($A10&amp;"-"&amp;R$2, CHOOSE({1,2}, 'S12 Operations'!$A$2:$A$533&amp;"-"&amp;'S12 Operations'!$C$2:$C$533, 'S12 Operations'!$B$2:$B$533), 2, 0), "")</f>
        <v/>
      </c>
      <c r="S10" s="4" t="str">
        <f t="array" ref="S10">IFERROR(VLOOKUP($A10&amp;"-"&amp;S$2, CHOOSE({1,2}, 'S12 Operations'!$A$2:$A$533&amp;"-"&amp;'S12 Operations'!$C$2:$C$533, 'S12 Operations'!$B$2:$B$533), 2, 0), "")</f>
        <v/>
      </c>
      <c r="T10" s="61" t="str">
        <f t="array" ref="T10">IFERROR(VLOOKUP($A10&amp;"-"&amp;T$2, CHOOSE({1,2}, 'S12 Operations'!$A$2:$A$533&amp;"-"&amp;'S12 Operations'!$C$2:$C$533, 'S12 Operations'!$B$2:$B$533), 2, 0), "")</f>
        <v/>
      </c>
      <c r="U10" s="162" t="str">
        <f t="array" ref="U10">IFERROR(VLOOKUP($A10&amp;"-"&amp;U$2, CHOOSE({1,2}, 'S12 Operations'!$A$2:$A$533&amp;"-"&amp;'S12 Operations'!$C$2:$C$533, 'S12 Operations'!$B$2:$B$533), 2, 0), "")</f>
        <v/>
      </c>
      <c r="V10" s="163" t="str">
        <f t="array" ref="V10">IFERROR(VLOOKUP($A10&amp;"-"&amp;V$2, CHOOSE({1,2}, 'S12 Operations'!$A$2:$A$533&amp;"-"&amp;'S12 Operations'!$C$2:$C$533, 'S12 Operations'!$B$2:$B$533), 2, 0), "")</f>
        <v/>
      </c>
      <c r="W10" s="60" t="str">
        <f t="array" ref="W10">IFERROR(VLOOKUP($A10&amp;"-"&amp;W$2, CHOOSE({1,2}, 'S12 Operations'!$A$2:$A$533&amp;"-"&amp;'S12 Operations'!$C$2:$C$533, 'S12 Operations'!$B$2:$B$533), 2, 0), "")</f>
        <v/>
      </c>
      <c r="X10" s="4" t="str">
        <f t="array" ref="X10">IFERROR(VLOOKUP($A10&amp;"-"&amp;X$2, CHOOSE({1,2}, 'S12 Operations'!$A$2:$A$533&amp;"-"&amp;'S12 Operations'!$C$2:$C$533, 'S12 Operations'!$B$2:$B$533), 2, 0), "")</f>
        <v/>
      </c>
      <c r="Y10" s="61" t="str">
        <f t="array" ref="Y10">IFERROR(VLOOKUP($A10&amp;"-"&amp;Y$2, CHOOSE({1,2}, 'S12 Operations'!$A$2:$A$533&amp;"-"&amp;'S12 Operations'!$C$2:$C$533, 'S12 Operations'!$B$2:$B$533), 2, 0), "")</f>
        <v/>
      </c>
      <c r="Z10" s="167" t="str">
        <f t="array" ref="Z10">IFERROR(VLOOKUP($A10&amp;"-"&amp;Z$2, CHOOSE({1,2}, 'S12 Operations'!$A$2:$A$533&amp;"-"&amp;'S12 Operations'!$C$2:$C$533, 'S12 Operations'!$B$2:$B$533), 2, 0), "")</f>
        <v/>
      </c>
      <c r="AA10" s="59" t="str">
        <f t="array" ref="AA10">IFERROR(VLOOKUP($A10&amp;"-"&amp;AA$2, CHOOSE({1,2}, 'S12 Operations'!$A$2:$A$533&amp;"-"&amp;'S12 Operations'!$C$2:$C$533, 'S12 Operations'!$B$2:$B$533), 2, 0), "")</f>
        <v/>
      </c>
    </row>
    <row r="11" spans="1:27" ht="18" thickBot="1" x14ac:dyDescent="0.25">
      <c r="A11" s="159"/>
      <c r="B11" s="62" t="str">
        <f t="array" ref="B11">IFERROR(VLOOKUP($A11&amp;"-"&amp;B$2, CHOOSE({1,2}, 'S12 Operations'!$A$2:$A$533&amp;"-"&amp;'S12 Operations'!$C$2:$C$533, 'S12 Operations'!$B$2:$B$533), 2, 0), "")</f>
        <v/>
      </c>
      <c r="C11" s="164" t="str">
        <f t="array" ref="C11">IFERROR(VLOOKUP($A11&amp;"-"&amp;C$2, CHOOSE({1,2}, 'S12 Operations'!$A$2:$A$533&amp;"-"&amp;'S12 Operations'!$C$2:$C$533, 'S12 Operations'!$B$2:$B$533), 2, 0), "")</f>
        <v/>
      </c>
      <c r="D11" s="165" t="str">
        <f t="array" ref="D11">IFERROR(VLOOKUP($A11&amp;"-"&amp;D$2, CHOOSE({1,2}, 'S12 Operations'!$A$2:$A$533&amp;"-"&amp;'S12 Operations'!$C$2:$C$533, 'S12 Operations'!$B$2:$B$533), 2, 0), "")</f>
        <v/>
      </c>
      <c r="E11" s="166" t="str">
        <f t="array" ref="E11">IFERROR(VLOOKUP($A11&amp;"-"&amp;E$2, CHOOSE({1,2}, 'S12 Operations'!$A$2:$A$533&amp;"-"&amp;'S12 Operations'!$C$2:$C$533, 'S12 Operations'!$B$2:$B$533), 2, 0), "")</f>
        <v/>
      </c>
      <c r="F11" s="63" t="str">
        <f t="array" ref="F11">IFERROR(VLOOKUP($A11&amp;"-"&amp;F$2, CHOOSE({1,2}, 'S12 Operations'!$A$2:$A$533&amp;"-"&amp;'S12 Operations'!$C$2:$C$533, 'S12 Operations'!$B$2:$B$533), 2, 0), "")</f>
        <v/>
      </c>
      <c r="G11" s="64" t="str">
        <f t="array" ref="G11">IFERROR(VLOOKUP($A11&amp;"-"&amp;G$2, CHOOSE({1,2}, 'S12 Operations'!$A$2:$A$533&amp;"-"&amp;'S12 Operations'!$C$2:$C$533, 'S12 Operations'!$B$2:$B$533), 2, 0), "")</f>
        <v/>
      </c>
      <c r="H11" s="65" t="str">
        <f t="array" ref="H11">IFERROR(VLOOKUP($A11&amp;"-"&amp;H$2, CHOOSE({1,2}, 'S12 Operations'!$A$2:$A$533&amp;"-"&amp;'S12 Operations'!$C$2:$C$533, 'S12 Operations'!$B$2:$B$533), 2, 0), "")</f>
        <v/>
      </c>
      <c r="I11" s="164" t="str">
        <f t="array" ref="I11">IFERROR(VLOOKUP($A11&amp;"-"&amp;I$2, CHOOSE({1,2}, 'S12 Operations'!$A$2:$A$533&amp;"-"&amp;'S12 Operations'!$C$2:$C$533, 'S12 Operations'!$B$2:$B$533), 2, 0), "")</f>
        <v/>
      </c>
      <c r="J11" s="165" t="str">
        <f t="array" ref="J11">IFERROR(VLOOKUP($A11&amp;"-"&amp;J$2, CHOOSE({1,2}, 'S12 Operations'!$A$2:$A$533&amp;"-"&amp;'S12 Operations'!$C$2:$C$533, 'S12 Operations'!$B$2:$B$533), 2, 0), "")</f>
        <v/>
      </c>
      <c r="K11" s="165" t="str">
        <f t="array" ref="K11">IFERROR(VLOOKUP($A11&amp;"-"&amp;K$2, CHOOSE({1,2}, 'S12 Operations'!$A$2:$A$533&amp;"-"&amp;'S12 Operations'!$C$2:$C$533, 'S12 Operations'!$B$2:$B$533), 2, 0), "")</f>
        <v/>
      </c>
      <c r="L11" s="165" t="str">
        <f t="array" ref="L11">IFERROR(VLOOKUP($A11&amp;"-"&amp;L$2, CHOOSE({1,2}, 'S12 Operations'!$A$2:$A$533&amp;"-"&amp;'S12 Operations'!$C$2:$C$533, 'S12 Operations'!$B$2:$B$533), 2, 0), "")</f>
        <v/>
      </c>
      <c r="M11" s="165" t="str">
        <f t="array" ref="M11">IFERROR(VLOOKUP($A11&amp;"-"&amp;M$2, CHOOSE({1,2}, 'S12 Operations'!$A$2:$A$533&amp;"-"&amp;'S12 Operations'!$C$2:$C$533, 'S12 Operations'!$B$2:$B$533), 2, 0), "")</f>
        <v/>
      </c>
      <c r="N11" s="165" t="str">
        <f t="array" ref="N11">IFERROR(VLOOKUP($A11&amp;"-"&amp;N$2, CHOOSE({1,2}, 'S12 Operations'!$A$2:$A$533&amp;"-"&amp;'S12 Operations'!$C$2:$C$533, 'S12 Operations'!$B$2:$B$533), 2, 0), "")</f>
        <v/>
      </c>
      <c r="O11" s="165" t="str">
        <f t="array" ref="O11">IFERROR(VLOOKUP($A11&amp;"-"&amp;O$2, CHOOSE({1,2}, 'S12 Operations'!$A$2:$A$533&amp;"-"&amp;'S12 Operations'!$C$2:$C$533, 'S12 Operations'!$B$2:$B$533), 2, 0), "")</f>
        <v/>
      </c>
      <c r="P11" s="166" t="str">
        <f t="array" ref="P11">IFERROR(VLOOKUP($A11&amp;"-"&amp;P$2, CHOOSE({1,2}, 'S12 Operations'!$A$2:$A$533&amp;"-"&amp;'S12 Operations'!$C$2:$C$533, 'S12 Operations'!$B$2:$B$533), 2, 0), "")</f>
        <v/>
      </c>
      <c r="Q11" s="63" t="str">
        <f t="array" ref="Q11">IFERROR(VLOOKUP($A11&amp;"-"&amp;Q$2, CHOOSE({1,2}, 'S12 Operations'!$A$2:$A$533&amp;"-"&amp;'S12 Operations'!$C$2:$C$533, 'S12 Operations'!$B$2:$B$533), 2, 0), "")</f>
        <v/>
      </c>
      <c r="R11" s="64" t="str">
        <f t="array" ref="R11">IFERROR(VLOOKUP($A11&amp;"-"&amp;R$2, CHOOSE({1,2}, 'S12 Operations'!$A$2:$A$533&amp;"-"&amp;'S12 Operations'!$C$2:$C$533, 'S12 Operations'!$B$2:$B$533), 2, 0), "")</f>
        <v/>
      </c>
      <c r="S11" s="64" t="str">
        <f t="array" ref="S11">IFERROR(VLOOKUP($A11&amp;"-"&amp;S$2, CHOOSE({1,2}, 'S12 Operations'!$A$2:$A$533&amp;"-"&amp;'S12 Operations'!$C$2:$C$533, 'S12 Operations'!$B$2:$B$533), 2, 0), "")</f>
        <v/>
      </c>
      <c r="T11" s="65" t="str">
        <f t="array" ref="T11">IFERROR(VLOOKUP($A11&amp;"-"&amp;T$2, CHOOSE({1,2}, 'S12 Operations'!$A$2:$A$533&amp;"-"&amp;'S12 Operations'!$C$2:$C$533, 'S12 Operations'!$B$2:$B$533), 2, 0), "")</f>
        <v/>
      </c>
      <c r="U11" s="164" t="str">
        <f t="array" ref="U11">IFERROR(VLOOKUP($A11&amp;"-"&amp;U$2, CHOOSE({1,2}, 'S12 Operations'!$A$2:$A$533&amp;"-"&amp;'S12 Operations'!$C$2:$C$533, 'S12 Operations'!$B$2:$B$533), 2, 0), "")</f>
        <v/>
      </c>
      <c r="V11" s="166" t="str">
        <f t="array" ref="V11">IFERROR(VLOOKUP($A11&amp;"-"&amp;V$2, CHOOSE({1,2}, 'S12 Operations'!$A$2:$A$533&amp;"-"&amp;'S12 Operations'!$C$2:$C$533, 'S12 Operations'!$B$2:$B$533), 2, 0), "")</f>
        <v/>
      </c>
      <c r="W11" s="63" t="str">
        <f t="array" ref="W11">IFERROR(VLOOKUP($A11&amp;"-"&amp;W$2, CHOOSE({1,2}, 'S12 Operations'!$A$2:$A$533&amp;"-"&amp;'S12 Operations'!$C$2:$C$533, 'S12 Operations'!$B$2:$B$533), 2, 0), "")</f>
        <v/>
      </c>
      <c r="X11" s="64" t="str">
        <f t="array" ref="X11">IFERROR(VLOOKUP($A11&amp;"-"&amp;X$2, CHOOSE({1,2}, 'S12 Operations'!$A$2:$A$533&amp;"-"&amp;'S12 Operations'!$C$2:$C$533, 'S12 Operations'!$B$2:$B$533), 2, 0), "")</f>
        <v/>
      </c>
      <c r="Y11" s="65" t="str">
        <f t="array" ref="Y11">IFERROR(VLOOKUP($A11&amp;"-"&amp;Y$2, CHOOSE({1,2}, 'S12 Operations'!$A$2:$A$533&amp;"-"&amp;'S12 Operations'!$C$2:$C$533, 'S12 Operations'!$B$2:$B$533), 2, 0), "")</f>
        <v/>
      </c>
      <c r="Z11" s="168" t="str">
        <f t="array" ref="Z11">IFERROR(VLOOKUP($A11&amp;"-"&amp;Z$2, CHOOSE({1,2}, 'S12 Operations'!$A$2:$A$533&amp;"-"&amp;'S12 Operations'!$C$2:$C$533, 'S12 Operations'!$B$2:$B$533), 2, 0), "")</f>
        <v/>
      </c>
      <c r="AA11" s="62" t="str">
        <f t="array" ref="AA11">IFERROR(VLOOKUP($A11&amp;"-"&amp;AA$2, CHOOSE({1,2}, 'S12 Operations'!$A$2:$A$533&amp;"-"&amp;'S12 Operations'!$C$2:$C$533, 'S12 Operations'!$B$2:$B$533), 2, 0), "")</f>
        <v/>
      </c>
    </row>
    <row r="12" spans="1:27" ht="17" x14ac:dyDescent="0.2">
      <c r="A12" s="179"/>
      <c r="B12" s="157" t="str">
        <f t="array" ref="B12">IFERROR(VLOOKUP($A12&amp;"-"&amp;B$2, CHOOSE({1,2}, 'S12 Operations'!$A$2:$A$533&amp;"-"&amp;'S12 Operations'!$C$2:$C$533, 'S12 Operations'!$B$2:$B$533), 2, 0), "")</f>
        <v/>
      </c>
      <c r="C12" s="169" t="str">
        <f t="array" ref="C12">IFERROR(VLOOKUP($A12&amp;"-"&amp;C$2, CHOOSE({1,2}, 'S12 Operations'!$A$2:$A$533&amp;"-"&amp;'S12 Operations'!$C$2:$C$533, 'S12 Operations'!$B$2:$B$533), 2, 0), "")</f>
        <v/>
      </c>
      <c r="D12" s="170" t="str">
        <f t="array" ref="D12">IFERROR(VLOOKUP($A12&amp;"-"&amp;D$2, CHOOSE({1,2}, 'S12 Operations'!$A$2:$A$533&amp;"-"&amp;'S12 Operations'!$C$2:$C$533, 'S12 Operations'!$B$2:$B$533), 2, 0), "")</f>
        <v/>
      </c>
      <c r="E12" s="171" t="str">
        <f t="array" ref="E12">IFERROR(VLOOKUP($A12&amp;"-"&amp;E$2, CHOOSE({1,2}, 'S12 Operations'!$A$2:$A$533&amp;"-"&amp;'S12 Operations'!$C$2:$C$533, 'S12 Operations'!$B$2:$B$533), 2, 0), "")</f>
        <v/>
      </c>
      <c r="F12" s="172" t="str">
        <f t="array" ref="F12">IFERROR(VLOOKUP($A12&amp;"-"&amp;F$2, CHOOSE({1,2}, 'S12 Operations'!$A$2:$A$533&amp;"-"&amp;'S12 Operations'!$C$2:$C$533, 'S12 Operations'!$B$2:$B$533), 2, 0), "")</f>
        <v/>
      </c>
      <c r="G12" s="173" t="str">
        <f t="array" ref="G12">IFERROR(VLOOKUP($A12&amp;"-"&amp;G$2, CHOOSE({1,2}, 'S12 Operations'!$A$2:$A$533&amp;"-"&amp;'S12 Operations'!$C$2:$C$533, 'S12 Operations'!$B$2:$B$533), 2, 0), "")</f>
        <v/>
      </c>
      <c r="H12" s="174" t="str">
        <f t="array" ref="H12">IFERROR(VLOOKUP($A12&amp;"-"&amp;H$2, CHOOSE({1,2}, 'S12 Operations'!$A$2:$A$533&amp;"-"&amp;'S12 Operations'!$C$2:$C$533, 'S12 Operations'!$B$2:$B$533), 2, 0), "")</f>
        <v/>
      </c>
      <c r="I12" s="169" t="str">
        <f t="array" ref="I12">IFERROR(VLOOKUP($A12&amp;"-"&amp;I$2, CHOOSE({1,2}, 'S12 Operations'!$A$2:$A$533&amp;"-"&amp;'S12 Operations'!$C$2:$C$533, 'S12 Operations'!$B$2:$B$533), 2, 0), "")</f>
        <v/>
      </c>
      <c r="J12" s="170" t="str">
        <f t="array" ref="J12">IFERROR(VLOOKUP($A12&amp;"-"&amp;J$2, CHOOSE({1,2}, 'S12 Operations'!$A$2:$A$533&amp;"-"&amp;'S12 Operations'!$C$2:$C$533, 'S12 Operations'!$B$2:$B$533), 2, 0), "")</f>
        <v/>
      </c>
      <c r="K12" s="170" t="str">
        <f t="array" ref="K12">IFERROR(VLOOKUP($A12&amp;"-"&amp;K$2, CHOOSE({1,2}, 'S12 Operations'!$A$2:$A$533&amp;"-"&amp;'S12 Operations'!$C$2:$C$533, 'S12 Operations'!$B$2:$B$533), 2, 0), "")</f>
        <v/>
      </c>
      <c r="L12" s="170" t="str">
        <f t="array" ref="L12">IFERROR(VLOOKUP($A12&amp;"-"&amp;L$2, CHOOSE({1,2}, 'S12 Operations'!$A$2:$A$533&amp;"-"&amp;'S12 Operations'!$C$2:$C$533, 'S12 Operations'!$B$2:$B$533), 2, 0), "")</f>
        <v/>
      </c>
      <c r="M12" s="170" t="str">
        <f t="array" ref="M12">IFERROR(VLOOKUP($A12&amp;"-"&amp;M$2, CHOOSE({1,2}, 'S12 Operations'!$A$2:$A$533&amp;"-"&amp;'S12 Operations'!$C$2:$C$533, 'S12 Operations'!$B$2:$B$533), 2, 0), "")</f>
        <v/>
      </c>
      <c r="N12" s="170" t="str">
        <f t="array" ref="N12">IFERROR(VLOOKUP($A12&amp;"-"&amp;N$2, CHOOSE({1,2}, 'S12 Operations'!$A$2:$A$533&amp;"-"&amp;'S12 Operations'!$C$2:$C$533, 'S12 Operations'!$B$2:$B$533), 2, 0), "")</f>
        <v/>
      </c>
      <c r="O12" s="170" t="str">
        <f t="array" ref="O12">IFERROR(VLOOKUP($A12&amp;"-"&amp;O$2, CHOOSE({1,2}, 'S12 Operations'!$A$2:$A$533&amp;"-"&amp;'S12 Operations'!$C$2:$C$533, 'S12 Operations'!$B$2:$B$533), 2, 0), "")</f>
        <v/>
      </c>
      <c r="P12" s="171" t="str">
        <f t="array" ref="P12">IFERROR(VLOOKUP($A12&amp;"-"&amp;P$2, CHOOSE({1,2}, 'S12 Operations'!$A$2:$A$533&amp;"-"&amp;'S12 Operations'!$C$2:$C$533, 'S12 Operations'!$B$2:$B$533), 2, 0), "")</f>
        <v/>
      </c>
      <c r="Q12" s="172" t="str">
        <f t="array" ref="Q12">IFERROR(VLOOKUP($A12&amp;"-"&amp;Q$2, CHOOSE({1,2}, 'S12 Operations'!$A$2:$A$533&amp;"-"&amp;'S12 Operations'!$C$2:$C$533, 'S12 Operations'!$B$2:$B$533), 2, 0), "")</f>
        <v/>
      </c>
      <c r="R12" s="173" t="str">
        <f t="array" ref="R12">IFERROR(VLOOKUP($A12&amp;"-"&amp;R$2, CHOOSE({1,2}, 'S12 Operations'!$A$2:$A$533&amp;"-"&amp;'S12 Operations'!$C$2:$C$533, 'S12 Operations'!$B$2:$B$533), 2, 0), "")</f>
        <v/>
      </c>
      <c r="S12" s="173" t="str">
        <f t="array" ref="S12">IFERROR(VLOOKUP($A12&amp;"-"&amp;S$2, CHOOSE({1,2}, 'S12 Operations'!$A$2:$A$533&amp;"-"&amp;'S12 Operations'!$C$2:$C$533, 'S12 Operations'!$B$2:$B$533), 2, 0), "")</f>
        <v/>
      </c>
      <c r="T12" s="174" t="str">
        <f t="array" ref="T12">IFERROR(VLOOKUP($A12&amp;"-"&amp;T$2, CHOOSE({1,2}, 'S12 Operations'!$A$2:$A$533&amp;"-"&amp;'S12 Operations'!$C$2:$C$533, 'S12 Operations'!$B$2:$B$533), 2, 0), "")</f>
        <v/>
      </c>
      <c r="U12" s="169" t="str">
        <f t="array" ref="U12">IFERROR(VLOOKUP($A12&amp;"-"&amp;U$2, CHOOSE({1,2}, 'S12 Operations'!$A$2:$A$533&amp;"-"&amp;'S12 Operations'!$C$2:$C$533, 'S12 Operations'!$B$2:$B$533), 2, 0), "")</f>
        <v/>
      </c>
      <c r="V12" s="171" t="str">
        <f t="array" ref="V12">IFERROR(VLOOKUP($A12&amp;"-"&amp;V$2, CHOOSE({1,2}, 'S12 Operations'!$A$2:$A$533&amp;"-"&amp;'S12 Operations'!$C$2:$C$533, 'S12 Operations'!$B$2:$B$533), 2, 0), "")</f>
        <v/>
      </c>
      <c r="W12" s="172" t="str">
        <f t="array" ref="W12">IFERROR(VLOOKUP($A12&amp;"-"&amp;W$2, CHOOSE({1,2}, 'S12 Operations'!$A$2:$A$533&amp;"-"&amp;'S12 Operations'!$C$2:$C$533, 'S12 Operations'!$B$2:$B$533), 2, 0), "")</f>
        <v/>
      </c>
      <c r="X12" s="173" t="str">
        <f t="array" ref="X12">IFERROR(VLOOKUP($A12&amp;"-"&amp;X$2, CHOOSE({1,2}, 'S12 Operations'!$A$2:$A$533&amp;"-"&amp;'S12 Operations'!$C$2:$C$533, 'S12 Operations'!$B$2:$B$533), 2, 0), "")</f>
        <v/>
      </c>
      <c r="Y12" s="174" t="str">
        <f t="array" ref="Y12">IFERROR(VLOOKUP($A12&amp;"-"&amp;Y$2, CHOOSE({1,2}, 'S12 Operations'!$A$2:$A$533&amp;"-"&amp;'S12 Operations'!$C$2:$C$533, 'S12 Operations'!$B$2:$B$533), 2, 0), "")</f>
        <v/>
      </c>
      <c r="Z12" s="158" t="str">
        <f t="array" ref="Z12">IFERROR(VLOOKUP($A12&amp;"-"&amp;Z$2, CHOOSE({1,2}, 'S12 Operations'!$A$2:$A$533&amp;"-"&amp;'S12 Operations'!$C$2:$C$533, 'S12 Operations'!$B$2:$B$533), 2, 0), "")</f>
        <v/>
      </c>
      <c r="AA12" s="157" t="str">
        <f t="array" ref="AA12">IFERROR(VLOOKUP($A12&amp;"-"&amp;AA$2, CHOOSE({1,2}, 'S12 Operations'!$A$2:$A$533&amp;"-"&amp;'S12 Operations'!$C$2:$C$533, 'S12 Operations'!$B$2:$B$533), 2, 0), "")</f>
        <v/>
      </c>
    </row>
    <row r="13" spans="1:27" ht="17" x14ac:dyDescent="0.2">
      <c r="A13" s="180"/>
      <c r="B13" s="59" t="str">
        <f t="array" ref="B13">IFERROR(VLOOKUP($A13&amp;"-"&amp;B$2, CHOOSE({1,2}, 'S12 Operations'!$A$2:$A$533&amp;"-"&amp;'S12 Operations'!$C$2:$C$533, 'S12 Operations'!$B$2:$B$533), 2, 0), "")</f>
        <v/>
      </c>
      <c r="C13" s="162" t="str">
        <f t="array" ref="C13">IFERROR(VLOOKUP($A13&amp;"-"&amp;C$2, CHOOSE({1,2}, 'S12 Operations'!$A$2:$A$533&amp;"-"&amp;'S12 Operations'!$C$2:$C$533, 'S12 Operations'!$B$2:$B$533), 2, 0), "")</f>
        <v/>
      </c>
      <c r="D13" s="160" t="str">
        <f t="array" ref="D13">IFERROR(VLOOKUP($A13&amp;"-"&amp;D$2, CHOOSE({1,2}, 'S12 Operations'!$A$2:$A$533&amp;"-"&amp;'S12 Operations'!$C$2:$C$533, 'S12 Operations'!$B$2:$B$533), 2, 0), "")</f>
        <v/>
      </c>
      <c r="E13" s="163" t="str">
        <f t="array" ref="E13">IFERROR(VLOOKUP($A13&amp;"-"&amp;E$2, CHOOSE({1,2}, 'S12 Operations'!$A$2:$A$533&amp;"-"&amp;'S12 Operations'!$C$2:$C$533, 'S12 Operations'!$B$2:$B$533), 2, 0), "")</f>
        <v/>
      </c>
      <c r="F13" s="60" t="str">
        <f t="array" ref="F13">IFERROR(VLOOKUP($A13&amp;"-"&amp;F$2, CHOOSE({1,2}, 'S12 Operations'!$A$2:$A$533&amp;"-"&amp;'S12 Operations'!$C$2:$C$533, 'S12 Operations'!$B$2:$B$533), 2, 0), "")</f>
        <v/>
      </c>
      <c r="G13" s="4" t="str">
        <f t="array" ref="G13">IFERROR(VLOOKUP($A13&amp;"-"&amp;G$2, CHOOSE({1,2}, 'S12 Operations'!$A$2:$A$533&amp;"-"&amp;'S12 Operations'!$C$2:$C$533, 'S12 Operations'!$B$2:$B$533), 2, 0), "")</f>
        <v/>
      </c>
      <c r="H13" s="61" t="str">
        <f t="array" ref="H13">IFERROR(VLOOKUP($A13&amp;"-"&amp;H$2, CHOOSE({1,2}, 'S12 Operations'!$A$2:$A$533&amp;"-"&amp;'S12 Operations'!$C$2:$C$533, 'S12 Operations'!$B$2:$B$533), 2, 0), "")</f>
        <v/>
      </c>
      <c r="I13" s="162" t="str">
        <f t="array" ref="I13">IFERROR(VLOOKUP($A13&amp;"-"&amp;I$2, CHOOSE({1,2}, 'S12 Operations'!$A$2:$A$533&amp;"-"&amp;'S12 Operations'!$C$2:$C$533, 'S12 Operations'!$B$2:$B$533), 2, 0), "")</f>
        <v/>
      </c>
      <c r="J13" s="160" t="str">
        <f t="array" ref="J13">IFERROR(VLOOKUP($A13&amp;"-"&amp;J$2, CHOOSE({1,2}, 'S12 Operations'!$A$2:$A$533&amp;"-"&amp;'S12 Operations'!$C$2:$C$533, 'S12 Operations'!$B$2:$B$533), 2, 0), "")</f>
        <v/>
      </c>
      <c r="K13" s="160" t="str">
        <f t="array" ref="K13">IFERROR(VLOOKUP($A13&amp;"-"&amp;K$2, CHOOSE({1,2}, 'S12 Operations'!$A$2:$A$533&amp;"-"&amp;'S12 Operations'!$C$2:$C$533, 'S12 Operations'!$B$2:$B$533), 2, 0), "")</f>
        <v/>
      </c>
      <c r="L13" s="160" t="str">
        <f t="array" ref="L13">IFERROR(VLOOKUP($A13&amp;"-"&amp;L$2, CHOOSE({1,2}, 'S12 Operations'!$A$2:$A$533&amp;"-"&amp;'S12 Operations'!$C$2:$C$533, 'S12 Operations'!$B$2:$B$533), 2, 0), "")</f>
        <v/>
      </c>
      <c r="M13" s="160" t="str">
        <f t="array" ref="M13">IFERROR(VLOOKUP($A13&amp;"-"&amp;M$2, CHOOSE({1,2}, 'S12 Operations'!$A$2:$A$533&amp;"-"&amp;'S12 Operations'!$C$2:$C$533, 'S12 Operations'!$B$2:$B$533), 2, 0), "")</f>
        <v/>
      </c>
      <c r="N13" s="160" t="str">
        <f t="array" ref="N13">IFERROR(VLOOKUP($A13&amp;"-"&amp;N$2, CHOOSE({1,2}, 'S12 Operations'!$A$2:$A$533&amp;"-"&amp;'S12 Operations'!$C$2:$C$533, 'S12 Operations'!$B$2:$B$533), 2, 0), "")</f>
        <v/>
      </c>
      <c r="O13" s="160" t="str">
        <f t="array" ref="O13">IFERROR(VLOOKUP($A13&amp;"-"&amp;O$2, CHOOSE({1,2}, 'S12 Operations'!$A$2:$A$533&amp;"-"&amp;'S12 Operations'!$C$2:$C$533, 'S12 Operations'!$B$2:$B$533), 2, 0), "")</f>
        <v/>
      </c>
      <c r="P13" s="163" t="str">
        <f t="array" ref="P13">IFERROR(VLOOKUP($A13&amp;"-"&amp;P$2, CHOOSE({1,2}, 'S12 Operations'!$A$2:$A$533&amp;"-"&amp;'S12 Operations'!$C$2:$C$533, 'S12 Operations'!$B$2:$B$533), 2, 0), "")</f>
        <v/>
      </c>
      <c r="Q13" s="60" t="str">
        <f t="array" ref="Q13">IFERROR(VLOOKUP($A13&amp;"-"&amp;Q$2, CHOOSE({1,2}, 'S12 Operations'!$A$2:$A$533&amp;"-"&amp;'S12 Operations'!$C$2:$C$533, 'S12 Operations'!$B$2:$B$533), 2, 0), "")</f>
        <v/>
      </c>
      <c r="R13" s="4" t="str">
        <f t="array" ref="R13">IFERROR(VLOOKUP($A13&amp;"-"&amp;R$2, CHOOSE({1,2}, 'S12 Operations'!$A$2:$A$533&amp;"-"&amp;'S12 Operations'!$C$2:$C$533, 'S12 Operations'!$B$2:$B$533), 2, 0), "")</f>
        <v/>
      </c>
      <c r="S13" s="4" t="str">
        <f t="array" ref="S13">IFERROR(VLOOKUP($A13&amp;"-"&amp;S$2, CHOOSE({1,2}, 'S12 Operations'!$A$2:$A$533&amp;"-"&amp;'S12 Operations'!$C$2:$C$533, 'S12 Operations'!$B$2:$B$533), 2, 0), "")</f>
        <v/>
      </c>
      <c r="T13" s="61" t="str">
        <f t="array" ref="T13">IFERROR(VLOOKUP($A13&amp;"-"&amp;T$2, CHOOSE({1,2}, 'S12 Operations'!$A$2:$A$533&amp;"-"&amp;'S12 Operations'!$C$2:$C$533, 'S12 Operations'!$B$2:$B$533), 2, 0), "")</f>
        <v/>
      </c>
      <c r="U13" s="162" t="str">
        <f t="array" ref="U13">IFERROR(VLOOKUP($A13&amp;"-"&amp;U$2, CHOOSE({1,2}, 'S12 Operations'!$A$2:$A$533&amp;"-"&amp;'S12 Operations'!$C$2:$C$533, 'S12 Operations'!$B$2:$B$533), 2, 0), "")</f>
        <v/>
      </c>
      <c r="V13" s="163" t="str">
        <f t="array" ref="V13">IFERROR(VLOOKUP($A13&amp;"-"&amp;V$2, CHOOSE({1,2}, 'S12 Operations'!$A$2:$A$533&amp;"-"&amp;'S12 Operations'!$C$2:$C$533, 'S12 Operations'!$B$2:$B$533), 2, 0), "")</f>
        <v/>
      </c>
      <c r="W13" s="60" t="str">
        <f t="array" ref="W13">IFERROR(VLOOKUP($A13&amp;"-"&amp;W$2, CHOOSE({1,2}, 'S12 Operations'!$A$2:$A$533&amp;"-"&amp;'S12 Operations'!$C$2:$C$533, 'S12 Operations'!$B$2:$B$533), 2, 0), "")</f>
        <v/>
      </c>
      <c r="X13" s="4" t="str">
        <f t="array" ref="X13">IFERROR(VLOOKUP($A13&amp;"-"&amp;X$2, CHOOSE({1,2}, 'S12 Operations'!$A$2:$A$533&amp;"-"&amp;'S12 Operations'!$C$2:$C$533, 'S12 Operations'!$B$2:$B$533), 2, 0), "")</f>
        <v/>
      </c>
      <c r="Y13" s="61" t="str">
        <f t="array" ref="Y13">IFERROR(VLOOKUP($A13&amp;"-"&amp;Y$2, CHOOSE({1,2}, 'S12 Operations'!$A$2:$A$533&amp;"-"&amp;'S12 Operations'!$C$2:$C$533, 'S12 Operations'!$B$2:$B$533), 2, 0), "")</f>
        <v/>
      </c>
      <c r="Z13" s="167" t="str">
        <f t="array" ref="Z13">IFERROR(VLOOKUP($A13&amp;"-"&amp;Z$2, CHOOSE({1,2}, 'S12 Operations'!$A$2:$A$533&amp;"-"&amp;'S12 Operations'!$C$2:$C$533, 'S12 Operations'!$B$2:$B$533), 2, 0), "")</f>
        <v/>
      </c>
      <c r="AA13" s="59" t="str">
        <f t="array" ref="AA13">IFERROR(VLOOKUP($A13&amp;"-"&amp;AA$2, CHOOSE({1,2}, 'S12 Operations'!$A$2:$A$533&amp;"-"&amp;'S12 Operations'!$C$2:$C$533, 'S12 Operations'!$B$2:$B$533), 2, 0), "")</f>
        <v/>
      </c>
    </row>
    <row r="14" spans="1:27" ht="18" thickBot="1" x14ac:dyDescent="0.25">
      <c r="A14" s="159"/>
      <c r="B14" s="62" t="str">
        <f t="array" ref="B14">IFERROR(VLOOKUP($A14&amp;"-"&amp;B$2, CHOOSE({1,2}, 'S12 Operations'!$A$2:$A$533&amp;"-"&amp;'S12 Operations'!$C$2:$C$533, 'S12 Operations'!$B$2:$B$533), 2, 0), "")</f>
        <v/>
      </c>
      <c r="C14" s="164" t="str">
        <f t="array" ref="C14">IFERROR(VLOOKUP($A14&amp;"-"&amp;C$2, CHOOSE({1,2}, 'S12 Operations'!$A$2:$A$533&amp;"-"&amp;'S12 Operations'!$C$2:$C$533, 'S12 Operations'!$B$2:$B$533), 2, 0), "")</f>
        <v/>
      </c>
      <c r="D14" s="165" t="str">
        <f t="array" ref="D14">IFERROR(VLOOKUP($A14&amp;"-"&amp;D$2, CHOOSE({1,2}, 'S12 Operations'!$A$2:$A$533&amp;"-"&amp;'S12 Operations'!$C$2:$C$533, 'S12 Operations'!$B$2:$B$533), 2, 0), "")</f>
        <v/>
      </c>
      <c r="E14" s="166" t="str">
        <f t="array" ref="E14">IFERROR(VLOOKUP($A14&amp;"-"&amp;E$2, CHOOSE({1,2}, 'S12 Operations'!$A$2:$A$533&amp;"-"&amp;'S12 Operations'!$C$2:$C$533, 'S12 Operations'!$B$2:$B$533), 2, 0), "")</f>
        <v/>
      </c>
      <c r="F14" s="63" t="str">
        <f t="array" ref="F14">IFERROR(VLOOKUP($A14&amp;"-"&amp;F$2, CHOOSE({1,2}, 'S12 Operations'!$A$2:$A$533&amp;"-"&amp;'S12 Operations'!$C$2:$C$533, 'S12 Operations'!$B$2:$B$533), 2, 0), "")</f>
        <v/>
      </c>
      <c r="G14" s="64" t="str">
        <f t="array" ref="G14">IFERROR(VLOOKUP($A14&amp;"-"&amp;G$2, CHOOSE({1,2}, 'S12 Operations'!$A$2:$A$533&amp;"-"&amp;'S12 Operations'!$C$2:$C$533, 'S12 Operations'!$B$2:$B$533), 2, 0), "")</f>
        <v/>
      </c>
      <c r="H14" s="65" t="str">
        <f t="array" ref="H14">IFERROR(VLOOKUP($A14&amp;"-"&amp;H$2, CHOOSE({1,2}, 'S12 Operations'!$A$2:$A$533&amp;"-"&amp;'S12 Operations'!$C$2:$C$533, 'S12 Operations'!$B$2:$B$533), 2, 0), "")</f>
        <v/>
      </c>
      <c r="I14" s="164" t="str">
        <f t="array" ref="I14">IFERROR(VLOOKUP($A14&amp;"-"&amp;I$2, CHOOSE({1,2}, 'S12 Operations'!$A$2:$A$533&amp;"-"&amp;'S12 Operations'!$C$2:$C$533, 'S12 Operations'!$B$2:$B$533), 2, 0), "")</f>
        <v/>
      </c>
      <c r="J14" s="165" t="str">
        <f t="array" ref="J14">IFERROR(VLOOKUP($A14&amp;"-"&amp;J$2, CHOOSE({1,2}, 'S12 Operations'!$A$2:$A$533&amp;"-"&amp;'S12 Operations'!$C$2:$C$533, 'S12 Operations'!$B$2:$B$533), 2, 0), "")</f>
        <v/>
      </c>
      <c r="K14" s="165" t="str">
        <f t="array" ref="K14">IFERROR(VLOOKUP($A14&amp;"-"&amp;K$2, CHOOSE({1,2}, 'S12 Operations'!$A$2:$A$533&amp;"-"&amp;'S12 Operations'!$C$2:$C$533, 'S12 Operations'!$B$2:$B$533), 2, 0), "")</f>
        <v/>
      </c>
      <c r="L14" s="165" t="str">
        <f t="array" ref="L14">IFERROR(VLOOKUP($A14&amp;"-"&amp;L$2, CHOOSE({1,2}, 'S12 Operations'!$A$2:$A$533&amp;"-"&amp;'S12 Operations'!$C$2:$C$533, 'S12 Operations'!$B$2:$B$533), 2, 0), "")</f>
        <v/>
      </c>
      <c r="M14" s="165" t="str">
        <f t="array" ref="M14">IFERROR(VLOOKUP($A14&amp;"-"&amp;M$2, CHOOSE({1,2}, 'S12 Operations'!$A$2:$A$533&amp;"-"&amp;'S12 Operations'!$C$2:$C$533, 'S12 Operations'!$B$2:$B$533), 2, 0), "")</f>
        <v/>
      </c>
      <c r="N14" s="165" t="str">
        <f t="array" ref="N14">IFERROR(VLOOKUP($A14&amp;"-"&amp;N$2, CHOOSE({1,2}, 'S12 Operations'!$A$2:$A$533&amp;"-"&amp;'S12 Operations'!$C$2:$C$533, 'S12 Operations'!$B$2:$B$533), 2, 0), "")</f>
        <v/>
      </c>
      <c r="O14" s="165" t="str">
        <f t="array" ref="O14">IFERROR(VLOOKUP($A14&amp;"-"&amp;O$2, CHOOSE({1,2}, 'S12 Operations'!$A$2:$A$533&amp;"-"&amp;'S12 Operations'!$C$2:$C$533, 'S12 Operations'!$B$2:$B$533), 2, 0), "")</f>
        <v/>
      </c>
      <c r="P14" s="166" t="str">
        <f t="array" ref="P14">IFERROR(VLOOKUP($A14&amp;"-"&amp;P$2, CHOOSE({1,2}, 'S12 Operations'!$A$2:$A$533&amp;"-"&amp;'S12 Operations'!$C$2:$C$533, 'S12 Operations'!$B$2:$B$533), 2, 0), "")</f>
        <v/>
      </c>
      <c r="Q14" s="63" t="str">
        <f t="array" ref="Q14">IFERROR(VLOOKUP($A14&amp;"-"&amp;Q$2, CHOOSE({1,2}, 'S12 Operations'!$A$2:$A$533&amp;"-"&amp;'S12 Operations'!$C$2:$C$533, 'S12 Operations'!$B$2:$B$533), 2, 0), "")</f>
        <v/>
      </c>
      <c r="R14" s="64" t="str">
        <f t="array" ref="R14">IFERROR(VLOOKUP($A14&amp;"-"&amp;R$2, CHOOSE({1,2}, 'S12 Operations'!$A$2:$A$533&amp;"-"&amp;'S12 Operations'!$C$2:$C$533, 'S12 Operations'!$B$2:$B$533), 2, 0), "")</f>
        <v/>
      </c>
      <c r="S14" s="64" t="str">
        <f t="array" ref="S14">IFERROR(VLOOKUP($A14&amp;"-"&amp;S$2, CHOOSE({1,2}, 'S12 Operations'!$A$2:$A$533&amp;"-"&amp;'S12 Operations'!$C$2:$C$533, 'S12 Operations'!$B$2:$B$533), 2, 0), "")</f>
        <v/>
      </c>
      <c r="T14" s="65" t="str">
        <f t="array" ref="T14">IFERROR(VLOOKUP($A14&amp;"-"&amp;T$2, CHOOSE({1,2}, 'S12 Operations'!$A$2:$A$533&amp;"-"&amp;'S12 Operations'!$C$2:$C$533, 'S12 Operations'!$B$2:$B$533), 2, 0), "")</f>
        <v/>
      </c>
      <c r="U14" s="164" t="str">
        <f t="array" ref="U14">IFERROR(VLOOKUP($A14&amp;"-"&amp;U$2, CHOOSE({1,2}, 'S12 Operations'!$A$2:$A$533&amp;"-"&amp;'S12 Operations'!$C$2:$C$533, 'S12 Operations'!$B$2:$B$533), 2, 0), "")</f>
        <v/>
      </c>
      <c r="V14" s="166" t="str">
        <f t="array" ref="V14">IFERROR(VLOOKUP($A14&amp;"-"&amp;V$2, CHOOSE({1,2}, 'S12 Operations'!$A$2:$A$533&amp;"-"&amp;'S12 Operations'!$C$2:$C$533, 'S12 Operations'!$B$2:$B$533), 2, 0), "")</f>
        <v/>
      </c>
      <c r="W14" s="63" t="str">
        <f t="array" ref="W14">IFERROR(VLOOKUP($A14&amp;"-"&amp;W$2, CHOOSE({1,2}, 'S12 Operations'!$A$2:$A$533&amp;"-"&amp;'S12 Operations'!$C$2:$C$533, 'S12 Operations'!$B$2:$B$533), 2, 0), "")</f>
        <v/>
      </c>
      <c r="X14" s="64" t="str">
        <f t="array" ref="X14">IFERROR(VLOOKUP($A14&amp;"-"&amp;X$2, CHOOSE({1,2}, 'S12 Operations'!$A$2:$A$533&amp;"-"&amp;'S12 Operations'!$C$2:$C$533, 'S12 Operations'!$B$2:$B$533), 2, 0), "")</f>
        <v/>
      </c>
      <c r="Y14" s="65" t="str">
        <f t="array" ref="Y14">IFERROR(VLOOKUP($A14&amp;"-"&amp;Y$2, CHOOSE({1,2}, 'S12 Operations'!$A$2:$A$533&amp;"-"&amp;'S12 Operations'!$C$2:$C$533, 'S12 Operations'!$B$2:$B$533), 2, 0), "")</f>
        <v/>
      </c>
      <c r="Z14" s="168" t="str">
        <f t="array" ref="Z14">IFERROR(VLOOKUP($A14&amp;"-"&amp;Z$2, CHOOSE({1,2}, 'S12 Operations'!$A$2:$A$533&amp;"-"&amp;'S12 Operations'!$C$2:$C$533, 'S12 Operations'!$B$2:$B$533), 2, 0), "")</f>
        <v/>
      </c>
      <c r="AA14" s="62" t="str">
        <f t="array" ref="AA14">IFERROR(VLOOKUP($A14&amp;"-"&amp;AA$2, CHOOSE({1,2}, 'S12 Operations'!$A$2:$A$533&amp;"-"&amp;'S12 Operations'!$C$2:$C$533, 'S12 Operations'!$B$2:$B$533), 2, 0), "")</f>
        <v/>
      </c>
    </row>
    <row r="15" spans="1:27" ht="17" x14ac:dyDescent="0.2">
      <c r="A15" s="179"/>
      <c r="B15" s="157" t="str">
        <f t="array" ref="B15">IFERROR(VLOOKUP($A15&amp;"-"&amp;B$2, CHOOSE({1,2}, 'S12 Operations'!$A$2:$A$533&amp;"-"&amp;'S12 Operations'!$C$2:$C$533, 'S12 Operations'!$B$2:$B$533), 2, 0), "")</f>
        <v/>
      </c>
      <c r="C15" s="169" t="str">
        <f t="array" ref="C15">IFERROR(VLOOKUP($A15&amp;"-"&amp;C$2, CHOOSE({1,2}, 'S12 Operations'!$A$2:$A$533&amp;"-"&amp;'S12 Operations'!$C$2:$C$533, 'S12 Operations'!$B$2:$B$533), 2, 0), "")</f>
        <v/>
      </c>
      <c r="D15" s="170" t="str">
        <f t="array" ref="D15">IFERROR(VLOOKUP($A15&amp;"-"&amp;D$2, CHOOSE({1,2}, 'S12 Operations'!$A$2:$A$533&amp;"-"&amp;'S12 Operations'!$C$2:$C$533, 'S12 Operations'!$B$2:$B$533), 2, 0), "")</f>
        <v/>
      </c>
      <c r="E15" s="171" t="str">
        <f t="array" ref="E15">IFERROR(VLOOKUP($A15&amp;"-"&amp;E$2, CHOOSE({1,2}, 'S12 Operations'!$A$2:$A$533&amp;"-"&amp;'S12 Operations'!$C$2:$C$533, 'S12 Operations'!$B$2:$B$533), 2, 0), "")</f>
        <v/>
      </c>
      <c r="F15" s="172" t="str">
        <f t="array" ref="F15">IFERROR(VLOOKUP($A15&amp;"-"&amp;F$2, CHOOSE({1,2}, 'S12 Operations'!$A$2:$A$533&amp;"-"&amp;'S12 Operations'!$C$2:$C$533, 'S12 Operations'!$B$2:$B$533), 2, 0), "")</f>
        <v/>
      </c>
      <c r="G15" s="173" t="str">
        <f t="array" ref="G15">IFERROR(VLOOKUP($A15&amp;"-"&amp;G$2, CHOOSE({1,2}, 'S12 Operations'!$A$2:$A$533&amp;"-"&amp;'S12 Operations'!$C$2:$C$533, 'S12 Operations'!$B$2:$B$533), 2, 0), "")</f>
        <v/>
      </c>
      <c r="H15" s="174" t="str">
        <f t="array" ref="H15">IFERROR(VLOOKUP($A15&amp;"-"&amp;H$2, CHOOSE({1,2}, 'S12 Operations'!$A$2:$A$533&amp;"-"&amp;'S12 Operations'!$C$2:$C$533, 'S12 Operations'!$B$2:$B$533), 2, 0), "")</f>
        <v/>
      </c>
      <c r="I15" s="169" t="str">
        <f t="array" ref="I15">IFERROR(VLOOKUP($A15&amp;"-"&amp;I$2, CHOOSE({1,2}, 'S12 Operations'!$A$2:$A$533&amp;"-"&amp;'S12 Operations'!$C$2:$C$533, 'S12 Operations'!$B$2:$B$533), 2, 0), "")</f>
        <v/>
      </c>
      <c r="J15" s="170" t="str">
        <f t="array" ref="J15">IFERROR(VLOOKUP($A15&amp;"-"&amp;J$2, CHOOSE({1,2}, 'S12 Operations'!$A$2:$A$533&amp;"-"&amp;'S12 Operations'!$C$2:$C$533, 'S12 Operations'!$B$2:$B$533), 2, 0), "")</f>
        <v/>
      </c>
      <c r="K15" s="170" t="str">
        <f t="array" ref="K15">IFERROR(VLOOKUP($A15&amp;"-"&amp;K$2, CHOOSE({1,2}, 'S12 Operations'!$A$2:$A$533&amp;"-"&amp;'S12 Operations'!$C$2:$C$533, 'S12 Operations'!$B$2:$B$533), 2, 0), "")</f>
        <v/>
      </c>
      <c r="L15" s="170" t="str">
        <f t="array" ref="L15">IFERROR(VLOOKUP($A15&amp;"-"&amp;L$2, CHOOSE({1,2}, 'S12 Operations'!$A$2:$A$533&amp;"-"&amp;'S12 Operations'!$C$2:$C$533, 'S12 Operations'!$B$2:$B$533), 2, 0), "")</f>
        <v/>
      </c>
      <c r="M15" s="170" t="str">
        <f t="array" ref="M15">IFERROR(VLOOKUP($A15&amp;"-"&amp;M$2, CHOOSE({1,2}, 'S12 Operations'!$A$2:$A$533&amp;"-"&amp;'S12 Operations'!$C$2:$C$533, 'S12 Operations'!$B$2:$B$533), 2, 0), "")</f>
        <v/>
      </c>
      <c r="N15" s="170" t="str">
        <f t="array" ref="N15">IFERROR(VLOOKUP($A15&amp;"-"&amp;N$2, CHOOSE({1,2}, 'S12 Operations'!$A$2:$A$533&amp;"-"&amp;'S12 Operations'!$C$2:$C$533, 'S12 Operations'!$B$2:$B$533), 2, 0), "")</f>
        <v/>
      </c>
      <c r="O15" s="170" t="str">
        <f t="array" ref="O15">IFERROR(VLOOKUP($A15&amp;"-"&amp;O$2, CHOOSE({1,2}, 'S12 Operations'!$A$2:$A$533&amp;"-"&amp;'S12 Operations'!$C$2:$C$533, 'S12 Operations'!$B$2:$B$533), 2, 0), "")</f>
        <v/>
      </c>
      <c r="P15" s="171" t="str">
        <f t="array" ref="P15">IFERROR(VLOOKUP($A15&amp;"-"&amp;P$2, CHOOSE({1,2}, 'S12 Operations'!$A$2:$A$533&amp;"-"&amp;'S12 Operations'!$C$2:$C$533, 'S12 Operations'!$B$2:$B$533), 2, 0), "")</f>
        <v/>
      </c>
      <c r="Q15" s="172" t="str">
        <f t="array" ref="Q15">IFERROR(VLOOKUP($A15&amp;"-"&amp;Q$2, CHOOSE({1,2}, 'S12 Operations'!$A$2:$A$533&amp;"-"&amp;'S12 Operations'!$C$2:$C$533, 'S12 Operations'!$B$2:$B$533), 2, 0), "")</f>
        <v/>
      </c>
      <c r="R15" s="173" t="str">
        <f t="array" ref="R15">IFERROR(VLOOKUP($A15&amp;"-"&amp;R$2, CHOOSE({1,2}, 'S12 Operations'!$A$2:$A$533&amp;"-"&amp;'S12 Operations'!$C$2:$C$533, 'S12 Operations'!$B$2:$B$533), 2, 0), "")</f>
        <v/>
      </c>
      <c r="S15" s="173" t="str">
        <f t="array" ref="S15">IFERROR(VLOOKUP($A15&amp;"-"&amp;S$2, CHOOSE({1,2}, 'S12 Operations'!$A$2:$A$533&amp;"-"&amp;'S12 Operations'!$C$2:$C$533, 'S12 Operations'!$B$2:$B$533), 2, 0), "")</f>
        <v/>
      </c>
      <c r="T15" s="174" t="str">
        <f t="array" ref="T15">IFERROR(VLOOKUP($A15&amp;"-"&amp;T$2, CHOOSE({1,2}, 'S12 Operations'!$A$2:$A$533&amp;"-"&amp;'S12 Operations'!$C$2:$C$533, 'S12 Operations'!$B$2:$B$533), 2, 0), "")</f>
        <v/>
      </c>
      <c r="U15" s="169" t="str">
        <f t="array" ref="U15">IFERROR(VLOOKUP($A15&amp;"-"&amp;U$2, CHOOSE({1,2}, 'S12 Operations'!$A$2:$A$533&amp;"-"&amp;'S12 Operations'!$C$2:$C$533, 'S12 Operations'!$B$2:$B$533), 2, 0), "")</f>
        <v/>
      </c>
      <c r="V15" s="171" t="str">
        <f t="array" ref="V15">IFERROR(VLOOKUP($A15&amp;"-"&amp;V$2, CHOOSE({1,2}, 'S12 Operations'!$A$2:$A$533&amp;"-"&amp;'S12 Operations'!$C$2:$C$533, 'S12 Operations'!$B$2:$B$533), 2, 0), "")</f>
        <v/>
      </c>
      <c r="W15" s="172" t="str">
        <f t="array" ref="W15">IFERROR(VLOOKUP($A15&amp;"-"&amp;W$2, CHOOSE({1,2}, 'S12 Operations'!$A$2:$A$533&amp;"-"&amp;'S12 Operations'!$C$2:$C$533, 'S12 Operations'!$B$2:$B$533), 2, 0), "")</f>
        <v/>
      </c>
      <c r="X15" s="173" t="str">
        <f t="array" ref="X15">IFERROR(VLOOKUP($A15&amp;"-"&amp;X$2, CHOOSE({1,2}, 'S12 Operations'!$A$2:$A$533&amp;"-"&amp;'S12 Operations'!$C$2:$C$533, 'S12 Operations'!$B$2:$B$533), 2, 0), "")</f>
        <v/>
      </c>
      <c r="Y15" s="174" t="str">
        <f t="array" ref="Y15">IFERROR(VLOOKUP($A15&amp;"-"&amp;Y$2, CHOOSE({1,2}, 'S12 Operations'!$A$2:$A$533&amp;"-"&amp;'S12 Operations'!$C$2:$C$533, 'S12 Operations'!$B$2:$B$533), 2, 0), "")</f>
        <v/>
      </c>
      <c r="Z15" s="158" t="str">
        <f t="array" ref="Z15">IFERROR(VLOOKUP($A15&amp;"-"&amp;Z$2, CHOOSE({1,2}, 'S12 Operations'!$A$2:$A$533&amp;"-"&amp;'S12 Operations'!$C$2:$C$533, 'S12 Operations'!$B$2:$B$533), 2, 0), "")</f>
        <v/>
      </c>
      <c r="AA15" s="157" t="str">
        <f t="array" ref="AA15">IFERROR(VLOOKUP($A15&amp;"-"&amp;AA$2, CHOOSE({1,2}, 'S12 Operations'!$A$2:$A$533&amp;"-"&amp;'S12 Operations'!$C$2:$C$533, 'S12 Operations'!$B$2:$B$533), 2, 0), "")</f>
        <v/>
      </c>
    </row>
    <row r="16" spans="1:27" ht="18" thickBot="1" x14ac:dyDescent="0.25">
      <c r="A16" s="159"/>
      <c r="B16" s="62" t="str">
        <f t="array" ref="B16">IFERROR(VLOOKUP($A16&amp;"-"&amp;B$2, CHOOSE({1,2}, 'S12 Operations'!$A$2:$A$533&amp;"-"&amp;'S12 Operations'!$C$2:$C$533, 'S12 Operations'!$B$2:$B$533), 2, 0), "")</f>
        <v/>
      </c>
      <c r="C16" s="164" t="str">
        <f t="array" ref="C16">IFERROR(VLOOKUP($A16&amp;"-"&amp;C$2, CHOOSE({1,2}, 'S12 Operations'!$A$2:$A$533&amp;"-"&amp;'S12 Operations'!$C$2:$C$533, 'S12 Operations'!$B$2:$B$533), 2, 0), "")</f>
        <v/>
      </c>
      <c r="D16" s="165" t="str">
        <f t="array" ref="D16">IFERROR(VLOOKUP($A16&amp;"-"&amp;D$2, CHOOSE({1,2}, 'S12 Operations'!$A$2:$A$533&amp;"-"&amp;'S12 Operations'!$C$2:$C$533, 'S12 Operations'!$B$2:$B$533), 2, 0), "")</f>
        <v/>
      </c>
      <c r="E16" s="166" t="str">
        <f t="array" ref="E16">IFERROR(VLOOKUP($A16&amp;"-"&amp;E$2, CHOOSE({1,2}, 'S12 Operations'!$A$2:$A$533&amp;"-"&amp;'S12 Operations'!$C$2:$C$533, 'S12 Operations'!$B$2:$B$533), 2, 0), "")</f>
        <v/>
      </c>
      <c r="F16" s="63" t="str">
        <f t="array" ref="F16">IFERROR(VLOOKUP($A16&amp;"-"&amp;F$2, CHOOSE({1,2}, 'S12 Operations'!$A$2:$A$533&amp;"-"&amp;'S12 Operations'!$C$2:$C$533, 'S12 Operations'!$B$2:$B$533), 2, 0), "")</f>
        <v/>
      </c>
      <c r="G16" s="64" t="str">
        <f t="array" ref="G16">IFERROR(VLOOKUP($A16&amp;"-"&amp;G$2, CHOOSE({1,2}, 'S12 Operations'!$A$2:$A$533&amp;"-"&amp;'S12 Operations'!$C$2:$C$533, 'S12 Operations'!$B$2:$B$533), 2, 0), "")</f>
        <v/>
      </c>
      <c r="H16" s="65" t="str">
        <f t="array" ref="H16">IFERROR(VLOOKUP($A16&amp;"-"&amp;H$2, CHOOSE({1,2}, 'S12 Operations'!$A$2:$A$533&amp;"-"&amp;'S12 Operations'!$C$2:$C$533, 'S12 Operations'!$B$2:$B$533), 2, 0), "")</f>
        <v/>
      </c>
      <c r="I16" s="164" t="str">
        <f t="array" ref="I16">IFERROR(VLOOKUP($A16&amp;"-"&amp;I$2, CHOOSE({1,2}, 'S12 Operations'!$A$2:$A$533&amp;"-"&amp;'S12 Operations'!$C$2:$C$533, 'S12 Operations'!$B$2:$B$533), 2, 0), "")</f>
        <v/>
      </c>
      <c r="J16" s="165" t="str">
        <f t="array" ref="J16">IFERROR(VLOOKUP($A16&amp;"-"&amp;J$2, CHOOSE({1,2}, 'S12 Operations'!$A$2:$A$533&amp;"-"&amp;'S12 Operations'!$C$2:$C$533, 'S12 Operations'!$B$2:$B$533), 2, 0), "")</f>
        <v/>
      </c>
      <c r="K16" s="165" t="str">
        <f t="array" ref="K16">IFERROR(VLOOKUP($A16&amp;"-"&amp;K$2, CHOOSE({1,2}, 'S12 Operations'!$A$2:$A$533&amp;"-"&amp;'S12 Operations'!$C$2:$C$533, 'S12 Operations'!$B$2:$B$533), 2, 0), "")</f>
        <v/>
      </c>
      <c r="L16" s="165" t="str">
        <f t="array" ref="L16">IFERROR(VLOOKUP($A16&amp;"-"&amp;L$2, CHOOSE({1,2}, 'S12 Operations'!$A$2:$A$533&amp;"-"&amp;'S12 Operations'!$C$2:$C$533, 'S12 Operations'!$B$2:$B$533), 2, 0), "")</f>
        <v/>
      </c>
      <c r="M16" s="165" t="str">
        <f t="array" ref="M16">IFERROR(VLOOKUP($A16&amp;"-"&amp;M$2, CHOOSE({1,2}, 'S12 Operations'!$A$2:$A$533&amp;"-"&amp;'S12 Operations'!$C$2:$C$533, 'S12 Operations'!$B$2:$B$533), 2, 0), "")</f>
        <v/>
      </c>
      <c r="N16" s="165" t="str">
        <f t="array" ref="N16">IFERROR(VLOOKUP($A16&amp;"-"&amp;N$2, CHOOSE({1,2}, 'S12 Operations'!$A$2:$A$533&amp;"-"&amp;'S12 Operations'!$C$2:$C$533, 'S12 Operations'!$B$2:$B$533), 2, 0), "")</f>
        <v/>
      </c>
      <c r="O16" s="165" t="str">
        <f t="array" ref="O16">IFERROR(VLOOKUP($A16&amp;"-"&amp;O$2, CHOOSE({1,2}, 'S12 Operations'!$A$2:$A$533&amp;"-"&amp;'S12 Operations'!$C$2:$C$533, 'S12 Operations'!$B$2:$B$533), 2, 0), "")</f>
        <v/>
      </c>
      <c r="P16" s="166" t="str">
        <f t="array" ref="P16">IFERROR(VLOOKUP($A16&amp;"-"&amp;P$2, CHOOSE({1,2}, 'S12 Operations'!$A$2:$A$533&amp;"-"&amp;'S12 Operations'!$C$2:$C$533, 'S12 Operations'!$B$2:$B$533), 2, 0), "")</f>
        <v/>
      </c>
      <c r="Q16" s="63" t="str">
        <f t="array" ref="Q16">IFERROR(VLOOKUP($A16&amp;"-"&amp;Q$2, CHOOSE({1,2}, 'S12 Operations'!$A$2:$A$533&amp;"-"&amp;'S12 Operations'!$C$2:$C$533, 'S12 Operations'!$B$2:$B$533), 2, 0), "")</f>
        <v/>
      </c>
      <c r="R16" s="64" t="str">
        <f t="array" ref="R16">IFERROR(VLOOKUP($A16&amp;"-"&amp;R$2, CHOOSE({1,2}, 'S12 Operations'!$A$2:$A$533&amp;"-"&amp;'S12 Operations'!$C$2:$C$533, 'S12 Operations'!$B$2:$B$533), 2, 0), "")</f>
        <v/>
      </c>
      <c r="S16" s="64" t="str">
        <f t="array" ref="S16">IFERROR(VLOOKUP($A16&amp;"-"&amp;S$2, CHOOSE({1,2}, 'S12 Operations'!$A$2:$A$533&amp;"-"&amp;'S12 Operations'!$C$2:$C$533, 'S12 Operations'!$B$2:$B$533), 2, 0), "")</f>
        <v/>
      </c>
      <c r="T16" s="65" t="str">
        <f t="array" ref="T16">IFERROR(VLOOKUP($A16&amp;"-"&amp;T$2, CHOOSE({1,2}, 'S12 Operations'!$A$2:$A$533&amp;"-"&amp;'S12 Operations'!$C$2:$C$533, 'S12 Operations'!$B$2:$B$533), 2, 0), "")</f>
        <v/>
      </c>
      <c r="U16" s="164" t="str">
        <f t="array" ref="U16">IFERROR(VLOOKUP($A16&amp;"-"&amp;U$2, CHOOSE({1,2}, 'S12 Operations'!$A$2:$A$533&amp;"-"&amp;'S12 Operations'!$C$2:$C$533, 'S12 Operations'!$B$2:$B$533), 2, 0), "")</f>
        <v/>
      </c>
      <c r="V16" s="166" t="str">
        <f t="array" ref="V16">IFERROR(VLOOKUP($A16&amp;"-"&amp;V$2, CHOOSE({1,2}, 'S12 Operations'!$A$2:$A$533&amp;"-"&amp;'S12 Operations'!$C$2:$C$533, 'S12 Operations'!$B$2:$B$533), 2, 0), "")</f>
        <v/>
      </c>
      <c r="W16" s="63" t="str">
        <f t="array" ref="W16">IFERROR(VLOOKUP($A16&amp;"-"&amp;W$2, CHOOSE({1,2}, 'S12 Operations'!$A$2:$A$533&amp;"-"&amp;'S12 Operations'!$C$2:$C$533, 'S12 Operations'!$B$2:$B$533), 2, 0), "")</f>
        <v/>
      </c>
      <c r="X16" s="64" t="str">
        <f t="array" ref="X16">IFERROR(VLOOKUP($A16&amp;"-"&amp;X$2, CHOOSE({1,2}, 'S12 Operations'!$A$2:$A$533&amp;"-"&amp;'S12 Operations'!$C$2:$C$533, 'S12 Operations'!$B$2:$B$533), 2, 0), "")</f>
        <v/>
      </c>
      <c r="Y16" s="65" t="str">
        <f t="array" ref="Y16">IFERROR(VLOOKUP($A16&amp;"-"&amp;Y$2, CHOOSE({1,2}, 'S12 Operations'!$A$2:$A$533&amp;"-"&amp;'S12 Operations'!$C$2:$C$533, 'S12 Operations'!$B$2:$B$533), 2, 0), "")</f>
        <v/>
      </c>
      <c r="Z16" s="168" t="str">
        <f t="array" ref="Z16">IFERROR(VLOOKUP($A16&amp;"-"&amp;Z$2, CHOOSE({1,2}, 'S12 Operations'!$A$2:$A$533&amp;"-"&amp;'S12 Operations'!$C$2:$C$533, 'S12 Operations'!$B$2:$B$533), 2, 0), "")</f>
        <v/>
      </c>
      <c r="AA16" s="62" t="str">
        <f t="array" ref="AA16">IFERROR(VLOOKUP($A16&amp;"-"&amp;AA$2, CHOOSE({1,2}, 'S12 Operations'!$A$2:$A$533&amp;"-"&amp;'S12 Operations'!$C$2:$C$533, 'S12 Operations'!$B$2:$B$533), 2, 0), "")</f>
        <v/>
      </c>
    </row>
    <row r="17" spans="1:27" ht="17" x14ac:dyDescent="0.2">
      <c r="A17" s="179"/>
      <c r="B17" s="157" t="str">
        <f t="array" ref="B17">IFERROR(VLOOKUP($A17&amp;"-"&amp;B$2, CHOOSE({1,2}, 'S12 Operations'!$A$2:$A$533&amp;"-"&amp;'S12 Operations'!$C$2:$C$533, 'S12 Operations'!$B$2:$B$533), 2, 0), "")</f>
        <v/>
      </c>
      <c r="C17" s="169" t="str">
        <f t="array" ref="C17">IFERROR(VLOOKUP($A17&amp;"-"&amp;C$2, CHOOSE({1,2}, 'S12 Operations'!$A$2:$A$533&amp;"-"&amp;'S12 Operations'!$C$2:$C$533, 'S12 Operations'!$B$2:$B$533), 2, 0), "")</f>
        <v/>
      </c>
      <c r="D17" s="170" t="str">
        <f t="array" ref="D17">IFERROR(VLOOKUP($A17&amp;"-"&amp;D$2, CHOOSE({1,2}, 'S12 Operations'!$A$2:$A$533&amp;"-"&amp;'S12 Operations'!$C$2:$C$533, 'S12 Operations'!$B$2:$B$533), 2, 0), "")</f>
        <v/>
      </c>
      <c r="E17" s="171" t="str">
        <f t="array" ref="E17">IFERROR(VLOOKUP($A17&amp;"-"&amp;E$2, CHOOSE({1,2}, 'S12 Operations'!$A$2:$A$533&amp;"-"&amp;'S12 Operations'!$C$2:$C$533, 'S12 Operations'!$B$2:$B$533), 2, 0), "")</f>
        <v/>
      </c>
      <c r="F17" s="172" t="str">
        <f t="array" ref="F17">IFERROR(VLOOKUP($A17&amp;"-"&amp;F$2, CHOOSE({1,2}, 'S12 Operations'!$A$2:$A$533&amp;"-"&amp;'S12 Operations'!$C$2:$C$533, 'S12 Operations'!$B$2:$B$533), 2, 0), "")</f>
        <v/>
      </c>
      <c r="G17" s="173" t="str">
        <f t="array" ref="G17">IFERROR(VLOOKUP($A17&amp;"-"&amp;G$2, CHOOSE({1,2}, 'S12 Operations'!$A$2:$A$533&amp;"-"&amp;'S12 Operations'!$C$2:$C$533, 'S12 Operations'!$B$2:$B$533), 2, 0), "")</f>
        <v/>
      </c>
      <c r="H17" s="174" t="str">
        <f t="array" ref="H17">IFERROR(VLOOKUP($A17&amp;"-"&amp;H$2, CHOOSE({1,2}, 'S12 Operations'!$A$2:$A$533&amp;"-"&amp;'S12 Operations'!$C$2:$C$533, 'S12 Operations'!$B$2:$B$533), 2, 0), "")</f>
        <v/>
      </c>
      <c r="I17" s="169" t="str">
        <f t="array" ref="I17">IFERROR(VLOOKUP($A17&amp;"-"&amp;I$2, CHOOSE({1,2}, 'S12 Operations'!$A$2:$A$533&amp;"-"&amp;'S12 Operations'!$C$2:$C$533, 'S12 Operations'!$B$2:$B$533), 2, 0), "")</f>
        <v/>
      </c>
      <c r="J17" s="170" t="str">
        <f t="array" ref="J17">IFERROR(VLOOKUP($A17&amp;"-"&amp;J$2, CHOOSE({1,2}, 'S12 Operations'!$A$2:$A$533&amp;"-"&amp;'S12 Operations'!$C$2:$C$533, 'S12 Operations'!$B$2:$B$533), 2, 0), "")</f>
        <v/>
      </c>
      <c r="K17" s="170" t="str">
        <f t="array" ref="K17">IFERROR(VLOOKUP($A17&amp;"-"&amp;K$2, CHOOSE({1,2}, 'S12 Operations'!$A$2:$A$533&amp;"-"&amp;'S12 Operations'!$C$2:$C$533, 'S12 Operations'!$B$2:$B$533), 2, 0), "")</f>
        <v/>
      </c>
      <c r="L17" s="170" t="str">
        <f t="array" ref="L17">IFERROR(VLOOKUP($A17&amp;"-"&amp;L$2, CHOOSE({1,2}, 'S12 Operations'!$A$2:$A$533&amp;"-"&amp;'S12 Operations'!$C$2:$C$533, 'S12 Operations'!$B$2:$B$533), 2, 0), "")</f>
        <v/>
      </c>
      <c r="M17" s="170" t="str">
        <f t="array" ref="M17">IFERROR(VLOOKUP($A17&amp;"-"&amp;M$2, CHOOSE({1,2}, 'S12 Operations'!$A$2:$A$533&amp;"-"&amp;'S12 Operations'!$C$2:$C$533, 'S12 Operations'!$B$2:$B$533), 2, 0), "")</f>
        <v/>
      </c>
      <c r="N17" s="170" t="str">
        <f t="array" ref="N17">IFERROR(VLOOKUP($A17&amp;"-"&amp;N$2, CHOOSE({1,2}, 'S12 Operations'!$A$2:$A$533&amp;"-"&amp;'S12 Operations'!$C$2:$C$533, 'S12 Operations'!$B$2:$B$533), 2, 0), "")</f>
        <v/>
      </c>
      <c r="O17" s="170" t="str">
        <f t="array" ref="O17">IFERROR(VLOOKUP($A17&amp;"-"&amp;O$2, CHOOSE({1,2}, 'S12 Operations'!$A$2:$A$533&amp;"-"&amp;'S12 Operations'!$C$2:$C$533, 'S12 Operations'!$B$2:$B$533), 2, 0), "")</f>
        <v/>
      </c>
      <c r="P17" s="171" t="str">
        <f t="array" ref="P17">IFERROR(VLOOKUP($A17&amp;"-"&amp;P$2, CHOOSE({1,2}, 'S12 Operations'!$A$2:$A$533&amp;"-"&amp;'S12 Operations'!$C$2:$C$533, 'S12 Operations'!$B$2:$B$533), 2, 0), "")</f>
        <v/>
      </c>
      <c r="Q17" s="172" t="str">
        <f t="array" ref="Q17">IFERROR(VLOOKUP($A17&amp;"-"&amp;Q$2, CHOOSE({1,2}, 'S12 Operations'!$A$2:$A$533&amp;"-"&amp;'S12 Operations'!$C$2:$C$533, 'S12 Operations'!$B$2:$B$533), 2, 0), "")</f>
        <v/>
      </c>
      <c r="R17" s="173" t="str">
        <f t="array" ref="R17">IFERROR(VLOOKUP($A17&amp;"-"&amp;R$2, CHOOSE({1,2}, 'S12 Operations'!$A$2:$A$533&amp;"-"&amp;'S12 Operations'!$C$2:$C$533, 'S12 Operations'!$B$2:$B$533), 2, 0), "")</f>
        <v/>
      </c>
      <c r="S17" s="173" t="str">
        <f t="array" ref="S17">IFERROR(VLOOKUP($A17&amp;"-"&amp;S$2, CHOOSE({1,2}, 'S12 Operations'!$A$2:$A$533&amp;"-"&amp;'S12 Operations'!$C$2:$C$533, 'S12 Operations'!$B$2:$B$533), 2, 0), "")</f>
        <v/>
      </c>
      <c r="T17" s="174" t="str">
        <f t="array" ref="T17">IFERROR(VLOOKUP($A17&amp;"-"&amp;T$2, CHOOSE({1,2}, 'S12 Operations'!$A$2:$A$533&amp;"-"&amp;'S12 Operations'!$C$2:$C$533, 'S12 Operations'!$B$2:$B$533), 2, 0), "")</f>
        <v/>
      </c>
      <c r="U17" s="169" t="str">
        <f t="array" ref="U17">IFERROR(VLOOKUP($A17&amp;"-"&amp;U$2, CHOOSE({1,2}, 'S12 Operations'!$A$2:$A$533&amp;"-"&amp;'S12 Operations'!$C$2:$C$533, 'S12 Operations'!$B$2:$B$533), 2, 0), "")</f>
        <v/>
      </c>
      <c r="V17" s="171" t="str">
        <f t="array" ref="V17">IFERROR(VLOOKUP($A17&amp;"-"&amp;V$2, CHOOSE({1,2}, 'S12 Operations'!$A$2:$A$533&amp;"-"&amp;'S12 Operations'!$C$2:$C$533, 'S12 Operations'!$B$2:$B$533), 2, 0), "")</f>
        <v/>
      </c>
      <c r="W17" s="172" t="str">
        <f t="array" ref="W17">IFERROR(VLOOKUP($A17&amp;"-"&amp;W$2, CHOOSE({1,2}, 'S12 Operations'!$A$2:$A$533&amp;"-"&amp;'S12 Operations'!$C$2:$C$533, 'S12 Operations'!$B$2:$B$533), 2, 0), "")</f>
        <v/>
      </c>
      <c r="X17" s="173" t="str">
        <f t="array" ref="X17">IFERROR(VLOOKUP($A17&amp;"-"&amp;X$2, CHOOSE({1,2}, 'S12 Operations'!$A$2:$A$533&amp;"-"&amp;'S12 Operations'!$C$2:$C$533, 'S12 Operations'!$B$2:$B$533), 2, 0), "")</f>
        <v/>
      </c>
      <c r="Y17" s="174" t="str">
        <f t="array" ref="Y17">IFERROR(VLOOKUP($A17&amp;"-"&amp;Y$2, CHOOSE({1,2}, 'S12 Operations'!$A$2:$A$533&amp;"-"&amp;'S12 Operations'!$C$2:$C$533, 'S12 Operations'!$B$2:$B$533), 2, 0), "")</f>
        <v/>
      </c>
      <c r="Z17" s="158" t="str">
        <f t="array" ref="Z17">IFERROR(VLOOKUP($A17&amp;"-"&amp;Z$2, CHOOSE({1,2}, 'S12 Operations'!$A$2:$A$533&amp;"-"&amp;'S12 Operations'!$C$2:$C$533, 'S12 Operations'!$B$2:$B$533), 2, 0), "")</f>
        <v/>
      </c>
      <c r="AA17" s="157" t="str">
        <f t="array" ref="AA17">IFERROR(VLOOKUP($A17&amp;"-"&amp;AA$2, CHOOSE({1,2}, 'S12 Operations'!$A$2:$A$533&amp;"-"&amp;'S12 Operations'!$C$2:$C$533, 'S12 Operations'!$B$2:$B$533), 2, 0), "")</f>
        <v/>
      </c>
    </row>
    <row r="18" spans="1:27" ht="18" thickBot="1" x14ac:dyDescent="0.25">
      <c r="A18" s="159"/>
      <c r="B18" s="62" t="str">
        <f t="array" ref="B18">IFERROR(VLOOKUP($A18&amp;"-"&amp;B$2, CHOOSE({1,2}, 'S12 Operations'!$A$2:$A$533&amp;"-"&amp;'S12 Operations'!$C$2:$C$533, 'S12 Operations'!$B$2:$B$533), 2, 0), "")</f>
        <v/>
      </c>
      <c r="C18" s="164" t="str">
        <f t="array" ref="C18">IFERROR(VLOOKUP($A18&amp;"-"&amp;C$2, CHOOSE({1,2}, 'S12 Operations'!$A$2:$A$533&amp;"-"&amp;'S12 Operations'!$C$2:$C$533, 'S12 Operations'!$B$2:$B$533), 2, 0), "")</f>
        <v/>
      </c>
      <c r="D18" s="165" t="str">
        <f t="array" ref="D18">IFERROR(VLOOKUP($A18&amp;"-"&amp;D$2, CHOOSE({1,2}, 'S12 Operations'!$A$2:$A$533&amp;"-"&amp;'S12 Operations'!$C$2:$C$533, 'S12 Operations'!$B$2:$B$533), 2, 0), "")</f>
        <v/>
      </c>
      <c r="E18" s="166" t="str">
        <f t="array" ref="E18">IFERROR(VLOOKUP($A18&amp;"-"&amp;E$2, CHOOSE({1,2}, 'S12 Operations'!$A$2:$A$533&amp;"-"&amp;'S12 Operations'!$C$2:$C$533, 'S12 Operations'!$B$2:$B$533), 2, 0), "")</f>
        <v/>
      </c>
      <c r="F18" s="63" t="str">
        <f t="array" ref="F18">IFERROR(VLOOKUP($A18&amp;"-"&amp;F$2, CHOOSE({1,2}, 'S12 Operations'!$A$2:$A$533&amp;"-"&amp;'S12 Operations'!$C$2:$C$533, 'S12 Operations'!$B$2:$B$533), 2, 0), "")</f>
        <v/>
      </c>
      <c r="G18" s="64" t="str">
        <f t="array" ref="G18">IFERROR(VLOOKUP($A18&amp;"-"&amp;G$2, CHOOSE({1,2}, 'S12 Operations'!$A$2:$A$533&amp;"-"&amp;'S12 Operations'!$C$2:$C$533, 'S12 Operations'!$B$2:$B$533), 2, 0), "")</f>
        <v/>
      </c>
      <c r="H18" s="65" t="str">
        <f t="array" ref="H18">IFERROR(VLOOKUP($A18&amp;"-"&amp;H$2, CHOOSE({1,2}, 'S12 Operations'!$A$2:$A$533&amp;"-"&amp;'S12 Operations'!$C$2:$C$533, 'S12 Operations'!$B$2:$B$533), 2, 0), "")</f>
        <v/>
      </c>
      <c r="I18" s="164" t="str">
        <f t="array" ref="I18">IFERROR(VLOOKUP($A18&amp;"-"&amp;I$2, CHOOSE({1,2}, 'S12 Operations'!$A$2:$A$533&amp;"-"&amp;'S12 Operations'!$C$2:$C$533, 'S12 Operations'!$B$2:$B$533), 2, 0), "")</f>
        <v/>
      </c>
      <c r="J18" s="165" t="str">
        <f t="array" ref="J18">IFERROR(VLOOKUP($A18&amp;"-"&amp;J$2, CHOOSE({1,2}, 'S12 Operations'!$A$2:$A$533&amp;"-"&amp;'S12 Operations'!$C$2:$C$533, 'S12 Operations'!$B$2:$B$533), 2, 0), "")</f>
        <v/>
      </c>
      <c r="K18" s="165" t="str">
        <f t="array" ref="K18">IFERROR(VLOOKUP($A18&amp;"-"&amp;K$2, CHOOSE({1,2}, 'S12 Operations'!$A$2:$A$533&amp;"-"&amp;'S12 Operations'!$C$2:$C$533, 'S12 Operations'!$B$2:$B$533), 2, 0), "")</f>
        <v/>
      </c>
      <c r="L18" s="165" t="str">
        <f t="array" ref="L18">IFERROR(VLOOKUP($A18&amp;"-"&amp;L$2, CHOOSE({1,2}, 'S12 Operations'!$A$2:$A$533&amp;"-"&amp;'S12 Operations'!$C$2:$C$533, 'S12 Operations'!$B$2:$B$533), 2, 0), "")</f>
        <v/>
      </c>
      <c r="M18" s="165" t="str">
        <f t="array" ref="M18">IFERROR(VLOOKUP($A18&amp;"-"&amp;M$2, CHOOSE({1,2}, 'S12 Operations'!$A$2:$A$533&amp;"-"&amp;'S12 Operations'!$C$2:$C$533, 'S12 Operations'!$B$2:$B$533), 2, 0), "")</f>
        <v/>
      </c>
      <c r="N18" s="165" t="str">
        <f t="array" ref="N18">IFERROR(VLOOKUP($A18&amp;"-"&amp;N$2, CHOOSE({1,2}, 'S12 Operations'!$A$2:$A$533&amp;"-"&amp;'S12 Operations'!$C$2:$C$533, 'S12 Operations'!$B$2:$B$533), 2, 0), "")</f>
        <v/>
      </c>
      <c r="O18" s="165" t="str">
        <f t="array" ref="O18">IFERROR(VLOOKUP($A18&amp;"-"&amp;O$2, CHOOSE({1,2}, 'S12 Operations'!$A$2:$A$533&amp;"-"&amp;'S12 Operations'!$C$2:$C$533, 'S12 Operations'!$B$2:$B$533), 2, 0), "")</f>
        <v/>
      </c>
      <c r="P18" s="166" t="str">
        <f t="array" ref="P18">IFERROR(VLOOKUP($A18&amp;"-"&amp;P$2, CHOOSE({1,2}, 'S12 Operations'!$A$2:$A$533&amp;"-"&amp;'S12 Operations'!$C$2:$C$533, 'S12 Operations'!$B$2:$B$533), 2, 0), "")</f>
        <v/>
      </c>
      <c r="Q18" s="63" t="str">
        <f t="array" ref="Q18">IFERROR(VLOOKUP($A18&amp;"-"&amp;Q$2, CHOOSE({1,2}, 'S12 Operations'!$A$2:$A$533&amp;"-"&amp;'S12 Operations'!$C$2:$C$533, 'S12 Operations'!$B$2:$B$533), 2, 0), "")</f>
        <v/>
      </c>
      <c r="R18" s="64" t="str">
        <f t="array" ref="R18">IFERROR(VLOOKUP($A18&amp;"-"&amp;R$2, CHOOSE({1,2}, 'S12 Operations'!$A$2:$A$533&amp;"-"&amp;'S12 Operations'!$C$2:$C$533, 'S12 Operations'!$B$2:$B$533), 2, 0), "")</f>
        <v/>
      </c>
      <c r="S18" s="64" t="str">
        <f t="array" ref="S18">IFERROR(VLOOKUP($A18&amp;"-"&amp;S$2, CHOOSE({1,2}, 'S12 Operations'!$A$2:$A$533&amp;"-"&amp;'S12 Operations'!$C$2:$C$533, 'S12 Operations'!$B$2:$B$533), 2, 0), "")</f>
        <v/>
      </c>
      <c r="T18" s="65" t="str">
        <f t="array" ref="T18">IFERROR(VLOOKUP($A18&amp;"-"&amp;T$2, CHOOSE({1,2}, 'S12 Operations'!$A$2:$A$533&amp;"-"&amp;'S12 Operations'!$C$2:$C$533, 'S12 Operations'!$B$2:$B$533), 2, 0), "")</f>
        <v/>
      </c>
      <c r="U18" s="164" t="str">
        <f t="array" ref="U18">IFERROR(VLOOKUP($A18&amp;"-"&amp;U$2, CHOOSE({1,2}, 'S12 Operations'!$A$2:$A$533&amp;"-"&amp;'S12 Operations'!$C$2:$C$533, 'S12 Operations'!$B$2:$B$533), 2, 0), "")</f>
        <v/>
      </c>
      <c r="V18" s="166" t="str">
        <f t="array" ref="V18">IFERROR(VLOOKUP($A18&amp;"-"&amp;V$2, CHOOSE({1,2}, 'S12 Operations'!$A$2:$A$533&amp;"-"&amp;'S12 Operations'!$C$2:$C$533, 'S12 Operations'!$B$2:$B$533), 2, 0), "")</f>
        <v/>
      </c>
      <c r="W18" s="63" t="str">
        <f t="array" ref="W18">IFERROR(VLOOKUP($A18&amp;"-"&amp;W$2, CHOOSE({1,2}, 'S12 Operations'!$A$2:$A$533&amp;"-"&amp;'S12 Operations'!$C$2:$C$533, 'S12 Operations'!$B$2:$B$533), 2, 0), "")</f>
        <v/>
      </c>
      <c r="X18" s="64" t="str">
        <f t="array" ref="X18">IFERROR(VLOOKUP($A18&amp;"-"&amp;X$2, CHOOSE({1,2}, 'S12 Operations'!$A$2:$A$533&amp;"-"&amp;'S12 Operations'!$C$2:$C$533, 'S12 Operations'!$B$2:$B$533), 2, 0), "")</f>
        <v/>
      </c>
      <c r="Y18" s="65" t="str">
        <f t="array" ref="Y18">IFERROR(VLOOKUP($A18&amp;"-"&amp;Y$2, CHOOSE({1,2}, 'S12 Operations'!$A$2:$A$533&amp;"-"&amp;'S12 Operations'!$C$2:$C$533, 'S12 Operations'!$B$2:$B$533), 2, 0), "")</f>
        <v/>
      </c>
      <c r="Z18" s="168" t="str">
        <f t="array" ref="Z18">IFERROR(VLOOKUP($A18&amp;"-"&amp;Z$2, CHOOSE({1,2}, 'S12 Operations'!$A$2:$A$533&amp;"-"&amp;'S12 Operations'!$C$2:$C$533, 'S12 Operations'!$B$2:$B$533), 2, 0), "")</f>
        <v/>
      </c>
      <c r="AA18" s="62" t="str">
        <f t="array" ref="AA18">IFERROR(VLOOKUP($A18&amp;"-"&amp;AA$2, CHOOSE({1,2}, 'S12 Operations'!$A$2:$A$533&amp;"-"&amp;'S12 Operations'!$C$2:$C$533, 'S12 Operations'!$B$2:$B$533), 2, 0), "")</f>
        <v/>
      </c>
    </row>
    <row r="19" spans="1:27" ht="17" thickBot="1" x14ac:dyDescent="0.25"/>
    <row r="20" spans="1:27" ht="18" thickBot="1" x14ac:dyDescent="0.25">
      <c r="A20" s="210" t="s">
        <v>932</v>
      </c>
      <c r="B20" s="52" t="s">
        <v>566</v>
      </c>
      <c r="C20" s="309" t="s">
        <v>567</v>
      </c>
      <c r="D20" s="310"/>
      <c r="E20" s="311"/>
      <c r="F20" s="306" t="s">
        <v>568</v>
      </c>
      <c r="G20" s="307"/>
      <c r="H20" s="308"/>
      <c r="I20" s="309" t="s">
        <v>569</v>
      </c>
      <c r="J20" s="310"/>
      <c r="K20" s="310"/>
      <c r="L20" s="310"/>
      <c r="M20" s="310"/>
      <c r="N20" s="310"/>
      <c r="O20" s="310"/>
      <c r="P20" s="311"/>
      <c r="Q20" s="306" t="s">
        <v>570</v>
      </c>
      <c r="R20" s="307"/>
      <c r="S20" s="307"/>
      <c r="T20" s="308"/>
      <c r="U20" s="309" t="s">
        <v>571</v>
      </c>
      <c r="V20" s="311"/>
      <c r="W20" s="306" t="s">
        <v>567</v>
      </c>
      <c r="X20" s="307"/>
      <c r="Y20" s="308"/>
      <c r="Z20" s="148" t="s">
        <v>572</v>
      </c>
      <c r="AA20" s="52" t="s">
        <v>566</v>
      </c>
    </row>
    <row r="21" spans="1:27" ht="18" thickBot="1" x14ac:dyDescent="0.25">
      <c r="A21" s="217" t="s">
        <v>170</v>
      </c>
      <c r="B21" s="218" t="s">
        <v>616</v>
      </c>
      <c r="C21" s="219" t="s">
        <v>609</v>
      </c>
      <c r="D21" s="220" t="s">
        <v>611</v>
      </c>
      <c r="E21" s="221" t="s">
        <v>613</v>
      </c>
      <c r="F21" s="54" t="s">
        <v>575</v>
      </c>
      <c r="G21" s="55" t="s">
        <v>577</v>
      </c>
      <c r="H21" s="56" t="s">
        <v>580</v>
      </c>
      <c r="I21" s="219" t="s">
        <v>576</v>
      </c>
      <c r="J21" s="220" t="s">
        <v>578</v>
      </c>
      <c r="K21" s="220" t="s">
        <v>581</v>
      </c>
      <c r="L21" s="220" t="s">
        <v>591</v>
      </c>
      <c r="M21" s="220" t="s">
        <v>593</v>
      </c>
      <c r="N21" s="220" t="s">
        <v>594</v>
      </c>
      <c r="O21" s="220" t="s">
        <v>596</v>
      </c>
      <c r="P21" s="221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219" t="s">
        <v>600</v>
      </c>
      <c r="V21" s="221" t="s">
        <v>602</v>
      </c>
      <c r="W21" s="54" t="s">
        <v>605</v>
      </c>
      <c r="X21" s="55" t="s">
        <v>606</v>
      </c>
      <c r="Y21" s="56" t="s">
        <v>607</v>
      </c>
      <c r="Z21" s="222" t="s">
        <v>615</v>
      </c>
      <c r="AA21" s="218" t="s">
        <v>617</v>
      </c>
    </row>
    <row r="22" spans="1:27" x14ac:dyDescent="0.2">
      <c r="A22" s="213"/>
      <c r="B22" s="214"/>
      <c r="C22" s="215"/>
      <c r="D22" s="215"/>
      <c r="E22" s="215"/>
      <c r="F22" s="214"/>
      <c r="G22" s="214"/>
      <c r="H22" s="214"/>
      <c r="I22" s="215"/>
      <c r="J22" s="215"/>
      <c r="K22" s="215"/>
      <c r="L22" s="215"/>
      <c r="M22" s="215"/>
      <c r="N22" s="215"/>
      <c r="O22" s="215"/>
      <c r="P22" s="215"/>
      <c r="Q22" s="214"/>
      <c r="R22" s="214"/>
      <c r="S22" s="214"/>
      <c r="T22" s="214"/>
      <c r="U22" s="215"/>
      <c r="V22" s="215"/>
      <c r="W22" s="214"/>
      <c r="X22" s="214"/>
      <c r="Y22" s="214"/>
      <c r="Z22" s="215"/>
      <c r="AA22" s="216"/>
    </row>
    <row r="23" spans="1:27" x14ac:dyDescent="0.2">
      <c r="A23" s="211"/>
      <c r="B23" s="4"/>
      <c r="C23" s="160"/>
      <c r="D23" s="160"/>
      <c r="E23" s="160"/>
      <c r="F23" s="4"/>
      <c r="G23" s="4"/>
      <c r="H23" s="4"/>
      <c r="I23" s="160"/>
      <c r="J23" s="160"/>
      <c r="K23" s="160"/>
      <c r="L23" s="160"/>
      <c r="M23" s="160"/>
      <c r="N23" s="160"/>
      <c r="O23" s="160"/>
      <c r="P23" s="160"/>
      <c r="Q23" s="4"/>
      <c r="R23" s="4"/>
      <c r="S23" s="4"/>
      <c r="T23" s="4"/>
      <c r="U23" s="160"/>
      <c r="V23" s="160"/>
      <c r="W23" s="4"/>
      <c r="X23" s="4"/>
      <c r="Y23" s="4"/>
      <c r="Z23" s="160"/>
      <c r="AA23" s="61"/>
    </row>
    <row r="24" spans="1:27" x14ac:dyDescent="0.2">
      <c r="A24" s="211"/>
      <c r="B24" s="4"/>
      <c r="C24" s="160"/>
      <c r="D24" s="160"/>
      <c r="E24" s="160"/>
      <c r="F24" s="4"/>
      <c r="G24" s="4"/>
      <c r="H24" s="4"/>
      <c r="I24" s="160"/>
      <c r="J24" s="160"/>
      <c r="K24" s="160"/>
      <c r="L24" s="160"/>
      <c r="M24" s="160"/>
      <c r="N24" s="160"/>
      <c r="O24" s="160"/>
      <c r="P24" s="160"/>
      <c r="Q24" s="4"/>
      <c r="R24" s="4"/>
      <c r="S24" s="4"/>
      <c r="T24" s="4"/>
      <c r="U24" s="160"/>
      <c r="V24" s="160"/>
      <c r="W24" s="4"/>
      <c r="X24" s="4"/>
      <c r="Y24" s="4"/>
      <c r="Z24" s="160"/>
      <c r="AA24" s="61"/>
    </row>
    <row r="25" spans="1:27" x14ac:dyDescent="0.2">
      <c r="A25" s="211"/>
      <c r="B25" s="4"/>
      <c r="C25" s="160"/>
      <c r="D25" s="160"/>
      <c r="E25" s="160"/>
      <c r="F25" s="4"/>
      <c r="G25" s="4"/>
      <c r="H25" s="4"/>
      <c r="I25" s="160"/>
      <c r="J25" s="160"/>
      <c r="K25" s="160"/>
      <c r="L25" s="160"/>
      <c r="M25" s="160"/>
      <c r="N25" s="160"/>
      <c r="O25" s="160"/>
      <c r="P25" s="160"/>
      <c r="Q25" s="4"/>
      <c r="R25" s="4"/>
      <c r="S25" s="4"/>
      <c r="T25" s="4"/>
      <c r="U25" s="160"/>
      <c r="V25" s="160"/>
      <c r="W25" s="4"/>
      <c r="X25" s="4"/>
      <c r="Y25" s="4"/>
      <c r="Z25" s="160"/>
      <c r="AA25" s="61"/>
    </row>
    <row r="26" spans="1:27" x14ac:dyDescent="0.2">
      <c r="A26" s="211"/>
      <c r="B26" s="4"/>
      <c r="C26" s="160"/>
      <c r="D26" s="160"/>
      <c r="E26" s="160"/>
      <c r="F26" s="4"/>
      <c r="G26" s="4"/>
      <c r="H26" s="4"/>
      <c r="I26" s="160"/>
      <c r="J26" s="160"/>
      <c r="K26" s="160"/>
      <c r="L26" s="160"/>
      <c r="M26" s="160"/>
      <c r="N26" s="160"/>
      <c r="O26" s="160"/>
      <c r="P26" s="160"/>
      <c r="Q26" s="4"/>
      <c r="R26" s="4"/>
      <c r="S26" s="4"/>
      <c r="T26" s="4"/>
      <c r="U26" s="160"/>
      <c r="V26" s="160"/>
      <c r="W26" s="4"/>
      <c r="X26" s="4"/>
      <c r="Y26" s="4"/>
      <c r="Z26" s="160"/>
      <c r="AA26" s="61"/>
    </row>
    <row r="27" spans="1:27" x14ac:dyDescent="0.2">
      <c r="A27" s="211"/>
      <c r="B27" s="4"/>
      <c r="C27" s="160"/>
      <c r="D27" s="160"/>
      <c r="E27" s="160"/>
      <c r="F27" s="4"/>
      <c r="G27" s="4"/>
      <c r="H27" s="4"/>
      <c r="I27" s="160"/>
      <c r="J27" s="160"/>
      <c r="K27" s="160"/>
      <c r="L27" s="160"/>
      <c r="M27" s="160"/>
      <c r="N27" s="160"/>
      <c r="O27" s="160"/>
      <c r="P27" s="160"/>
      <c r="Q27" s="4"/>
      <c r="R27" s="4"/>
      <c r="S27" s="4"/>
      <c r="T27" s="4"/>
      <c r="U27" s="160"/>
      <c r="V27" s="160"/>
      <c r="W27" s="4"/>
      <c r="X27" s="4"/>
      <c r="Y27" s="4"/>
      <c r="Z27" s="160"/>
      <c r="AA27" s="61"/>
    </row>
    <row r="28" spans="1:27" x14ac:dyDescent="0.2">
      <c r="A28" s="211"/>
      <c r="B28" s="4"/>
      <c r="C28" s="160"/>
      <c r="D28" s="160"/>
      <c r="E28" s="160"/>
      <c r="F28" s="4"/>
      <c r="G28" s="4"/>
      <c r="H28" s="4"/>
      <c r="I28" s="160"/>
      <c r="J28" s="160"/>
      <c r="K28" s="160"/>
      <c r="L28" s="160"/>
      <c r="M28" s="160"/>
      <c r="N28" s="160"/>
      <c r="O28" s="160"/>
      <c r="P28" s="160"/>
      <c r="Q28" s="4"/>
      <c r="R28" s="4"/>
      <c r="S28" s="4"/>
      <c r="T28" s="4"/>
      <c r="U28" s="160"/>
      <c r="V28" s="160"/>
      <c r="W28" s="4"/>
      <c r="X28" s="4"/>
      <c r="Y28" s="4"/>
      <c r="Z28" s="160"/>
      <c r="AA28" s="61"/>
    </row>
    <row r="29" spans="1:27" x14ac:dyDescent="0.2">
      <c r="A29" s="211"/>
      <c r="B29" s="4"/>
      <c r="C29" s="160"/>
      <c r="D29" s="160"/>
      <c r="E29" s="160"/>
      <c r="F29" s="4"/>
      <c r="G29" s="4"/>
      <c r="H29" s="4"/>
      <c r="I29" s="160"/>
      <c r="J29" s="160"/>
      <c r="K29" s="160"/>
      <c r="L29" s="160"/>
      <c r="M29" s="160"/>
      <c r="N29" s="160"/>
      <c r="O29" s="160"/>
      <c r="P29" s="160"/>
      <c r="Q29" s="4"/>
      <c r="R29" s="4"/>
      <c r="S29" s="4"/>
      <c r="T29" s="4"/>
      <c r="U29" s="160"/>
      <c r="V29" s="160"/>
      <c r="W29" s="4"/>
      <c r="X29" s="4"/>
      <c r="Y29" s="4"/>
      <c r="Z29" s="160"/>
      <c r="AA29" s="61"/>
    </row>
    <row r="30" spans="1:27" x14ac:dyDescent="0.2">
      <c r="A30" s="211"/>
      <c r="B30" s="4"/>
      <c r="C30" s="160"/>
      <c r="D30" s="160"/>
      <c r="E30" s="160"/>
      <c r="F30" s="4"/>
      <c r="G30" s="4"/>
      <c r="H30" s="4"/>
      <c r="I30" s="160"/>
      <c r="J30" s="160"/>
      <c r="K30" s="160"/>
      <c r="L30" s="160"/>
      <c r="M30" s="160"/>
      <c r="N30" s="160"/>
      <c r="O30" s="160"/>
      <c r="P30" s="160"/>
      <c r="Q30" s="4"/>
      <c r="R30" s="4"/>
      <c r="S30" s="4"/>
      <c r="T30" s="4"/>
      <c r="U30" s="160"/>
      <c r="V30" s="160"/>
      <c r="W30" s="4"/>
      <c r="X30" s="4"/>
      <c r="Y30" s="4"/>
      <c r="Z30" s="160"/>
      <c r="AA30" s="61"/>
    </row>
    <row r="31" spans="1:27" x14ac:dyDescent="0.2">
      <c r="A31" s="211"/>
      <c r="B31" s="4"/>
      <c r="C31" s="160"/>
      <c r="D31" s="160"/>
      <c r="E31" s="160"/>
      <c r="F31" s="4"/>
      <c r="G31" s="4"/>
      <c r="H31" s="4"/>
      <c r="I31" s="160"/>
      <c r="J31" s="160"/>
      <c r="K31" s="160"/>
      <c r="L31" s="160"/>
      <c r="M31" s="160"/>
      <c r="N31" s="160"/>
      <c r="O31" s="160"/>
      <c r="P31" s="160"/>
      <c r="Q31" s="4"/>
      <c r="R31" s="4"/>
      <c r="S31" s="4"/>
      <c r="T31" s="4"/>
      <c r="U31" s="160"/>
      <c r="V31" s="160"/>
      <c r="W31" s="4"/>
      <c r="X31" s="4"/>
      <c r="Y31" s="4"/>
      <c r="Z31" s="160"/>
      <c r="AA31" s="61"/>
    </row>
    <row r="32" spans="1:27" x14ac:dyDescent="0.2">
      <c r="A32" s="211"/>
      <c r="B32" s="4"/>
      <c r="C32" s="160"/>
      <c r="D32" s="160"/>
      <c r="E32" s="160"/>
      <c r="F32" s="4"/>
      <c r="G32" s="4"/>
      <c r="H32" s="4"/>
      <c r="I32" s="160"/>
      <c r="J32" s="160"/>
      <c r="K32" s="160"/>
      <c r="L32" s="160"/>
      <c r="M32" s="160"/>
      <c r="N32" s="160"/>
      <c r="O32" s="160"/>
      <c r="P32" s="160"/>
      <c r="Q32" s="4"/>
      <c r="R32" s="4"/>
      <c r="S32" s="4"/>
      <c r="T32" s="4"/>
      <c r="U32" s="160"/>
      <c r="V32" s="160"/>
      <c r="W32" s="4"/>
      <c r="X32" s="4"/>
      <c r="Y32" s="4"/>
      <c r="Z32" s="160"/>
      <c r="AA32" s="61"/>
    </row>
    <row r="33" spans="1:27" x14ac:dyDescent="0.2">
      <c r="A33" s="211"/>
      <c r="B33" s="4"/>
      <c r="C33" s="160"/>
      <c r="D33" s="160"/>
      <c r="E33" s="160"/>
      <c r="F33" s="4"/>
      <c r="G33" s="4"/>
      <c r="H33" s="4"/>
      <c r="I33" s="160"/>
      <c r="J33" s="160"/>
      <c r="K33" s="160"/>
      <c r="L33" s="160"/>
      <c r="M33" s="160"/>
      <c r="N33" s="160"/>
      <c r="O33" s="160"/>
      <c r="P33" s="160"/>
      <c r="Q33" s="4"/>
      <c r="R33" s="4"/>
      <c r="S33" s="4"/>
      <c r="T33" s="4"/>
      <c r="U33" s="160"/>
      <c r="V33" s="160"/>
      <c r="W33" s="4"/>
      <c r="X33" s="4"/>
      <c r="Y33" s="4"/>
      <c r="Z33" s="160"/>
      <c r="AA33" s="61"/>
    </row>
    <row r="34" spans="1:27" x14ac:dyDescent="0.2">
      <c r="A34" s="211"/>
      <c r="B34" s="4"/>
      <c r="C34" s="160"/>
      <c r="D34" s="160"/>
      <c r="E34" s="160"/>
      <c r="F34" s="4"/>
      <c r="G34" s="4"/>
      <c r="H34" s="4"/>
      <c r="I34" s="160"/>
      <c r="J34" s="160"/>
      <c r="K34" s="160"/>
      <c r="L34" s="160"/>
      <c r="M34" s="160"/>
      <c r="N34" s="160"/>
      <c r="O34" s="160"/>
      <c r="P34" s="160"/>
      <c r="Q34" s="4"/>
      <c r="R34" s="4"/>
      <c r="S34" s="4"/>
      <c r="T34" s="4"/>
      <c r="U34" s="160"/>
      <c r="V34" s="160"/>
      <c r="W34" s="4"/>
      <c r="X34" s="4"/>
      <c r="Y34" s="4"/>
      <c r="Z34" s="160"/>
      <c r="AA34" s="61"/>
    </row>
    <row r="35" spans="1:27" x14ac:dyDescent="0.2">
      <c r="A35" s="211"/>
      <c r="B35" s="4"/>
      <c r="C35" s="160"/>
      <c r="D35" s="160"/>
      <c r="E35" s="160"/>
      <c r="F35" s="4"/>
      <c r="G35" s="4"/>
      <c r="H35" s="4"/>
      <c r="I35" s="160"/>
      <c r="J35" s="160"/>
      <c r="K35" s="160"/>
      <c r="L35" s="160"/>
      <c r="M35" s="160"/>
      <c r="N35" s="160"/>
      <c r="O35" s="160"/>
      <c r="P35" s="160"/>
      <c r="Q35" s="4"/>
      <c r="R35" s="4"/>
      <c r="S35" s="4"/>
      <c r="T35" s="4"/>
      <c r="U35" s="160"/>
      <c r="V35" s="160"/>
      <c r="W35" s="4"/>
      <c r="X35" s="4"/>
      <c r="Y35" s="4"/>
      <c r="Z35" s="160"/>
      <c r="AA35" s="61"/>
    </row>
    <row r="36" spans="1:27" x14ac:dyDescent="0.2">
      <c r="A36" s="211"/>
      <c r="B36" s="4"/>
      <c r="C36" s="160"/>
      <c r="D36" s="160"/>
      <c r="E36" s="160"/>
      <c r="F36" s="4"/>
      <c r="G36" s="4"/>
      <c r="H36" s="4"/>
      <c r="I36" s="160"/>
      <c r="J36" s="160"/>
      <c r="K36" s="160"/>
      <c r="L36" s="160"/>
      <c r="M36" s="160"/>
      <c r="N36" s="160"/>
      <c r="O36" s="160"/>
      <c r="P36" s="160"/>
      <c r="Q36" s="4"/>
      <c r="R36" s="4"/>
      <c r="S36" s="4"/>
      <c r="T36" s="4"/>
      <c r="U36" s="160"/>
      <c r="V36" s="160"/>
      <c r="W36" s="4"/>
      <c r="X36" s="4"/>
      <c r="Y36" s="4"/>
      <c r="Z36" s="160"/>
      <c r="AA36" s="61"/>
    </row>
    <row r="37" spans="1:27" ht="17" thickBot="1" x14ac:dyDescent="0.25">
      <c r="A37" s="212"/>
      <c r="B37" s="64"/>
      <c r="C37" s="165"/>
      <c r="D37" s="165"/>
      <c r="E37" s="165"/>
      <c r="F37" s="64"/>
      <c r="G37" s="64"/>
      <c r="H37" s="64"/>
      <c r="I37" s="165"/>
      <c r="J37" s="165"/>
      <c r="K37" s="165"/>
      <c r="L37" s="165"/>
      <c r="M37" s="165"/>
      <c r="N37" s="165"/>
      <c r="O37" s="165"/>
      <c r="P37" s="165"/>
      <c r="Q37" s="64"/>
      <c r="R37" s="64"/>
      <c r="S37" s="64"/>
      <c r="T37" s="64"/>
      <c r="U37" s="165"/>
      <c r="V37" s="165"/>
      <c r="W37" s="64"/>
      <c r="X37" s="64"/>
      <c r="Y37" s="64"/>
      <c r="Z37" s="165"/>
      <c r="AA37" s="65"/>
    </row>
  </sheetData>
  <mergeCells count="12">
    <mergeCell ref="W20:Y20"/>
    <mergeCell ref="C20:E20"/>
    <mergeCell ref="F20:H20"/>
    <mergeCell ref="I20:P20"/>
    <mergeCell ref="Q20:T20"/>
    <mergeCell ref="U20:V20"/>
    <mergeCell ref="W1:Y1"/>
    <mergeCell ref="C1:E1"/>
    <mergeCell ref="F1:H1"/>
    <mergeCell ref="I1:P1"/>
    <mergeCell ref="Q1:T1"/>
    <mergeCell ref="U1:V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workbookViewId="0">
      <selection activeCell="L13" sqref="L13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03" t="s">
        <v>565</v>
      </c>
      <c r="C1" s="304"/>
      <c r="D1" s="304"/>
      <c r="E1" s="304"/>
      <c r="F1" s="304"/>
      <c r="G1" s="304"/>
      <c r="H1" s="304"/>
      <c r="I1" s="305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x14ac:dyDescent="0.2">
      <c r="A3" s="57"/>
      <c r="B3" s="58"/>
      <c r="C3" s="58"/>
      <c r="D3" s="58"/>
      <c r="E3" s="58"/>
      <c r="F3" s="58"/>
      <c r="G3" s="58"/>
      <c r="H3" s="58"/>
      <c r="I3" s="58"/>
    </row>
    <row r="4" spans="1:9" s="44" customFormat="1" x14ac:dyDescent="0.2">
      <c r="A4" s="57"/>
      <c r="B4" s="58"/>
      <c r="C4" s="58"/>
      <c r="D4" s="58"/>
      <c r="E4" s="58"/>
      <c r="F4" s="58"/>
      <c r="G4" s="58"/>
      <c r="H4" s="58"/>
      <c r="I4" s="58"/>
    </row>
    <row r="5" spans="1:9" s="44" customFormat="1" x14ac:dyDescent="0.2">
      <c r="A5" s="57"/>
      <c r="B5" s="58"/>
      <c r="C5" s="58"/>
      <c r="D5" s="58"/>
      <c r="E5" s="58"/>
      <c r="F5" s="58"/>
      <c r="G5" s="58"/>
      <c r="H5" s="58"/>
      <c r="I5" s="58"/>
    </row>
    <row r="6" spans="1:9" s="44" customFormat="1" x14ac:dyDescent="0.2">
      <c r="A6" s="57"/>
      <c r="B6" s="58"/>
      <c r="C6" s="58"/>
      <c r="D6" s="58"/>
      <c r="E6" s="58"/>
      <c r="F6" s="58"/>
      <c r="G6" s="58"/>
      <c r="H6" s="58"/>
      <c r="I6" s="58"/>
    </row>
    <row r="7" spans="1:9" s="44" customFormat="1" x14ac:dyDescent="0.2">
      <c r="A7" s="57"/>
      <c r="B7" s="58"/>
      <c r="C7" s="58"/>
      <c r="D7" s="58"/>
      <c r="E7" s="58"/>
      <c r="F7" s="58"/>
      <c r="G7" s="58"/>
      <c r="H7" s="58"/>
      <c r="I7" s="58"/>
    </row>
    <row r="8" spans="1:9" s="44" customFormat="1" x14ac:dyDescent="0.2">
      <c r="A8" s="57"/>
      <c r="B8" s="58"/>
      <c r="C8" s="58"/>
      <c r="D8" s="58"/>
      <c r="E8" s="58"/>
      <c r="F8" s="58"/>
      <c r="G8" s="58"/>
      <c r="H8" s="58"/>
      <c r="I8" s="58"/>
    </row>
    <row r="9" spans="1:9" s="44" customFormat="1" x14ac:dyDescent="0.2">
      <c r="A9" s="57"/>
      <c r="B9" s="58"/>
      <c r="C9" s="58"/>
      <c r="D9" s="58"/>
      <c r="E9" s="58"/>
      <c r="F9" s="58"/>
      <c r="G9" s="58"/>
      <c r="H9" s="58"/>
      <c r="I9" s="58"/>
    </row>
    <row r="10" spans="1:9" s="44" customFormat="1" x14ac:dyDescent="0.2">
      <c r="A10" s="57"/>
      <c r="B10" s="58"/>
      <c r="C10" s="58"/>
      <c r="D10" s="58"/>
      <c r="E10" s="58"/>
      <c r="F10" s="58"/>
      <c r="G10" s="58"/>
      <c r="H10" s="58"/>
      <c r="I10" s="58"/>
    </row>
    <row r="11" spans="1:9" s="44" customFormat="1" x14ac:dyDescent="0.2">
      <c r="A11" s="57"/>
      <c r="B11" s="58"/>
      <c r="C11" s="58"/>
      <c r="D11" s="58"/>
      <c r="E11" s="58"/>
      <c r="F11" s="58"/>
      <c r="G11" s="58"/>
      <c r="H11" s="58"/>
      <c r="I11" s="58"/>
    </row>
    <row r="12" spans="1:9" s="44" customFormat="1" x14ac:dyDescent="0.2">
      <c r="A12" s="57"/>
      <c r="B12" s="58"/>
      <c r="C12" s="58"/>
      <c r="D12" s="58"/>
      <c r="E12" s="58"/>
      <c r="F12" s="58"/>
      <c r="G12" s="58"/>
      <c r="H12" s="58"/>
      <c r="I12" s="58"/>
    </row>
    <row r="13" spans="1:9" s="44" customFormat="1" x14ac:dyDescent="0.2">
      <c r="A13" s="57"/>
      <c r="B13" s="58"/>
      <c r="C13" s="58"/>
      <c r="D13" s="58"/>
      <c r="E13" s="58"/>
      <c r="F13" s="58"/>
      <c r="G13" s="58"/>
      <c r="H13" s="58"/>
      <c r="I13" s="58"/>
    </row>
    <row r="14" spans="1:9" s="44" customFormat="1" x14ac:dyDescent="0.2">
      <c r="A14" s="57"/>
      <c r="B14" s="58"/>
      <c r="C14" s="58"/>
      <c r="D14" s="58"/>
      <c r="E14" s="58"/>
      <c r="F14" s="58"/>
      <c r="G14" s="58"/>
      <c r="H14" s="58"/>
      <c r="I14" s="58"/>
    </row>
    <row r="15" spans="1:9" s="44" customFormat="1" x14ac:dyDescent="0.2">
      <c r="A15" s="57"/>
      <c r="B15" s="58"/>
      <c r="C15" s="58"/>
      <c r="D15" s="58"/>
      <c r="E15" s="58"/>
      <c r="F15" s="58"/>
      <c r="G15" s="58"/>
      <c r="H15" s="58"/>
      <c r="I15" s="58"/>
    </row>
    <row r="16" spans="1:9" s="44" customFormat="1" x14ac:dyDescent="0.2">
      <c r="A16" s="57"/>
      <c r="B16" s="58"/>
      <c r="C16" s="58"/>
      <c r="D16" s="58"/>
      <c r="E16" s="58"/>
      <c r="F16" s="58"/>
      <c r="G16" s="58"/>
      <c r="H16" s="58"/>
      <c r="I16" s="58"/>
    </row>
    <row r="17" spans="1:9" s="44" customFormat="1" x14ac:dyDescent="0.2">
      <c r="A17" s="57"/>
      <c r="B17" s="58"/>
      <c r="C17" s="58"/>
      <c r="D17" s="58"/>
      <c r="E17" s="58"/>
      <c r="F17" s="58"/>
      <c r="G17" s="58"/>
      <c r="H17" s="58"/>
      <c r="I17" s="58"/>
    </row>
    <row r="18" spans="1:9" s="44" customFormat="1" x14ac:dyDescent="0.2">
      <c r="A18" s="57"/>
      <c r="B18" s="58"/>
      <c r="C18" s="58"/>
      <c r="D18" s="58"/>
      <c r="E18" s="58"/>
      <c r="F18" s="58"/>
      <c r="G18" s="58"/>
      <c r="H18" s="58"/>
      <c r="I18" s="58"/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2022-03-02T16:20:22Z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