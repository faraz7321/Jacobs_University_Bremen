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13_ncr:1_{713AF741-5958-7F47-A8BB-590DD7AF6FAE}" xr6:coauthVersionLast="47" xr6:coauthVersionMax="47" xr10:uidLastSave="{00000000-0000-0000-0000-000000000000}"/>
  <bookViews>
    <workbookView xWindow="4840" yWindow="3360" windowWidth="28800" windowHeight="17500" firstSheet="14" activeTab="21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31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  <sheet name="S16 Material Properties" sheetId="66" r:id="rId16"/>
    <sheet name="S17 Mat. Prop. Weights" sheetId="67" r:id="rId17"/>
    <sheet name="S18 Mat. Perf. Index" sheetId="68" r:id="rId18"/>
    <sheet name="S19 Mat. Cost per Strength" sheetId="69" r:id="rId19"/>
    <sheet name="S20 Material FOM" sheetId="70" r:id="rId20"/>
    <sheet name="S21 Size Calculator" sheetId="72" r:id="rId21"/>
    <sheet name="S22 Required Machine Hours" sheetId="73" r:id="rId22"/>
    <sheet name="S23 Available Working Hours" sheetId="74" r:id="rId23"/>
    <sheet name="S24 Required # of Machines" sheetId="75" r:id="rId24"/>
  </sheets>
  <functionGroups builtInGroupCount="19"/>
  <externalReferences>
    <externalReference r:id="rId25"/>
  </externalReferences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11" hidden="1">'S12 Operations'!$A$1:$H$534</definedName>
    <definedName name="_xlnm._FilterDatabase" localSheetId="21" hidden="1">'S22 Required Machine Hours'!$A$1:$J$118</definedName>
    <definedName name="BOM_Levels">'[1]BOM 2.5KW'!$AD$1:$AD$2</definedName>
    <definedName name="Make_Buy">'[1]BOM 2.5KW'!$AF$2:$AF$3</definedName>
    <definedName name="MakeBuy">'S03 Location Prioritization'!$AF$2:$AF$3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  <definedName name="names" localSheetId="15">#REF!</definedName>
    <definedName name="names" localSheetId="16">#REF!</definedName>
    <definedName name="names" localSheetId="17">#REF!</definedName>
    <definedName name="names" localSheetId="18">#REF!</definedName>
    <definedName name="names" localSheetId="19">#REF!</definedName>
    <definedName name="names" localSheetId="20">#REF!</definedName>
    <definedName name="names" localSheetId="21">#REF!</definedName>
    <definedName name="names" localSheetId="22">#REF!</definedName>
    <definedName name="names" localSheetId="23">#REF!</definedName>
    <definedName name="names">#REF!</definedName>
    <definedName name="POWER_USER_EXCEL_CHART_10DFB4BD_AB64_459D_93F7_2E1E56295722">#REF!</definedName>
    <definedName name="POWER_USER_EXCEL_CHART_3FCF8CDC_1C82_4800_BC09_6A7624F588B1">#REF!</definedName>
    <definedName name="POWER_USER_EXCEL_CHART_BE703BC9_692D_48AA_9DA7_CA336198B98D">#REF!</definedName>
    <definedName name="Revision">'[1]BOM 2.5KW'!$AE$2:$AE$41</definedName>
    <definedName name="UOM">'[1]BOM 2.5KW'!$AC$2:$AC$15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73" l="1"/>
  <c r="J4" i="73"/>
  <c r="J5" i="73"/>
  <c r="J6" i="73"/>
  <c r="J7" i="73"/>
  <c r="J8" i="73"/>
  <c r="J9" i="73"/>
  <c r="J10" i="73"/>
  <c r="J11" i="73"/>
  <c r="J12" i="73"/>
  <c r="J13" i="73"/>
  <c r="J14" i="73"/>
  <c r="J15" i="73"/>
  <c r="J16" i="73"/>
  <c r="J17" i="73"/>
  <c r="J18" i="73"/>
  <c r="J19" i="73"/>
  <c r="J20" i="73"/>
  <c r="J21" i="73"/>
  <c r="J22" i="73"/>
  <c r="J23" i="73"/>
  <c r="J24" i="73"/>
  <c r="J25" i="73"/>
  <c r="J26" i="73"/>
  <c r="J27" i="73"/>
  <c r="J28" i="73"/>
  <c r="J29" i="73"/>
  <c r="J30" i="73"/>
  <c r="J31" i="73"/>
  <c r="J32" i="73"/>
  <c r="J33" i="73"/>
  <c r="J34" i="73"/>
  <c r="J35" i="73"/>
  <c r="J36" i="73"/>
  <c r="J37" i="73"/>
  <c r="J38" i="73"/>
  <c r="J39" i="73"/>
  <c r="J40" i="73"/>
  <c r="J41" i="73"/>
  <c r="J42" i="73"/>
  <c r="J43" i="73"/>
  <c r="J44" i="73"/>
  <c r="J45" i="73"/>
  <c r="J46" i="73"/>
  <c r="J47" i="73"/>
  <c r="J48" i="73"/>
  <c r="J49" i="73"/>
  <c r="J50" i="73"/>
  <c r="J51" i="73"/>
  <c r="J52" i="73"/>
  <c r="J53" i="73"/>
  <c r="J54" i="73"/>
  <c r="J55" i="73"/>
  <c r="J56" i="73"/>
  <c r="J57" i="73"/>
  <c r="J58" i="73"/>
  <c r="J59" i="73"/>
  <c r="J60" i="73"/>
  <c r="J61" i="73"/>
  <c r="J62" i="73"/>
  <c r="J63" i="73"/>
  <c r="J64" i="73"/>
  <c r="J65" i="73"/>
  <c r="J66" i="73"/>
  <c r="J67" i="73"/>
  <c r="J68" i="73"/>
  <c r="J69" i="73"/>
  <c r="J70" i="73"/>
  <c r="J71" i="73"/>
  <c r="J72" i="73"/>
  <c r="J73" i="73"/>
  <c r="J74" i="73"/>
  <c r="J75" i="73"/>
  <c r="J76" i="73"/>
  <c r="J77" i="73"/>
  <c r="J78" i="73"/>
  <c r="J79" i="73"/>
  <c r="J80" i="73"/>
  <c r="J81" i="73"/>
  <c r="J82" i="73"/>
  <c r="J83" i="73"/>
  <c r="J84" i="73"/>
  <c r="J85" i="73"/>
  <c r="J86" i="73"/>
  <c r="J87" i="73"/>
  <c r="J88" i="73"/>
  <c r="J89" i="73"/>
  <c r="J90" i="73"/>
  <c r="J91" i="73"/>
  <c r="J92" i="73"/>
  <c r="J93" i="73"/>
  <c r="J94" i="73"/>
  <c r="J95" i="73"/>
  <c r="J96" i="73"/>
  <c r="J97" i="73"/>
  <c r="J98" i="73"/>
  <c r="J99" i="73"/>
  <c r="J100" i="73"/>
  <c r="J101" i="73"/>
  <c r="J102" i="73"/>
  <c r="J103" i="73"/>
  <c r="J104" i="73"/>
  <c r="J105" i="73"/>
  <c r="J106" i="73"/>
  <c r="J107" i="73"/>
  <c r="J108" i="73"/>
  <c r="J109" i="73"/>
  <c r="J110" i="73"/>
  <c r="J111" i="73"/>
  <c r="J112" i="73"/>
  <c r="J113" i="73"/>
  <c r="J114" i="73"/>
  <c r="J115" i="73"/>
  <c r="J116" i="73"/>
  <c r="J117" i="73"/>
  <c r="J118" i="73"/>
  <c r="J2" i="73"/>
  <c r="I3" i="73"/>
  <c r="I4" i="73"/>
  <c r="I5" i="73"/>
  <c r="I6" i="73"/>
  <c r="I7" i="73"/>
  <c r="I8" i="73"/>
  <c r="I9" i="73"/>
  <c r="I10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29" i="73"/>
  <c r="I30" i="73"/>
  <c r="I31" i="73"/>
  <c r="I32" i="73"/>
  <c r="I33" i="73"/>
  <c r="I34" i="73"/>
  <c r="I35" i="73"/>
  <c r="I36" i="73"/>
  <c r="I37" i="73"/>
  <c r="I38" i="73"/>
  <c r="I39" i="73"/>
  <c r="I40" i="73"/>
  <c r="I41" i="73"/>
  <c r="I42" i="73"/>
  <c r="I43" i="73"/>
  <c r="I44" i="73"/>
  <c r="I45" i="73"/>
  <c r="I46" i="73"/>
  <c r="I47" i="73"/>
  <c r="I48" i="73"/>
  <c r="I49" i="73"/>
  <c r="I50" i="73"/>
  <c r="I51" i="73"/>
  <c r="I52" i="73"/>
  <c r="I53" i="73"/>
  <c r="I54" i="73"/>
  <c r="I55" i="73"/>
  <c r="I56" i="73"/>
  <c r="I57" i="73"/>
  <c r="I58" i="73"/>
  <c r="I59" i="73"/>
  <c r="I60" i="73"/>
  <c r="I61" i="73"/>
  <c r="I62" i="73"/>
  <c r="I63" i="73"/>
  <c r="I64" i="73"/>
  <c r="I65" i="73"/>
  <c r="I66" i="73"/>
  <c r="I67" i="73"/>
  <c r="I68" i="73"/>
  <c r="I69" i="73"/>
  <c r="I70" i="73"/>
  <c r="I71" i="73"/>
  <c r="I72" i="73"/>
  <c r="I73" i="73"/>
  <c r="I74" i="73"/>
  <c r="I75" i="73"/>
  <c r="I76" i="73"/>
  <c r="I77" i="73"/>
  <c r="I78" i="73"/>
  <c r="I79" i="73"/>
  <c r="I80" i="73"/>
  <c r="I81" i="73"/>
  <c r="I82" i="73"/>
  <c r="I83" i="73"/>
  <c r="I84" i="73"/>
  <c r="I85" i="73"/>
  <c r="I86" i="73"/>
  <c r="I87" i="73"/>
  <c r="I88" i="73"/>
  <c r="I89" i="73"/>
  <c r="I90" i="73"/>
  <c r="I91" i="73"/>
  <c r="I92" i="73"/>
  <c r="I93" i="73"/>
  <c r="I94" i="73"/>
  <c r="I95" i="73"/>
  <c r="I96" i="73"/>
  <c r="I97" i="73"/>
  <c r="I98" i="73"/>
  <c r="I99" i="73"/>
  <c r="I100" i="73"/>
  <c r="I101" i="73"/>
  <c r="I102" i="73"/>
  <c r="I103" i="73"/>
  <c r="I104" i="73"/>
  <c r="I105" i="73"/>
  <c r="I106" i="73"/>
  <c r="I107" i="73"/>
  <c r="I108" i="73"/>
  <c r="I109" i="73"/>
  <c r="I110" i="73"/>
  <c r="I111" i="73"/>
  <c r="I112" i="73"/>
  <c r="I113" i="73"/>
  <c r="I114" i="73"/>
  <c r="I115" i="73"/>
  <c r="I116" i="73"/>
  <c r="I117" i="73"/>
  <c r="I118" i="73"/>
  <c r="I2" i="73"/>
  <c r="Q3" i="73" a="1"/>
  <c r="Q3" i="73" s="1"/>
  <c r="Q2" i="73" a="1"/>
  <c r="Q2" i="73" s="1"/>
  <c r="H3" i="73"/>
  <c r="H4" i="73"/>
  <c r="H5" i="73"/>
  <c r="H6" i="73"/>
  <c r="H7" i="73"/>
  <c r="H8" i="73"/>
  <c r="H9" i="73"/>
  <c r="H10" i="73"/>
  <c r="H11" i="73"/>
  <c r="H12" i="73"/>
  <c r="H13" i="73"/>
  <c r="H14" i="73"/>
  <c r="H15" i="73"/>
  <c r="H16" i="73"/>
  <c r="H17" i="73"/>
  <c r="H18" i="73"/>
  <c r="H19" i="73"/>
  <c r="H20" i="73"/>
  <c r="H21" i="73"/>
  <c r="H22" i="73"/>
  <c r="H23" i="73"/>
  <c r="H24" i="73"/>
  <c r="H25" i="73"/>
  <c r="H26" i="73"/>
  <c r="H27" i="73"/>
  <c r="H28" i="73"/>
  <c r="H29" i="73"/>
  <c r="H30" i="73"/>
  <c r="H31" i="73"/>
  <c r="H32" i="73"/>
  <c r="H33" i="73"/>
  <c r="H34" i="73"/>
  <c r="H35" i="73"/>
  <c r="H36" i="73"/>
  <c r="H37" i="73"/>
  <c r="H38" i="73"/>
  <c r="H39" i="73"/>
  <c r="H40" i="73"/>
  <c r="H41" i="73"/>
  <c r="H42" i="73"/>
  <c r="H43" i="73"/>
  <c r="H44" i="73"/>
  <c r="H45" i="73"/>
  <c r="H46" i="73"/>
  <c r="H47" i="73"/>
  <c r="H48" i="73"/>
  <c r="H49" i="73"/>
  <c r="H50" i="73"/>
  <c r="H51" i="73"/>
  <c r="H52" i="73"/>
  <c r="H53" i="73"/>
  <c r="H54" i="73"/>
  <c r="H55" i="73"/>
  <c r="H56" i="73"/>
  <c r="H57" i="73"/>
  <c r="H58" i="73"/>
  <c r="H59" i="73"/>
  <c r="H60" i="73"/>
  <c r="H61" i="73"/>
  <c r="H62" i="73"/>
  <c r="H63" i="73"/>
  <c r="H64" i="73"/>
  <c r="H65" i="73"/>
  <c r="H66" i="73"/>
  <c r="H67" i="73"/>
  <c r="H68" i="73"/>
  <c r="H69" i="73"/>
  <c r="H70" i="73"/>
  <c r="H71" i="73"/>
  <c r="H72" i="73"/>
  <c r="H73" i="73"/>
  <c r="H74" i="73"/>
  <c r="H75" i="73"/>
  <c r="H76" i="73"/>
  <c r="H77" i="73"/>
  <c r="H78" i="73"/>
  <c r="H79" i="73"/>
  <c r="H80" i="73"/>
  <c r="H81" i="73"/>
  <c r="H82" i="73"/>
  <c r="H83" i="73"/>
  <c r="H84" i="73"/>
  <c r="H85" i="73"/>
  <c r="H86" i="73"/>
  <c r="H87" i="73"/>
  <c r="H88" i="73"/>
  <c r="H89" i="73"/>
  <c r="H90" i="73"/>
  <c r="H91" i="73"/>
  <c r="H92" i="73"/>
  <c r="H93" i="73"/>
  <c r="H94" i="73"/>
  <c r="H95" i="73"/>
  <c r="H96" i="73"/>
  <c r="H97" i="73"/>
  <c r="H98" i="73"/>
  <c r="H99" i="73"/>
  <c r="H100" i="73"/>
  <c r="H101" i="73"/>
  <c r="H102" i="73"/>
  <c r="H103" i="73"/>
  <c r="H104" i="73"/>
  <c r="H105" i="73"/>
  <c r="H106" i="73"/>
  <c r="H107" i="73"/>
  <c r="H108" i="73"/>
  <c r="H109" i="73"/>
  <c r="H110" i="73"/>
  <c r="H111" i="73"/>
  <c r="H112" i="73"/>
  <c r="H113" i="73"/>
  <c r="H114" i="73"/>
  <c r="H115" i="73"/>
  <c r="H116" i="73"/>
  <c r="H117" i="73"/>
  <c r="H118" i="73"/>
  <c r="H2" i="73"/>
  <c r="G3" i="73"/>
  <c r="G4" i="73"/>
  <c r="G5" i="73"/>
  <c r="G6" i="73"/>
  <c r="G7" i="73"/>
  <c r="G8" i="73"/>
  <c r="G9" i="73"/>
  <c r="G10" i="73"/>
  <c r="G11" i="73"/>
  <c r="G12" i="73"/>
  <c r="G13" i="73"/>
  <c r="G14" i="73"/>
  <c r="G15" i="73"/>
  <c r="G16" i="73"/>
  <c r="G17" i="73"/>
  <c r="G18" i="73"/>
  <c r="G19" i="73"/>
  <c r="G20" i="73"/>
  <c r="G21" i="73"/>
  <c r="G22" i="73"/>
  <c r="G23" i="73"/>
  <c r="G24" i="73"/>
  <c r="G25" i="73"/>
  <c r="G26" i="73"/>
  <c r="G27" i="73"/>
  <c r="G28" i="73"/>
  <c r="G29" i="73"/>
  <c r="G30" i="73"/>
  <c r="G31" i="73"/>
  <c r="G32" i="73"/>
  <c r="G33" i="73"/>
  <c r="G34" i="73"/>
  <c r="G35" i="73"/>
  <c r="G36" i="73"/>
  <c r="G37" i="73"/>
  <c r="G38" i="73"/>
  <c r="G39" i="73"/>
  <c r="G40" i="73"/>
  <c r="G41" i="73"/>
  <c r="G42" i="73"/>
  <c r="G43" i="73"/>
  <c r="G44" i="73"/>
  <c r="G45" i="73"/>
  <c r="G46" i="73"/>
  <c r="G47" i="73"/>
  <c r="G48" i="73"/>
  <c r="G49" i="73"/>
  <c r="G50" i="73"/>
  <c r="G51" i="73"/>
  <c r="G52" i="73"/>
  <c r="G53" i="73"/>
  <c r="G54" i="73"/>
  <c r="G55" i="73"/>
  <c r="G56" i="73"/>
  <c r="G57" i="73"/>
  <c r="G58" i="73"/>
  <c r="G59" i="73"/>
  <c r="G60" i="73"/>
  <c r="G61" i="73"/>
  <c r="G62" i="73"/>
  <c r="G63" i="73"/>
  <c r="G64" i="73"/>
  <c r="G65" i="73"/>
  <c r="G66" i="73"/>
  <c r="G67" i="73"/>
  <c r="G68" i="73"/>
  <c r="G69" i="73"/>
  <c r="G70" i="73"/>
  <c r="G71" i="73"/>
  <c r="G72" i="73"/>
  <c r="G73" i="73"/>
  <c r="G74" i="73"/>
  <c r="G75" i="73"/>
  <c r="G76" i="73"/>
  <c r="G77" i="73"/>
  <c r="G78" i="73"/>
  <c r="G79" i="73"/>
  <c r="G80" i="73"/>
  <c r="G81" i="73"/>
  <c r="G82" i="73"/>
  <c r="G83" i="73"/>
  <c r="G84" i="73"/>
  <c r="G85" i="73"/>
  <c r="G86" i="73"/>
  <c r="G87" i="73"/>
  <c r="G88" i="73"/>
  <c r="G89" i="73"/>
  <c r="G90" i="73"/>
  <c r="G91" i="73"/>
  <c r="G92" i="73"/>
  <c r="G93" i="73"/>
  <c r="G94" i="73"/>
  <c r="G95" i="73"/>
  <c r="G96" i="73"/>
  <c r="G97" i="73"/>
  <c r="G98" i="73"/>
  <c r="G99" i="73"/>
  <c r="G100" i="73"/>
  <c r="G101" i="73"/>
  <c r="G102" i="73"/>
  <c r="G103" i="73"/>
  <c r="G104" i="73"/>
  <c r="G105" i="73"/>
  <c r="G106" i="73"/>
  <c r="G107" i="73"/>
  <c r="G108" i="73"/>
  <c r="G109" i="73"/>
  <c r="G110" i="73"/>
  <c r="G111" i="73"/>
  <c r="G112" i="73"/>
  <c r="G113" i="73"/>
  <c r="G114" i="73"/>
  <c r="G115" i="73"/>
  <c r="G116" i="73"/>
  <c r="G117" i="73"/>
  <c r="G118" i="73"/>
  <c r="G2" i="73"/>
  <c r="F3" i="73"/>
  <c r="F4" i="73"/>
  <c r="F5" i="73"/>
  <c r="F6" i="73"/>
  <c r="F7" i="73"/>
  <c r="F8" i="73"/>
  <c r="F9" i="73"/>
  <c r="F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29" i="73"/>
  <c r="F30" i="73"/>
  <c r="F31" i="73"/>
  <c r="F32" i="73"/>
  <c r="F33" i="73"/>
  <c r="F34" i="73"/>
  <c r="F35" i="73"/>
  <c r="F36" i="73"/>
  <c r="F37" i="73"/>
  <c r="F38" i="73"/>
  <c r="F39" i="73"/>
  <c r="F40" i="73"/>
  <c r="F41" i="73"/>
  <c r="F42" i="73"/>
  <c r="F43" i="73"/>
  <c r="F44" i="73"/>
  <c r="F45" i="73"/>
  <c r="F46" i="73"/>
  <c r="F47" i="73"/>
  <c r="F48" i="73"/>
  <c r="F49" i="73"/>
  <c r="F50" i="73"/>
  <c r="F51" i="73"/>
  <c r="F52" i="73"/>
  <c r="F53" i="73"/>
  <c r="F54" i="73"/>
  <c r="F55" i="73"/>
  <c r="F56" i="73"/>
  <c r="F57" i="73"/>
  <c r="F58" i="73"/>
  <c r="F59" i="73"/>
  <c r="F60" i="73"/>
  <c r="F61" i="73"/>
  <c r="F62" i="73"/>
  <c r="F63" i="73"/>
  <c r="F64" i="73"/>
  <c r="F65" i="73"/>
  <c r="F66" i="73"/>
  <c r="F67" i="73"/>
  <c r="F68" i="73"/>
  <c r="F69" i="73"/>
  <c r="F70" i="73"/>
  <c r="F71" i="73"/>
  <c r="F72" i="73"/>
  <c r="F73" i="73"/>
  <c r="F74" i="73"/>
  <c r="F75" i="73"/>
  <c r="F76" i="73"/>
  <c r="F77" i="73"/>
  <c r="F78" i="73"/>
  <c r="F79" i="73"/>
  <c r="F80" i="73"/>
  <c r="F81" i="73"/>
  <c r="F82" i="73"/>
  <c r="F83" i="73"/>
  <c r="F84" i="73"/>
  <c r="F85" i="73"/>
  <c r="F86" i="73"/>
  <c r="F87" i="73"/>
  <c r="F88" i="73"/>
  <c r="F89" i="73"/>
  <c r="F90" i="73"/>
  <c r="F91" i="73"/>
  <c r="F92" i="73"/>
  <c r="F93" i="73"/>
  <c r="F94" i="73"/>
  <c r="F95" i="73"/>
  <c r="F96" i="73"/>
  <c r="F97" i="73"/>
  <c r="F98" i="73"/>
  <c r="F99" i="73"/>
  <c r="F100" i="73"/>
  <c r="F101" i="73"/>
  <c r="F102" i="73"/>
  <c r="F103" i="73"/>
  <c r="F104" i="73"/>
  <c r="F105" i="73"/>
  <c r="F106" i="73"/>
  <c r="F107" i="73"/>
  <c r="F108" i="73"/>
  <c r="F109" i="73"/>
  <c r="F110" i="73"/>
  <c r="F111" i="73"/>
  <c r="F112" i="73"/>
  <c r="F113" i="73"/>
  <c r="F114" i="73"/>
  <c r="F115" i="73"/>
  <c r="F116" i="73"/>
  <c r="F117" i="73"/>
  <c r="F118" i="73"/>
  <c r="F2" i="73"/>
  <c r="E3" i="73"/>
  <c r="E4" i="73"/>
  <c r="D3" i="73"/>
  <c r="D4" i="73"/>
  <c r="D5" i="73"/>
  <c r="E5" i="73" s="1"/>
  <c r="D6" i="73"/>
  <c r="E6" i="73" s="1"/>
  <c r="D7" i="73"/>
  <c r="E7" i="73" s="1"/>
  <c r="D8" i="73"/>
  <c r="E8" i="73" s="1"/>
  <c r="D9" i="73"/>
  <c r="E9" i="73" s="1"/>
  <c r="D10" i="73"/>
  <c r="E10" i="73" s="1"/>
  <c r="D11" i="73"/>
  <c r="E11" i="73" s="1"/>
  <c r="D12" i="73"/>
  <c r="E12" i="73" s="1"/>
  <c r="D13" i="73"/>
  <c r="E13" i="73" s="1"/>
  <c r="D14" i="73"/>
  <c r="E14" i="73" s="1"/>
  <c r="D15" i="73"/>
  <c r="E15" i="73" s="1"/>
  <c r="D16" i="73"/>
  <c r="E16" i="73" s="1"/>
  <c r="D17" i="73"/>
  <c r="E17" i="73" s="1"/>
  <c r="D18" i="73"/>
  <c r="E18" i="73" s="1"/>
  <c r="D19" i="73"/>
  <c r="E19" i="73" s="1"/>
  <c r="D20" i="73"/>
  <c r="E20" i="73" s="1"/>
  <c r="D21" i="73"/>
  <c r="E21" i="73" s="1"/>
  <c r="D22" i="73"/>
  <c r="E22" i="73" s="1"/>
  <c r="D23" i="73"/>
  <c r="E23" i="73" s="1"/>
  <c r="D24" i="73"/>
  <c r="E24" i="73" s="1"/>
  <c r="D25" i="73"/>
  <c r="E25" i="73" s="1"/>
  <c r="D26" i="73"/>
  <c r="E26" i="73" s="1"/>
  <c r="D27" i="73"/>
  <c r="E27" i="73" s="1"/>
  <c r="D28" i="73"/>
  <c r="E28" i="73" s="1"/>
  <c r="D29" i="73"/>
  <c r="E29" i="73" s="1"/>
  <c r="D30" i="73"/>
  <c r="E30" i="73" s="1"/>
  <c r="D31" i="73"/>
  <c r="E31" i="73" s="1"/>
  <c r="D32" i="73"/>
  <c r="E32" i="73" s="1"/>
  <c r="D33" i="73"/>
  <c r="E33" i="73" s="1"/>
  <c r="D34" i="73"/>
  <c r="E34" i="73" s="1"/>
  <c r="D35" i="73"/>
  <c r="E35" i="73" s="1"/>
  <c r="D36" i="73"/>
  <c r="E36" i="73" s="1"/>
  <c r="D37" i="73"/>
  <c r="E37" i="73" s="1"/>
  <c r="D38" i="73"/>
  <c r="E38" i="73" s="1"/>
  <c r="D39" i="73"/>
  <c r="E39" i="73" s="1"/>
  <c r="D40" i="73"/>
  <c r="E40" i="73" s="1"/>
  <c r="D41" i="73"/>
  <c r="E41" i="73" s="1"/>
  <c r="D42" i="73"/>
  <c r="E42" i="73" s="1"/>
  <c r="D43" i="73"/>
  <c r="E43" i="73" s="1"/>
  <c r="D44" i="73"/>
  <c r="E44" i="73" s="1"/>
  <c r="D45" i="73"/>
  <c r="E45" i="73" s="1"/>
  <c r="D46" i="73"/>
  <c r="E46" i="73" s="1"/>
  <c r="D47" i="73"/>
  <c r="E47" i="73" s="1"/>
  <c r="D48" i="73"/>
  <c r="E48" i="73" s="1"/>
  <c r="D49" i="73"/>
  <c r="E49" i="73" s="1"/>
  <c r="D50" i="73"/>
  <c r="E50" i="73" s="1"/>
  <c r="D51" i="73"/>
  <c r="E51" i="73" s="1"/>
  <c r="D52" i="73"/>
  <c r="E52" i="73" s="1"/>
  <c r="D53" i="73"/>
  <c r="E53" i="73" s="1"/>
  <c r="D54" i="73"/>
  <c r="E54" i="73" s="1"/>
  <c r="D55" i="73"/>
  <c r="E55" i="73" s="1"/>
  <c r="D56" i="73"/>
  <c r="E56" i="73" s="1"/>
  <c r="D57" i="73"/>
  <c r="E57" i="73" s="1"/>
  <c r="D58" i="73"/>
  <c r="E58" i="73" s="1"/>
  <c r="D59" i="73"/>
  <c r="E59" i="73" s="1"/>
  <c r="D60" i="73"/>
  <c r="E60" i="73" s="1"/>
  <c r="D61" i="73"/>
  <c r="E61" i="73" s="1"/>
  <c r="D62" i="73"/>
  <c r="E62" i="73" s="1"/>
  <c r="D63" i="73"/>
  <c r="E63" i="73" s="1"/>
  <c r="D64" i="73"/>
  <c r="E64" i="73" s="1"/>
  <c r="D65" i="73"/>
  <c r="E65" i="73" s="1"/>
  <c r="D66" i="73"/>
  <c r="E66" i="73" s="1"/>
  <c r="D67" i="73"/>
  <c r="E67" i="73" s="1"/>
  <c r="D68" i="73"/>
  <c r="E68" i="73" s="1"/>
  <c r="D69" i="73"/>
  <c r="E69" i="73" s="1"/>
  <c r="D70" i="73"/>
  <c r="E70" i="73" s="1"/>
  <c r="D71" i="73"/>
  <c r="E71" i="73" s="1"/>
  <c r="D72" i="73"/>
  <c r="E72" i="73" s="1"/>
  <c r="D73" i="73"/>
  <c r="E73" i="73" s="1"/>
  <c r="D74" i="73"/>
  <c r="E74" i="73" s="1"/>
  <c r="D75" i="73"/>
  <c r="E75" i="73" s="1"/>
  <c r="D76" i="73"/>
  <c r="E76" i="73" s="1"/>
  <c r="D77" i="73"/>
  <c r="E77" i="73" s="1"/>
  <c r="D78" i="73"/>
  <c r="E78" i="73" s="1"/>
  <c r="D79" i="73"/>
  <c r="E79" i="73" s="1"/>
  <c r="D80" i="73"/>
  <c r="E80" i="73" s="1"/>
  <c r="D81" i="73"/>
  <c r="E81" i="73" s="1"/>
  <c r="D82" i="73"/>
  <c r="E82" i="73" s="1"/>
  <c r="D83" i="73"/>
  <c r="E83" i="73" s="1"/>
  <c r="D84" i="73"/>
  <c r="E84" i="73" s="1"/>
  <c r="D85" i="73"/>
  <c r="E85" i="73" s="1"/>
  <c r="D86" i="73"/>
  <c r="E86" i="73" s="1"/>
  <c r="D87" i="73"/>
  <c r="E87" i="73" s="1"/>
  <c r="D88" i="73"/>
  <c r="E88" i="73" s="1"/>
  <c r="D89" i="73"/>
  <c r="E89" i="73" s="1"/>
  <c r="D90" i="73"/>
  <c r="E90" i="73" s="1"/>
  <c r="D91" i="73"/>
  <c r="E91" i="73" s="1"/>
  <c r="D92" i="73"/>
  <c r="E92" i="73" s="1"/>
  <c r="D93" i="73"/>
  <c r="E93" i="73" s="1"/>
  <c r="D94" i="73"/>
  <c r="E94" i="73" s="1"/>
  <c r="D95" i="73"/>
  <c r="E95" i="73" s="1"/>
  <c r="D96" i="73"/>
  <c r="E96" i="73" s="1"/>
  <c r="D97" i="73"/>
  <c r="E97" i="73" s="1"/>
  <c r="D98" i="73"/>
  <c r="E98" i="73" s="1"/>
  <c r="D99" i="73"/>
  <c r="E99" i="73" s="1"/>
  <c r="D100" i="73"/>
  <c r="E100" i="73" s="1"/>
  <c r="D101" i="73"/>
  <c r="E101" i="73" s="1"/>
  <c r="D102" i="73"/>
  <c r="E102" i="73" s="1"/>
  <c r="D103" i="73"/>
  <c r="E103" i="73" s="1"/>
  <c r="D104" i="73"/>
  <c r="E104" i="73" s="1"/>
  <c r="D105" i="73"/>
  <c r="E105" i="73" s="1"/>
  <c r="D106" i="73"/>
  <c r="E106" i="73" s="1"/>
  <c r="D107" i="73"/>
  <c r="E107" i="73" s="1"/>
  <c r="D108" i="73"/>
  <c r="E108" i="73" s="1"/>
  <c r="D109" i="73"/>
  <c r="E109" i="73" s="1"/>
  <c r="D110" i="73"/>
  <c r="E110" i="73" s="1"/>
  <c r="D111" i="73"/>
  <c r="E111" i="73" s="1"/>
  <c r="D112" i="73"/>
  <c r="E112" i="73" s="1"/>
  <c r="D113" i="73"/>
  <c r="E113" i="73" s="1"/>
  <c r="D114" i="73"/>
  <c r="E114" i="73" s="1"/>
  <c r="D115" i="73"/>
  <c r="E115" i="73" s="1"/>
  <c r="D116" i="73"/>
  <c r="E116" i="73" s="1"/>
  <c r="D117" i="73"/>
  <c r="E117" i="73" s="1"/>
  <c r="D118" i="73"/>
  <c r="E118" i="73" s="1"/>
  <c r="C2" i="73"/>
  <c r="D2" i="73"/>
  <c r="E2" i="73" s="1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C25" i="73"/>
  <c r="C26" i="73"/>
  <c r="C27" i="73"/>
  <c r="C28" i="73"/>
  <c r="C29" i="73"/>
  <c r="C30" i="73"/>
  <c r="C31" i="73"/>
  <c r="C32" i="73"/>
  <c r="C33" i="73"/>
  <c r="C34" i="73"/>
  <c r="C35" i="73"/>
  <c r="C36" i="73"/>
  <c r="C37" i="73"/>
  <c r="C38" i="73"/>
  <c r="C39" i="73"/>
  <c r="C40" i="73"/>
  <c r="C41" i="73"/>
  <c r="C42" i="73"/>
  <c r="C43" i="73"/>
  <c r="C44" i="73"/>
  <c r="C45" i="73"/>
  <c r="C46" i="73"/>
  <c r="C47" i="73"/>
  <c r="C48" i="73"/>
  <c r="C49" i="73"/>
  <c r="C50" i="73"/>
  <c r="C51" i="73"/>
  <c r="C52" i="73"/>
  <c r="C53" i="73"/>
  <c r="C54" i="73"/>
  <c r="C55" i="73"/>
  <c r="C56" i="73"/>
  <c r="C57" i="73"/>
  <c r="C58" i="73"/>
  <c r="C59" i="73"/>
  <c r="C60" i="73"/>
  <c r="C61" i="73"/>
  <c r="C62" i="73"/>
  <c r="C63" i="73"/>
  <c r="C64" i="73"/>
  <c r="C65" i="73"/>
  <c r="C66" i="73"/>
  <c r="C67" i="73"/>
  <c r="C68" i="73"/>
  <c r="C69" i="73"/>
  <c r="C70" i="73"/>
  <c r="C71" i="73"/>
  <c r="C72" i="73"/>
  <c r="C73" i="73"/>
  <c r="C74" i="73"/>
  <c r="C75" i="73"/>
  <c r="C76" i="73"/>
  <c r="C77" i="73"/>
  <c r="C78" i="73"/>
  <c r="C79" i="73"/>
  <c r="C80" i="73"/>
  <c r="C81" i="73"/>
  <c r="C82" i="73"/>
  <c r="C83" i="73"/>
  <c r="C84" i="73"/>
  <c r="C85" i="73"/>
  <c r="C86" i="73"/>
  <c r="C87" i="73"/>
  <c r="C88" i="73"/>
  <c r="C89" i="73"/>
  <c r="C90" i="73"/>
  <c r="C91" i="73"/>
  <c r="C92" i="73"/>
  <c r="C93" i="73"/>
  <c r="C94" i="73"/>
  <c r="C95" i="73"/>
  <c r="C96" i="73"/>
  <c r="C97" i="73"/>
  <c r="C98" i="73"/>
  <c r="C99" i="73"/>
  <c r="C100" i="73"/>
  <c r="C101" i="73"/>
  <c r="C102" i="73"/>
  <c r="C103" i="73"/>
  <c r="C104" i="73"/>
  <c r="C105" i="73"/>
  <c r="C106" i="73"/>
  <c r="C107" i="73"/>
  <c r="C108" i="73"/>
  <c r="C109" i="73"/>
  <c r="C110" i="73"/>
  <c r="C111" i="73"/>
  <c r="C112" i="73"/>
  <c r="C113" i="73"/>
  <c r="C114" i="73"/>
  <c r="C115" i="73"/>
  <c r="C116" i="73"/>
  <c r="C117" i="73"/>
  <c r="C118" i="73"/>
  <c r="G3" i="67"/>
  <c r="G4" i="67"/>
  <c r="G5" i="67"/>
  <c r="G6" i="67"/>
  <c r="G2" i="67"/>
  <c r="Q4" i="73" l="1" a="1"/>
  <c r="Q4" i="73" s="1"/>
  <c r="Q5" i="73" a="1"/>
  <c r="Q5" i="73" s="1"/>
  <c r="A3" i="70"/>
  <c r="A4" i="70"/>
  <c r="A5" i="70"/>
  <c r="A6" i="70"/>
  <c r="A2" i="70"/>
  <c r="A5" i="69"/>
  <c r="A6" i="69"/>
  <c r="A7" i="69"/>
  <c r="A8" i="69"/>
  <c r="E8" i="69" s="1"/>
  <c r="A4" i="69"/>
  <c r="E5" i="69"/>
  <c r="E6" i="69"/>
  <c r="E7" i="69"/>
  <c r="E4" i="69"/>
  <c r="A5" i="68"/>
  <c r="A6" i="68"/>
  <c r="A7" i="68"/>
  <c r="A8" i="68"/>
  <c r="A4" i="68"/>
  <c r="Q6" i="73" l="1" a="1"/>
  <c r="Q6" i="73" s="1"/>
  <c r="D2" i="72"/>
  <c r="C2" i="72"/>
  <c r="B2" i="72"/>
  <c r="V9" i="72"/>
  <c r="V10" i="72"/>
  <c r="V11" i="72"/>
  <c r="V12" i="72"/>
  <c r="V13" i="72"/>
  <c r="V14" i="72"/>
  <c r="V15" i="72"/>
  <c r="V16" i="72"/>
  <c r="V17" i="72"/>
  <c r="V18" i="72"/>
  <c r="V19" i="72"/>
  <c r="V20" i="72"/>
  <c r="V21" i="72"/>
  <c r="V22" i="72"/>
  <c r="V23" i="72"/>
  <c r="V24" i="72"/>
  <c r="V25" i="72"/>
  <c r="V26" i="72"/>
  <c r="V27" i="72"/>
  <c r="V3" i="72"/>
  <c r="V4" i="72"/>
  <c r="V5" i="72"/>
  <c r="V6" i="72"/>
  <c r="V7" i="72"/>
  <c r="V8" i="72"/>
  <c r="V2" i="72"/>
  <c r="U3" i="72"/>
  <c r="U4" i="72"/>
  <c r="U5" i="72"/>
  <c r="U6" i="72"/>
  <c r="U7" i="72"/>
  <c r="U8" i="72"/>
  <c r="U9" i="72"/>
  <c r="U10" i="72"/>
  <c r="U11" i="72"/>
  <c r="U12" i="72"/>
  <c r="U13" i="72"/>
  <c r="U14" i="72"/>
  <c r="U15" i="72"/>
  <c r="U16" i="72"/>
  <c r="U17" i="72"/>
  <c r="U18" i="72"/>
  <c r="U19" i="72"/>
  <c r="U20" i="72"/>
  <c r="U21" i="72"/>
  <c r="U22" i="72"/>
  <c r="U23" i="72"/>
  <c r="U24" i="72"/>
  <c r="U25" i="72"/>
  <c r="U26" i="72"/>
  <c r="U27" i="72"/>
  <c r="U2" i="72"/>
  <c r="T3" i="72"/>
  <c r="T4" i="72"/>
  <c r="T5" i="72"/>
  <c r="T6" i="72"/>
  <c r="T7" i="72"/>
  <c r="T8" i="72"/>
  <c r="T9" i="72"/>
  <c r="T10" i="72"/>
  <c r="T11" i="72"/>
  <c r="T12" i="72"/>
  <c r="T13" i="72"/>
  <c r="T14" i="72"/>
  <c r="T15" i="72"/>
  <c r="T16" i="72"/>
  <c r="T17" i="72"/>
  <c r="T18" i="72"/>
  <c r="T19" i="72"/>
  <c r="T20" i="72"/>
  <c r="T21" i="72"/>
  <c r="T22" i="72"/>
  <c r="T23" i="72"/>
  <c r="T24" i="72"/>
  <c r="T25" i="72"/>
  <c r="T26" i="72"/>
  <c r="T27" i="72"/>
  <c r="T2" i="72"/>
  <c r="S3" i="72"/>
  <c r="S4" i="72"/>
  <c r="S5" i="72"/>
  <c r="S6" i="72"/>
  <c r="S7" i="72"/>
  <c r="S8" i="72"/>
  <c r="S9" i="72"/>
  <c r="S10" i="72"/>
  <c r="S11" i="72"/>
  <c r="S12" i="72"/>
  <c r="S13" i="72"/>
  <c r="S14" i="72"/>
  <c r="S15" i="72"/>
  <c r="S16" i="72"/>
  <c r="S17" i="72"/>
  <c r="S18" i="72"/>
  <c r="S19" i="72"/>
  <c r="S20" i="72"/>
  <c r="S21" i="72"/>
  <c r="S22" i="72"/>
  <c r="S23" i="72"/>
  <c r="S24" i="72"/>
  <c r="S25" i="72"/>
  <c r="S26" i="72"/>
  <c r="S27" i="72"/>
  <c r="S2" i="72"/>
  <c r="R3" i="72"/>
  <c r="R4" i="72"/>
  <c r="R5" i="72"/>
  <c r="R6" i="72"/>
  <c r="R7" i="72"/>
  <c r="R8" i="72"/>
  <c r="R9" i="72"/>
  <c r="R10" i="72"/>
  <c r="R11" i="72"/>
  <c r="R12" i="72"/>
  <c r="R13" i="72"/>
  <c r="R14" i="72"/>
  <c r="R15" i="72"/>
  <c r="R16" i="72"/>
  <c r="R17" i="72"/>
  <c r="R18" i="72"/>
  <c r="R19" i="72"/>
  <c r="R20" i="72"/>
  <c r="R21" i="72"/>
  <c r="R22" i="72"/>
  <c r="R23" i="72"/>
  <c r="R24" i="72"/>
  <c r="R25" i="72"/>
  <c r="R26" i="72"/>
  <c r="R27" i="72"/>
  <c r="R2" i="72"/>
  <c r="N3" i="72"/>
  <c r="N4" i="72"/>
  <c r="N5" i="72"/>
  <c r="N6" i="72"/>
  <c r="N7" i="72"/>
  <c r="N8" i="72"/>
  <c r="N9" i="72"/>
  <c r="N2" i="72"/>
  <c r="M3" i="72"/>
  <c r="M4" i="72"/>
  <c r="M5" i="72"/>
  <c r="M6" i="72"/>
  <c r="M7" i="72"/>
  <c r="M8" i="72"/>
  <c r="M9" i="72"/>
  <c r="M2" i="72"/>
  <c r="K3" i="72"/>
  <c r="K4" i="72"/>
  <c r="K5" i="72"/>
  <c r="K6" i="72"/>
  <c r="K7" i="72"/>
  <c r="K8" i="72"/>
  <c r="K9" i="72"/>
  <c r="K2" i="72"/>
  <c r="J3" i="72"/>
  <c r="J4" i="72"/>
  <c r="J5" i="72"/>
  <c r="J6" i="72"/>
  <c r="J7" i="72"/>
  <c r="J8" i="72"/>
  <c r="J9" i="72"/>
  <c r="J2" i="72"/>
  <c r="H3" i="72"/>
  <c r="H4" i="72"/>
  <c r="H5" i="72"/>
  <c r="H6" i="72"/>
  <c r="H7" i="72"/>
  <c r="H8" i="72"/>
  <c r="H9" i="72"/>
  <c r="H2" i="72"/>
  <c r="E6" i="67"/>
  <c r="D5" i="67" a="1"/>
  <c r="D5" i="67" s="1"/>
  <c r="C4" i="67" a="1"/>
  <c r="C4" i="67" s="1"/>
  <c r="B3" i="67" a="1"/>
  <c r="B3" i="67" s="1"/>
  <c r="G4" i="66"/>
  <c r="G5" i="66"/>
  <c r="G6" i="66"/>
  <c r="G7" i="66"/>
  <c r="G3" i="66"/>
  <c r="C1" i="67"/>
  <c r="D1" i="67"/>
  <c r="E1" i="67"/>
  <c r="F1" i="67"/>
  <c r="B1" i="67"/>
  <c r="Q7" i="73" l="1" a="1"/>
  <c r="Q7" i="73" s="1"/>
  <c r="D6" i="67"/>
  <c r="C6" i="67"/>
  <c r="C5" i="67"/>
  <c r="B6" i="67"/>
  <c r="B5" i="67"/>
  <c r="B4" i="67"/>
  <c r="C3" i="68"/>
  <c r="D3" i="68"/>
  <c r="E3" i="68"/>
  <c r="F3" i="68"/>
  <c r="B3" i="68"/>
  <c r="A2" i="67" a="1"/>
  <c r="Q8" i="73" l="1" a="1"/>
  <c r="Q8" i="73" s="1"/>
  <c r="Q9" i="73" a="1"/>
  <c r="Q9" i="73" s="1"/>
  <c r="B4" i="69"/>
  <c r="C4" i="69" s="1"/>
  <c r="B2" i="70"/>
  <c r="D4" i="69"/>
  <c r="D5" i="69"/>
  <c r="B5" i="69"/>
  <c r="C5" i="69" s="1"/>
  <c r="B3" i="70"/>
  <c r="D6" i="69"/>
  <c r="B6" i="69"/>
  <c r="C6" i="69" s="1"/>
  <c r="B4" i="70"/>
  <c r="D7" i="69"/>
  <c r="B7" i="69"/>
  <c r="C7" i="69" s="1"/>
  <c r="B5" i="70"/>
  <c r="B6" i="70"/>
  <c r="D8" i="69"/>
  <c r="B8" i="69"/>
  <c r="C8" i="69" s="1"/>
  <c r="C4" i="68"/>
  <c r="B4" i="68"/>
  <c r="D4" i="68"/>
  <c r="E4" i="68"/>
  <c r="F4" i="68"/>
  <c r="C5" i="68"/>
  <c r="E5" i="68"/>
  <c r="D5" i="68"/>
  <c r="F5" i="68"/>
  <c r="B5" i="68"/>
  <c r="C6" i="68"/>
  <c r="E6" i="68"/>
  <c r="D6" i="68"/>
  <c r="F6" i="68"/>
  <c r="B6" i="68"/>
  <c r="D7" i="68"/>
  <c r="C7" i="68"/>
  <c r="B7" i="68"/>
  <c r="F7" i="68"/>
  <c r="E7" i="68"/>
  <c r="C8" i="68"/>
  <c r="F8" i="68"/>
  <c r="B8" i="68"/>
  <c r="D8" i="68"/>
  <c r="E8" i="68"/>
  <c r="H6" i="67" a="1"/>
  <c r="H6" i="67" s="1"/>
  <c r="A4" i="67"/>
  <c r="A3" i="67"/>
  <c r="A2" i="67"/>
  <c r="A6" i="67"/>
  <c r="A5" i="67"/>
  <c r="Q10" i="73" l="1" a="1"/>
  <c r="Q10" i="73" s="1"/>
  <c r="F8" i="69"/>
  <c r="C6" i="70" s="1"/>
  <c r="F7" i="69"/>
  <c r="C5" i="70" s="1"/>
  <c r="F6" i="69"/>
  <c r="C4" i="70" s="1"/>
  <c r="F5" i="69"/>
  <c r="C3" i="70" s="1"/>
  <c r="F4" i="69"/>
  <c r="C2" i="70" s="1"/>
  <c r="H4" i="67" a="1"/>
  <c r="H4" i="67" s="1"/>
  <c r="H2" i="67" a="1"/>
  <c r="H2" i="67" s="1"/>
  <c r="H5" i="67" a="1"/>
  <c r="H5" i="67" s="1"/>
  <c r="H3" i="67" a="1"/>
  <c r="H3" i="67" s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3" i="30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A436" i="27"/>
  <c r="A437" i="27"/>
  <c r="A438" i="27"/>
  <c r="A439" i="27"/>
  <c r="A440" i="27"/>
  <c r="A441" i="27"/>
  <c r="A442" i="27"/>
  <c r="A443" i="27"/>
  <c r="A444" i="27"/>
  <c r="A445" i="27"/>
  <c r="A446" i="27"/>
  <c r="A447" i="27"/>
  <c r="A448" i="27"/>
  <c r="A449" i="27"/>
  <c r="A450" i="27"/>
  <c r="A451" i="27"/>
  <c r="A452" i="27"/>
  <c r="A453" i="27"/>
  <c r="A454" i="27"/>
  <c r="A455" i="27"/>
  <c r="A456" i="27"/>
  <c r="A457" i="27"/>
  <c r="A458" i="27"/>
  <c r="A459" i="27"/>
  <c r="A460" i="27"/>
  <c r="A461" i="27"/>
  <c r="A462" i="27"/>
  <c r="A463" i="27"/>
  <c r="A464" i="27"/>
  <c r="A465" i="27"/>
  <c r="A466" i="27"/>
  <c r="A467" i="27"/>
  <c r="A468" i="27"/>
  <c r="A469" i="27"/>
  <c r="A470" i="27"/>
  <c r="A471" i="27"/>
  <c r="A472" i="27"/>
  <c r="A473" i="27"/>
  <c r="A474" i="27"/>
  <c r="A475" i="27"/>
  <c r="A476" i="27"/>
  <c r="A477" i="27"/>
  <c r="A478" i="27"/>
  <c r="A479" i="27"/>
  <c r="A480" i="27"/>
  <c r="A481" i="27"/>
  <c r="A482" i="27"/>
  <c r="A483" i="27"/>
  <c r="A484" i="27"/>
  <c r="A485" i="27"/>
  <c r="A486" i="27"/>
  <c r="A487" i="27"/>
  <c r="A488" i="27"/>
  <c r="A489" i="27"/>
  <c r="A490" i="27"/>
  <c r="A491" i="27"/>
  <c r="A492" i="27"/>
  <c r="A493" i="27"/>
  <c r="A494" i="27"/>
  <c r="A495" i="27"/>
  <c r="A496" i="27"/>
  <c r="A497" i="27"/>
  <c r="A498" i="27"/>
  <c r="A499" i="27"/>
  <c r="A500" i="27"/>
  <c r="A501" i="27"/>
  <c r="A502" i="27"/>
  <c r="A503" i="27"/>
  <c r="A504" i="27"/>
  <c r="A505" i="27"/>
  <c r="A506" i="27"/>
  <c r="A507" i="27"/>
  <c r="A508" i="27"/>
  <c r="A509" i="27"/>
  <c r="A510" i="27"/>
  <c r="A511" i="27"/>
  <c r="A512" i="27"/>
  <c r="A513" i="27"/>
  <c r="A514" i="27"/>
  <c r="A515" i="27"/>
  <c r="A516" i="27"/>
  <c r="A517" i="27"/>
  <c r="A518" i="27"/>
  <c r="A519" i="27"/>
  <c r="A520" i="27"/>
  <c r="A521" i="27"/>
  <c r="A522" i="27"/>
  <c r="A523" i="27"/>
  <c r="A524" i="27"/>
  <c r="A525" i="27"/>
  <c r="A526" i="27"/>
  <c r="A527" i="27"/>
  <c r="A528" i="27"/>
  <c r="A529" i="27"/>
  <c r="A530" i="27"/>
  <c r="A531" i="27"/>
  <c r="A532" i="27"/>
  <c r="A533" i="27"/>
  <c r="A534" i="27"/>
  <c r="A2" i="27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22" i="29"/>
  <c r="C3" i="28" a="1"/>
  <c r="C3" i="28" s="1"/>
  <c r="D3" i="28" a="1"/>
  <c r="D3" i="28" s="1"/>
  <c r="E3" i="28" a="1"/>
  <c r="E3" i="28" s="1"/>
  <c r="F3" i="28" a="1"/>
  <c r="F3" i="28" s="1"/>
  <c r="G3" i="28" a="1"/>
  <c r="G3" i="28" s="1"/>
  <c r="H3" i="28" a="1"/>
  <c r="H3" i="28" s="1"/>
  <c r="I3" i="28" a="1"/>
  <c r="I3" i="28" s="1"/>
  <c r="B3" i="28" a="1"/>
  <c r="B3" i="28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534" i="27"/>
  <c r="B2" i="27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3" i="28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2" i="27"/>
  <c r="F4" i="25"/>
  <c r="F5" i="25" s="1"/>
  <c r="F6" i="25" s="1"/>
  <c r="F7" i="25" s="1"/>
  <c r="F8" i="25" s="1"/>
  <c r="F9" i="25" s="1"/>
  <c r="F10" i="25" s="1"/>
  <c r="F11" i="25" s="1"/>
  <c r="F12" i="25" s="1"/>
  <c r="F13" i="25" s="1"/>
  <c r="F14" i="25" s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5" i="25" s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43" i="25" s="1"/>
  <c r="F44" i="25" s="1"/>
  <c r="F45" i="25" s="1"/>
  <c r="F46" i="25" s="1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F199" i="25" s="1"/>
  <c r="F200" i="25" s="1"/>
  <c r="F201" i="25" s="1"/>
  <c r="F202" i="25" s="1"/>
  <c r="F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3" i="25"/>
  <c r="C33" i="25"/>
  <c r="C73" i="25"/>
  <c r="C4" i="25"/>
  <c r="C68" i="25"/>
  <c r="C14" i="25"/>
  <c r="C17" i="25"/>
  <c r="C59" i="25"/>
  <c r="C36" i="25"/>
  <c r="C3" i="25"/>
  <c r="C32" i="25"/>
  <c r="C10" i="25"/>
  <c r="C63" i="25"/>
  <c r="C74" i="25"/>
  <c r="C62" i="25"/>
  <c r="C35" i="25"/>
  <c r="C72" i="25"/>
  <c r="C71" i="25"/>
  <c r="C65" i="25"/>
  <c r="C75" i="25"/>
  <c r="C31" i="25"/>
  <c r="C67" i="25"/>
  <c r="C38" i="25"/>
  <c r="C44" i="25"/>
  <c r="C19" i="25"/>
  <c r="C70" i="25"/>
  <c r="C111" i="25"/>
  <c r="C57" i="25"/>
  <c r="C41" i="25"/>
  <c r="C69" i="25"/>
  <c r="C20" i="25"/>
  <c r="C40" i="25"/>
  <c r="C21" i="25"/>
  <c r="C22" i="25"/>
  <c r="C43" i="25"/>
  <c r="C66" i="25"/>
  <c r="C5" i="25"/>
  <c r="C60" i="25"/>
  <c r="C28" i="25"/>
  <c r="C54" i="25"/>
  <c r="C58" i="25"/>
  <c r="C55" i="25"/>
  <c r="C53" i="25"/>
  <c r="C49" i="25"/>
  <c r="C26" i="25"/>
  <c r="C42" i="25"/>
  <c r="C37" i="25"/>
  <c r="C27" i="25"/>
  <c r="C30" i="25"/>
  <c r="C51" i="25"/>
  <c r="C25" i="25"/>
  <c r="C7" i="25"/>
  <c r="C9" i="25"/>
  <c r="C52" i="25"/>
  <c r="C45" i="25"/>
  <c r="C47" i="25"/>
  <c r="C29" i="25"/>
  <c r="C46" i="25"/>
  <c r="C39" i="25"/>
  <c r="C23" i="25"/>
  <c r="C48" i="25"/>
  <c r="C34" i="25"/>
  <c r="C56" i="25"/>
  <c r="C6" i="25"/>
  <c r="C50" i="25"/>
  <c r="C11" i="25"/>
  <c r="C24" i="25"/>
  <c r="C8" i="25"/>
  <c r="C12" i="25"/>
  <c r="C13" i="25"/>
  <c r="C16" i="25"/>
  <c r="C61" i="25"/>
  <c r="C15" i="25"/>
  <c r="C18" i="25"/>
  <c r="C112" i="25"/>
  <c r="C83" i="25"/>
  <c r="C115" i="25"/>
  <c r="C106" i="25"/>
  <c r="C99" i="25"/>
  <c r="C110" i="25"/>
  <c r="C116" i="25"/>
  <c r="C202" i="25"/>
  <c r="C117" i="25"/>
  <c r="C195" i="25"/>
  <c r="C101" i="25"/>
  <c r="C113" i="25"/>
  <c r="C114" i="25"/>
  <c r="C118" i="25"/>
  <c r="C121" i="25"/>
  <c r="C133" i="25"/>
  <c r="C145" i="25"/>
  <c r="C157" i="25"/>
  <c r="C168" i="25"/>
  <c r="C180" i="25"/>
  <c r="C192" i="25"/>
  <c r="C193" i="25"/>
  <c r="C194" i="25"/>
  <c r="C196" i="25"/>
  <c r="C197" i="25"/>
  <c r="C198" i="25"/>
  <c r="C199" i="25"/>
  <c r="C200" i="25"/>
  <c r="C201" i="25"/>
  <c r="C76" i="25"/>
  <c r="C77" i="25"/>
  <c r="C78" i="25"/>
  <c r="C79" i="25"/>
  <c r="C80" i="25"/>
  <c r="C81" i="25"/>
  <c r="C82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100" i="25"/>
  <c r="C102" i="25"/>
  <c r="C103" i="25"/>
  <c r="C104" i="25"/>
  <c r="C105" i="25"/>
  <c r="C107" i="25"/>
  <c r="C108" i="25"/>
  <c r="C109" i="25"/>
  <c r="C119" i="25"/>
  <c r="C120" i="25"/>
  <c r="C122" i="25"/>
  <c r="C123" i="25"/>
  <c r="C124" i="25"/>
  <c r="C125" i="25"/>
  <c r="C126" i="25"/>
  <c r="C127" i="25"/>
  <c r="C128" i="25"/>
  <c r="C129" i="25"/>
  <c r="C130" i="25"/>
  <c r="C131" i="25"/>
  <c r="C132" i="25"/>
  <c r="C134" i="25"/>
  <c r="C135" i="25"/>
  <c r="C136" i="25"/>
  <c r="C137" i="25"/>
  <c r="C138" i="25"/>
  <c r="C139" i="25"/>
  <c r="C140" i="25"/>
  <c r="C141" i="25"/>
  <c r="C142" i="25"/>
  <c r="C143" i="25"/>
  <c r="C144" i="25"/>
  <c r="C146" i="25"/>
  <c r="C147" i="25"/>
  <c r="C148" i="25"/>
  <c r="C149" i="25"/>
  <c r="C150" i="25"/>
  <c r="C151" i="25"/>
  <c r="C152" i="25"/>
  <c r="C153" i="25"/>
  <c r="C154" i="25"/>
  <c r="C155" i="25"/>
  <c r="C156" i="25"/>
  <c r="C158" i="25"/>
  <c r="C159" i="25"/>
  <c r="C160" i="25"/>
  <c r="C161" i="25"/>
  <c r="C162" i="25"/>
  <c r="C163" i="25"/>
  <c r="C164" i="25"/>
  <c r="C165" i="25"/>
  <c r="C166" i="25"/>
  <c r="C167" i="25"/>
  <c r="C169" i="25"/>
  <c r="C170" i="25"/>
  <c r="C171" i="25"/>
  <c r="C172" i="25"/>
  <c r="C173" i="25"/>
  <c r="C174" i="25"/>
  <c r="C175" i="25"/>
  <c r="C176" i="25"/>
  <c r="C177" i="25"/>
  <c r="C178" i="25"/>
  <c r="C179" i="25"/>
  <c r="C181" i="25"/>
  <c r="C182" i="25"/>
  <c r="C183" i="25"/>
  <c r="C184" i="25"/>
  <c r="C185" i="25"/>
  <c r="C186" i="25"/>
  <c r="C187" i="25"/>
  <c r="C188" i="25"/>
  <c r="C189" i="25"/>
  <c r="C190" i="25"/>
  <c r="C191" i="25"/>
  <c r="C64" i="25"/>
  <c r="C3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199" i="55"/>
  <c r="C200" i="55"/>
  <c r="C201" i="55"/>
  <c r="C2" i="55"/>
  <c r="L55" i="65"/>
  <c r="P55" i="65"/>
  <c r="T55" i="65"/>
  <c r="X55" i="65"/>
  <c r="AB55" i="65"/>
  <c r="AF55" i="65"/>
  <c r="AJ55" i="65"/>
  <c r="AN55" i="65"/>
  <c r="AR55" i="65"/>
  <c r="AV55" i="65"/>
  <c r="AZ55" i="65"/>
  <c r="BD55" i="65"/>
  <c r="BH55" i="65"/>
  <c r="BL55" i="65"/>
  <c r="BP55" i="65"/>
  <c r="H55" i="65"/>
  <c r="B3" i="32"/>
  <c r="C2" i="32"/>
  <c r="B2" i="32"/>
  <c r="Q11" i="73" l="1" a="1"/>
  <c r="Q11" i="73" s="1"/>
  <c r="Q12" i="73" s="1" a="1"/>
  <c r="Q12" i="73" s="1"/>
  <c r="Q13" i="73" s="1" a="1"/>
  <c r="Q13" i="73" s="1"/>
  <c r="Q14" i="73" s="1" a="1"/>
  <c r="Q14" i="73" s="1"/>
  <c r="Q15" i="73" s="1" a="1"/>
  <c r="Q15" i="73" s="1"/>
  <c r="Q16" i="73" s="1" a="1"/>
  <c r="Q16" i="73" s="1"/>
  <c r="Q17" i="73" s="1" a="1"/>
  <c r="Q17" i="73" s="1"/>
  <c r="Q18" i="73" s="1" a="1"/>
  <c r="Q18" i="73" s="1"/>
  <c r="Q19" i="73" s="1" a="1"/>
  <c r="Q19" i="73" s="1"/>
  <c r="Q20" i="73" s="1" a="1"/>
  <c r="Q20" i="73" s="1"/>
  <c r="Q21" i="73" s="1" a="1"/>
  <c r="Q21" i="73" s="1"/>
  <c r="Q22" i="73" s="1" a="1"/>
  <c r="Q22" i="73" s="1"/>
  <c r="Q23" i="73" s="1" a="1"/>
  <c r="Q23" i="73" s="1"/>
  <c r="Q24" i="73" s="1" a="1"/>
  <c r="Q24" i="73" s="1"/>
  <c r="Q25" i="73" s="1" a="1"/>
  <c r="Q25" i="73" s="1"/>
  <c r="Q26" i="73" s="1" a="1"/>
  <c r="Q26" i="73" s="1"/>
  <c r="Q27" i="73" s="1" a="1"/>
  <c r="Q27" i="73" s="1"/>
  <c r="E22" i="29"/>
  <c r="B4" i="28"/>
  <c r="B32" i="29"/>
  <c r="B24" i="29"/>
  <c r="U37" i="29"/>
  <c r="M37" i="29"/>
  <c r="E37" i="29"/>
  <c r="V36" i="29"/>
  <c r="N36" i="29"/>
  <c r="F36" i="29"/>
  <c r="W35" i="29"/>
  <c r="O35" i="29"/>
  <c r="G35" i="29"/>
  <c r="X34" i="29"/>
  <c r="P34" i="29"/>
  <c r="H34" i="29"/>
  <c r="Y33" i="29"/>
  <c r="Q33" i="29"/>
  <c r="I33" i="29"/>
  <c r="Z32" i="29"/>
  <c r="R32" i="29"/>
  <c r="J32" i="29"/>
  <c r="AA31" i="29"/>
  <c r="S31" i="29"/>
  <c r="K31" i="29"/>
  <c r="C31" i="29"/>
  <c r="T30" i="29"/>
  <c r="L30" i="29"/>
  <c r="D30" i="29"/>
  <c r="U29" i="29"/>
  <c r="M29" i="29"/>
  <c r="E29" i="29"/>
  <c r="V28" i="29"/>
  <c r="N28" i="29"/>
  <c r="F28" i="29"/>
  <c r="W27" i="29"/>
  <c r="O27" i="29"/>
  <c r="G27" i="29"/>
  <c r="X26" i="29"/>
  <c r="P26" i="29"/>
  <c r="H26" i="29"/>
  <c r="Y25" i="29"/>
  <c r="Q25" i="29"/>
  <c r="I25" i="29"/>
  <c r="Z24" i="29"/>
  <c r="R24" i="29"/>
  <c r="J24" i="29"/>
  <c r="AA23" i="29"/>
  <c r="S23" i="29"/>
  <c r="K23" i="29"/>
  <c r="C23" i="29"/>
  <c r="T22" i="29"/>
  <c r="L22" i="29"/>
  <c r="D22" i="29"/>
  <c r="B13" i="30"/>
  <c r="B5" i="30"/>
  <c r="C18" i="30"/>
  <c r="I16" i="30"/>
  <c r="H15" i="30"/>
  <c r="G14" i="30"/>
  <c r="F13" i="30"/>
  <c r="E12" i="30"/>
  <c r="D11" i="30"/>
  <c r="C10" i="30"/>
  <c r="I8" i="30"/>
  <c r="H7" i="30"/>
  <c r="G6" i="30"/>
  <c r="F5" i="30"/>
  <c r="E4" i="30"/>
  <c r="D3" i="30"/>
  <c r="E4" i="28"/>
  <c r="B31" i="29"/>
  <c r="B23" i="29"/>
  <c r="T37" i="29"/>
  <c r="L37" i="29"/>
  <c r="D37" i="29"/>
  <c r="U36" i="29"/>
  <c r="M36" i="29"/>
  <c r="E36" i="29"/>
  <c r="V35" i="29"/>
  <c r="N35" i="29"/>
  <c r="F35" i="29"/>
  <c r="W34" i="29"/>
  <c r="O34" i="29"/>
  <c r="G34" i="29"/>
  <c r="X33" i="29"/>
  <c r="P33" i="29"/>
  <c r="H33" i="29"/>
  <c r="Y32" i="29"/>
  <c r="Q32" i="29"/>
  <c r="I32" i="29"/>
  <c r="Z31" i="29"/>
  <c r="R31" i="29"/>
  <c r="J31" i="29"/>
  <c r="AA30" i="29"/>
  <c r="S30" i="29"/>
  <c r="K30" i="29"/>
  <c r="C30" i="29"/>
  <c r="T29" i="29"/>
  <c r="L29" i="29"/>
  <c r="D29" i="29"/>
  <c r="U28" i="29"/>
  <c r="M28" i="29"/>
  <c r="E28" i="29"/>
  <c r="V27" i="29"/>
  <c r="N27" i="29"/>
  <c r="F27" i="29"/>
  <c r="W26" i="29"/>
  <c r="O26" i="29"/>
  <c r="G26" i="29"/>
  <c r="X25" i="29"/>
  <c r="P25" i="29"/>
  <c r="H25" i="29"/>
  <c r="Y24" i="29"/>
  <c r="Q24" i="29"/>
  <c r="I24" i="29"/>
  <c r="Z23" i="29"/>
  <c r="R23" i="29"/>
  <c r="J23" i="29"/>
  <c r="AA22" i="29"/>
  <c r="S22" i="29"/>
  <c r="K22" i="29"/>
  <c r="C22" i="29"/>
  <c r="B12" i="30"/>
  <c r="B4" i="30"/>
  <c r="I17" i="30"/>
  <c r="H16" i="30"/>
  <c r="G15" i="30"/>
  <c r="F14" i="30"/>
  <c r="E13" i="30"/>
  <c r="D12" i="30"/>
  <c r="C11" i="30"/>
  <c r="I9" i="30"/>
  <c r="H8" i="30"/>
  <c r="G7" i="30"/>
  <c r="F6" i="30"/>
  <c r="E5" i="30"/>
  <c r="D4" i="30"/>
  <c r="C3" i="30"/>
  <c r="B22" i="29"/>
  <c r="B30" i="29"/>
  <c r="AA37" i="29"/>
  <c r="S37" i="29"/>
  <c r="K37" i="29"/>
  <c r="C37" i="29"/>
  <c r="T36" i="29"/>
  <c r="L36" i="29"/>
  <c r="D36" i="29"/>
  <c r="U35" i="29"/>
  <c r="M35" i="29"/>
  <c r="E35" i="29"/>
  <c r="V34" i="29"/>
  <c r="N34" i="29"/>
  <c r="F34" i="29"/>
  <c r="W33" i="29"/>
  <c r="O33" i="29"/>
  <c r="G33" i="29"/>
  <c r="X32" i="29"/>
  <c r="P32" i="29"/>
  <c r="H32" i="29"/>
  <c r="Y31" i="29"/>
  <c r="Q31" i="29"/>
  <c r="I31" i="29"/>
  <c r="Z30" i="29"/>
  <c r="R30" i="29"/>
  <c r="J30" i="29"/>
  <c r="AA29" i="29"/>
  <c r="S29" i="29"/>
  <c r="K29" i="29"/>
  <c r="C29" i="29"/>
  <c r="T28" i="29"/>
  <c r="L28" i="29"/>
  <c r="D28" i="29"/>
  <c r="U27" i="29"/>
  <c r="M27" i="29"/>
  <c r="E27" i="29"/>
  <c r="V26" i="29"/>
  <c r="N26" i="29"/>
  <c r="F26" i="29"/>
  <c r="W25" i="29"/>
  <c r="O25" i="29"/>
  <c r="G25" i="29"/>
  <c r="X24" i="29"/>
  <c r="P24" i="29"/>
  <c r="H24" i="29"/>
  <c r="Y23" i="29"/>
  <c r="Q23" i="29"/>
  <c r="I23" i="29"/>
  <c r="Z22" i="29"/>
  <c r="R22" i="29"/>
  <c r="J22" i="29"/>
  <c r="B3" i="30"/>
  <c r="B11" i="30"/>
  <c r="I18" i="30"/>
  <c r="H17" i="30"/>
  <c r="G16" i="30"/>
  <c r="F15" i="30"/>
  <c r="E14" i="30"/>
  <c r="D13" i="30"/>
  <c r="C12" i="30"/>
  <c r="I10" i="30"/>
  <c r="H9" i="30"/>
  <c r="G8" i="30"/>
  <c r="F7" i="30"/>
  <c r="E6" i="30"/>
  <c r="D5" i="30"/>
  <c r="C4" i="30"/>
  <c r="C4" i="28"/>
  <c r="B37" i="29"/>
  <c r="B29" i="29"/>
  <c r="Z37" i="29"/>
  <c r="R37" i="29"/>
  <c r="J37" i="29"/>
  <c r="AA36" i="29"/>
  <c r="S36" i="29"/>
  <c r="K36" i="29"/>
  <c r="C36" i="29"/>
  <c r="T35" i="29"/>
  <c r="L35" i="29"/>
  <c r="D35" i="29"/>
  <c r="U34" i="29"/>
  <c r="M34" i="29"/>
  <c r="E34" i="29"/>
  <c r="V33" i="29"/>
  <c r="N33" i="29"/>
  <c r="F33" i="29"/>
  <c r="W32" i="29"/>
  <c r="O32" i="29"/>
  <c r="G32" i="29"/>
  <c r="X31" i="29"/>
  <c r="P31" i="29"/>
  <c r="H31" i="29"/>
  <c r="Y30" i="29"/>
  <c r="Q30" i="29"/>
  <c r="I30" i="29"/>
  <c r="Z29" i="29"/>
  <c r="R29" i="29"/>
  <c r="J29" i="29"/>
  <c r="AA28" i="29"/>
  <c r="S28" i="29"/>
  <c r="K28" i="29"/>
  <c r="C28" i="29"/>
  <c r="T27" i="29"/>
  <c r="L27" i="29"/>
  <c r="D27" i="29"/>
  <c r="U26" i="29"/>
  <c r="M26" i="29"/>
  <c r="E26" i="29"/>
  <c r="V25" i="29"/>
  <c r="N25" i="29"/>
  <c r="F25" i="29"/>
  <c r="W24" i="29"/>
  <c r="O24" i="29"/>
  <c r="G24" i="29"/>
  <c r="X23" i="29"/>
  <c r="P23" i="29"/>
  <c r="H23" i="29"/>
  <c r="Y22" i="29"/>
  <c r="Q22" i="29"/>
  <c r="I22" i="29"/>
  <c r="B18" i="30"/>
  <c r="B10" i="30"/>
  <c r="H18" i="30"/>
  <c r="G17" i="30"/>
  <c r="F16" i="30"/>
  <c r="E15" i="30"/>
  <c r="D14" i="30"/>
  <c r="C13" i="30"/>
  <c r="I11" i="30"/>
  <c r="H10" i="30"/>
  <c r="G9" i="30"/>
  <c r="F8" i="30"/>
  <c r="E7" i="30"/>
  <c r="D6" i="30"/>
  <c r="C5" i="30"/>
  <c r="I3" i="30"/>
  <c r="B36" i="29"/>
  <c r="B28" i="29"/>
  <c r="Y37" i="29"/>
  <c r="Q37" i="29"/>
  <c r="I37" i="29"/>
  <c r="Z36" i="29"/>
  <c r="R36" i="29"/>
  <c r="J36" i="29"/>
  <c r="AA35" i="29"/>
  <c r="S35" i="29"/>
  <c r="K35" i="29"/>
  <c r="C35" i="29"/>
  <c r="T34" i="29"/>
  <c r="L34" i="29"/>
  <c r="D34" i="29"/>
  <c r="U33" i="29"/>
  <c r="M33" i="29"/>
  <c r="E33" i="29"/>
  <c r="V32" i="29"/>
  <c r="N32" i="29"/>
  <c r="F32" i="29"/>
  <c r="W31" i="29"/>
  <c r="O31" i="29"/>
  <c r="G31" i="29"/>
  <c r="X30" i="29"/>
  <c r="P30" i="29"/>
  <c r="H30" i="29"/>
  <c r="Y29" i="29"/>
  <c r="Q29" i="29"/>
  <c r="I29" i="29"/>
  <c r="Z28" i="29"/>
  <c r="R28" i="29"/>
  <c r="J28" i="29"/>
  <c r="AA27" i="29"/>
  <c r="S27" i="29"/>
  <c r="K27" i="29"/>
  <c r="C27" i="29"/>
  <c r="T26" i="29"/>
  <c r="L26" i="29"/>
  <c r="D26" i="29"/>
  <c r="U25" i="29"/>
  <c r="M25" i="29"/>
  <c r="E25" i="29"/>
  <c r="V24" i="29"/>
  <c r="N24" i="29"/>
  <c r="F24" i="29"/>
  <c r="W23" i="29"/>
  <c r="O23" i="29"/>
  <c r="G23" i="29"/>
  <c r="X22" i="29"/>
  <c r="P22" i="29"/>
  <c r="H22" i="29"/>
  <c r="B17" i="30"/>
  <c r="B9" i="30"/>
  <c r="G18" i="30"/>
  <c r="F17" i="30"/>
  <c r="E16" i="30"/>
  <c r="D15" i="30"/>
  <c r="C14" i="30"/>
  <c r="I12" i="30"/>
  <c r="H11" i="30"/>
  <c r="G10" i="30"/>
  <c r="F9" i="30"/>
  <c r="E8" i="30"/>
  <c r="D7" i="30"/>
  <c r="C6" i="30"/>
  <c r="I4" i="30"/>
  <c r="H3" i="30"/>
  <c r="B35" i="29"/>
  <c r="B27" i="29"/>
  <c r="X37" i="29"/>
  <c r="P37" i="29"/>
  <c r="H37" i="29"/>
  <c r="Y36" i="29"/>
  <c r="Q36" i="29"/>
  <c r="I36" i="29"/>
  <c r="Z35" i="29"/>
  <c r="R35" i="29"/>
  <c r="J35" i="29"/>
  <c r="AA34" i="29"/>
  <c r="S34" i="29"/>
  <c r="K34" i="29"/>
  <c r="C34" i="29"/>
  <c r="T33" i="29"/>
  <c r="L33" i="29"/>
  <c r="D33" i="29"/>
  <c r="U32" i="29"/>
  <c r="M32" i="29"/>
  <c r="E32" i="29"/>
  <c r="V31" i="29"/>
  <c r="N31" i="29"/>
  <c r="F31" i="29"/>
  <c r="W30" i="29"/>
  <c r="O30" i="29"/>
  <c r="G30" i="29"/>
  <c r="X29" i="29"/>
  <c r="P29" i="29"/>
  <c r="H29" i="29"/>
  <c r="Y28" i="29"/>
  <c r="Q28" i="29"/>
  <c r="I28" i="29"/>
  <c r="Z27" i="29"/>
  <c r="R27" i="29"/>
  <c r="J27" i="29"/>
  <c r="AA26" i="29"/>
  <c r="S26" i="29"/>
  <c r="K26" i="29"/>
  <c r="C26" i="29"/>
  <c r="T25" i="29"/>
  <c r="L25" i="29"/>
  <c r="D25" i="29"/>
  <c r="U24" i="29"/>
  <c r="M24" i="29"/>
  <c r="E24" i="29"/>
  <c r="V23" i="29"/>
  <c r="N23" i="29"/>
  <c r="F23" i="29"/>
  <c r="W22" i="29"/>
  <c r="O22" i="29"/>
  <c r="G22" i="29"/>
  <c r="B16" i="30"/>
  <c r="B8" i="30"/>
  <c r="F18" i="30"/>
  <c r="E17" i="30"/>
  <c r="D16" i="30"/>
  <c r="C15" i="30"/>
  <c r="I13" i="30"/>
  <c r="H12" i="30"/>
  <c r="G11" i="30"/>
  <c r="F10" i="30"/>
  <c r="E9" i="30"/>
  <c r="D8" i="30"/>
  <c r="C7" i="30"/>
  <c r="I5" i="30"/>
  <c r="H4" i="30"/>
  <c r="G3" i="30"/>
  <c r="H4" i="28"/>
  <c r="B34" i="29"/>
  <c r="B26" i="29"/>
  <c r="W37" i="29"/>
  <c r="O37" i="29"/>
  <c r="G37" i="29"/>
  <c r="X36" i="29"/>
  <c r="P36" i="29"/>
  <c r="H36" i="29"/>
  <c r="Y35" i="29"/>
  <c r="Q35" i="29"/>
  <c r="I35" i="29"/>
  <c r="Z34" i="29"/>
  <c r="R34" i="29"/>
  <c r="J34" i="29"/>
  <c r="AA33" i="29"/>
  <c r="S33" i="29"/>
  <c r="K33" i="29"/>
  <c r="C33" i="29"/>
  <c r="T32" i="29"/>
  <c r="L32" i="29"/>
  <c r="D32" i="29"/>
  <c r="U31" i="29"/>
  <c r="M31" i="29"/>
  <c r="E31" i="29"/>
  <c r="V30" i="29"/>
  <c r="N30" i="29"/>
  <c r="F30" i="29"/>
  <c r="W29" i="29"/>
  <c r="O29" i="29"/>
  <c r="G29" i="29"/>
  <c r="X28" i="29"/>
  <c r="P28" i="29"/>
  <c r="H28" i="29"/>
  <c r="Y27" i="29"/>
  <c r="Q27" i="29"/>
  <c r="I27" i="29"/>
  <c r="Z26" i="29"/>
  <c r="R26" i="29"/>
  <c r="J26" i="29"/>
  <c r="AA25" i="29"/>
  <c r="S25" i="29"/>
  <c r="K25" i="29"/>
  <c r="C25" i="29"/>
  <c r="T24" i="29"/>
  <c r="L24" i="29"/>
  <c r="D24" i="29"/>
  <c r="U23" i="29"/>
  <c r="M23" i="29"/>
  <c r="E23" i="29"/>
  <c r="V22" i="29"/>
  <c r="N22" i="29"/>
  <c r="F22" i="29"/>
  <c r="B15" i="30"/>
  <c r="B7" i="30"/>
  <c r="E18" i="30"/>
  <c r="D17" i="30"/>
  <c r="C16" i="30"/>
  <c r="I14" i="30"/>
  <c r="H13" i="30"/>
  <c r="G12" i="30"/>
  <c r="F11" i="30"/>
  <c r="E10" i="30"/>
  <c r="D9" i="30"/>
  <c r="C8" i="30"/>
  <c r="I6" i="30"/>
  <c r="H5" i="30"/>
  <c r="G4" i="30"/>
  <c r="F3" i="30"/>
  <c r="B33" i="29"/>
  <c r="B25" i="29"/>
  <c r="V37" i="29"/>
  <c r="N37" i="29"/>
  <c r="F37" i="29"/>
  <c r="W36" i="29"/>
  <c r="O36" i="29"/>
  <c r="G36" i="29"/>
  <c r="X35" i="29"/>
  <c r="P35" i="29"/>
  <c r="H35" i="29"/>
  <c r="Y34" i="29"/>
  <c r="Q34" i="29"/>
  <c r="I34" i="29"/>
  <c r="Z33" i="29"/>
  <c r="R33" i="29"/>
  <c r="J33" i="29"/>
  <c r="AA32" i="29"/>
  <c r="S32" i="29"/>
  <c r="K32" i="29"/>
  <c r="C32" i="29"/>
  <c r="T31" i="29"/>
  <c r="L31" i="29"/>
  <c r="D31" i="29"/>
  <c r="U30" i="29"/>
  <c r="M30" i="29"/>
  <c r="E30" i="29"/>
  <c r="V29" i="29"/>
  <c r="N29" i="29"/>
  <c r="F29" i="29"/>
  <c r="W28" i="29"/>
  <c r="O28" i="29"/>
  <c r="G28" i="29"/>
  <c r="X27" i="29"/>
  <c r="P27" i="29"/>
  <c r="H27" i="29"/>
  <c r="Y26" i="29"/>
  <c r="Q26" i="29"/>
  <c r="I26" i="29"/>
  <c r="Z25" i="29"/>
  <c r="R25" i="29"/>
  <c r="J25" i="29"/>
  <c r="AA24" i="29"/>
  <c r="S24" i="29"/>
  <c r="K24" i="29"/>
  <c r="C24" i="29"/>
  <c r="T23" i="29"/>
  <c r="L23" i="29"/>
  <c r="D23" i="29"/>
  <c r="U22" i="29"/>
  <c r="M22" i="29"/>
  <c r="B14" i="30"/>
  <c r="B6" i="30"/>
  <c r="D18" i="30"/>
  <c r="C17" i="30"/>
  <c r="I15" i="30"/>
  <c r="H14" i="30"/>
  <c r="G13" i="30"/>
  <c r="F12" i="30"/>
  <c r="E11" i="30"/>
  <c r="D10" i="30"/>
  <c r="C9" i="30"/>
  <c r="I7" i="30"/>
  <c r="H6" i="30"/>
  <c r="G5" i="30"/>
  <c r="F4" i="30"/>
  <c r="E3" i="30"/>
  <c r="I2" i="67"/>
  <c r="B1" i="68" s="1"/>
  <c r="I6" i="67"/>
  <c r="F1" i="68" s="1"/>
  <c r="I3" i="67"/>
  <c r="C1" i="68" s="1"/>
  <c r="I4" i="67"/>
  <c r="D1" i="68" s="1"/>
  <c r="I5" i="67"/>
  <c r="E1" i="68" s="1"/>
  <c r="I18" i="28"/>
  <c r="I17" i="28"/>
  <c r="I16" i="28"/>
  <c r="I15" i="28"/>
  <c r="I14" i="28"/>
  <c r="I13" i="28"/>
  <c r="I12" i="28"/>
  <c r="I11" i="28"/>
  <c r="I10" i="28"/>
  <c r="I9" i="28"/>
  <c r="I8" i="28"/>
  <c r="I7" i="28"/>
  <c r="I6" i="28"/>
  <c r="I5" i="28"/>
  <c r="I4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H17" i="28"/>
  <c r="H15" i="28"/>
  <c r="H13" i="28"/>
  <c r="H11" i="28"/>
  <c r="H9" i="28"/>
  <c r="H7" i="28"/>
  <c r="H5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H18" i="28"/>
  <c r="H16" i="28"/>
  <c r="H14" i="28"/>
  <c r="H12" i="28"/>
  <c r="H10" i="28"/>
  <c r="H8" i="28"/>
  <c r="H6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P56" i="65"/>
  <c r="BP57" i="65" s="1"/>
  <c r="AJ56" i="65"/>
  <c r="AJ57" i="65" s="1"/>
  <c r="BL56" i="65"/>
  <c r="BL57" i="65" s="1"/>
  <c r="AF56" i="65"/>
  <c r="AF57" i="65" s="1"/>
  <c r="BD56" i="65"/>
  <c r="BD57" i="65" s="1"/>
  <c r="X56" i="65"/>
  <c r="X57" i="65" s="1"/>
  <c r="AZ56" i="65"/>
  <c r="AZ57" i="65" s="1"/>
  <c r="T56" i="65"/>
  <c r="T57" i="65" s="1"/>
  <c r="AV56" i="65"/>
  <c r="AV57" i="65" s="1"/>
  <c r="P56" i="65"/>
  <c r="P57" i="65" s="1"/>
  <c r="AR56" i="65"/>
  <c r="AR57" i="65" s="1"/>
  <c r="L56" i="65"/>
  <c r="L57" i="65" s="1"/>
  <c r="AB56" i="65"/>
  <c r="AB57" i="65" s="1"/>
  <c r="AN56" i="65"/>
  <c r="AN57" i="65" s="1"/>
  <c r="BH56" i="65"/>
  <c r="BH57" i="65" s="1"/>
  <c r="H56" i="65"/>
  <c r="H57" i="65" s="1"/>
  <c r="G6" i="68" l="1"/>
  <c r="D4" i="70" s="1"/>
  <c r="E4" i="70" s="1"/>
  <c r="G4" i="68"/>
  <c r="D2" i="70" s="1"/>
  <c r="E2" i="70" s="1"/>
  <c r="G8" i="68"/>
  <c r="D6" i="70" s="1"/>
  <c r="E6" i="70" s="1"/>
  <c r="G5" i="68"/>
  <c r="D3" i="70" s="1"/>
  <c r="E3" i="70" s="1"/>
  <c r="G7" i="68"/>
  <c r="D5" i="70" s="1"/>
  <c r="E5" i="70" s="1"/>
  <c r="BP54" i="65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G27" i="63"/>
  <c r="CF27" i="63"/>
  <c r="CE27" i="63"/>
  <c r="CD27" i="63"/>
  <c r="CC27" i="63"/>
  <c r="CB27" i="63"/>
  <c r="CA27" i="63"/>
  <c r="BZ27" i="63"/>
  <c r="BY27" i="63"/>
  <c r="BX27" i="63"/>
  <c r="BW27" i="63"/>
  <c r="BV27" i="63"/>
  <c r="BU27" i="63"/>
  <c r="BT27" i="63"/>
  <c r="BS27" i="63"/>
  <c r="BR27" i="63"/>
  <c r="BQ27" i="63"/>
  <c r="BP27" i="63"/>
  <c r="BO27" i="63"/>
  <c r="BN27" i="63"/>
  <c r="BM27" i="63"/>
  <c r="BL27" i="63"/>
  <c r="BK27" i="63"/>
  <c r="BJ27" i="63"/>
  <c r="BI27" i="63"/>
  <c r="BH27" i="63"/>
  <c r="BG27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AM27" i="63"/>
  <c r="AL27" i="63"/>
  <c r="AK27" i="63"/>
  <c r="AJ27" i="63"/>
  <c r="AI27" i="63"/>
  <c r="AH27" i="63"/>
  <c r="AG27" i="63"/>
  <c r="AF27" i="63"/>
  <c r="AE27" i="63"/>
  <c r="AD27" i="63"/>
  <c r="AC27" i="63"/>
  <c r="AB27" i="63"/>
  <c r="AA27" i="63"/>
  <c r="Z27" i="63"/>
  <c r="Y27" i="63"/>
  <c r="X27" i="63"/>
  <c r="W27" i="63"/>
  <c r="V27" i="63"/>
  <c r="U27" i="63"/>
  <c r="T27" i="63"/>
  <c r="S27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C27" i="63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G17" i="63"/>
  <c r="CF17" i="63"/>
  <c r="CE17" i="63"/>
  <c r="CD17" i="63"/>
  <c r="CC17" i="63"/>
  <c r="CB17" i="63"/>
  <c r="CA17" i="63"/>
  <c r="BZ17" i="63"/>
  <c r="BY17" i="63"/>
  <c r="BX17" i="63"/>
  <c r="BW17" i="63"/>
  <c r="BV17" i="63"/>
  <c r="BU17" i="63"/>
  <c r="BT17" i="63"/>
  <c r="BS17" i="63"/>
  <c r="BR17" i="63"/>
  <c r="BQ17" i="63"/>
  <c r="BP17" i="63"/>
  <c r="BO17" i="63"/>
  <c r="BN17" i="63"/>
  <c r="BM17" i="63"/>
  <c r="BL17" i="63"/>
  <c r="BK17" i="63"/>
  <c r="BJ17" i="63"/>
  <c r="BI17" i="63"/>
  <c r="BH17" i="63"/>
  <c r="BG17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AM17" i="63"/>
  <c r="AL17" i="63"/>
  <c r="AK17" i="63"/>
  <c r="AJ17" i="63"/>
  <c r="AI17" i="63"/>
  <c r="AH17" i="63"/>
  <c r="AG17" i="63"/>
  <c r="AF17" i="63"/>
  <c r="AE17" i="63"/>
  <c r="AD17" i="63"/>
  <c r="AC17" i="63"/>
  <c r="AB17" i="63"/>
  <c r="AA17" i="63"/>
  <c r="Z17" i="63"/>
  <c r="Y17" i="63"/>
  <c r="X17" i="63"/>
  <c r="W17" i="63"/>
  <c r="V17" i="63"/>
  <c r="U17" i="63"/>
  <c r="T17" i="63"/>
  <c r="S17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C17" i="63"/>
  <c r="E10" i="63"/>
  <c r="C10" i="63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H7" i="63" l="1"/>
  <c r="I7" i="63" s="1"/>
  <c r="G10" i="63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H10" i="63"/>
  <c r="S11" i="61"/>
  <c r="Q9" i="61"/>
  <c r="R7" i="61"/>
  <c r="D10" i="63"/>
  <c r="D23" i="62"/>
  <c r="E21" i="62" s="1"/>
  <c r="P6" i="61"/>
  <c r="X6" i="61" s="1"/>
  <c r="Q11" i="61"/>
  <c r="R9" i="61"/>
  <c r="S8" i="61"/>
  <c r="X8" i="61" s="1"/>
  <c r="F10" i="63"/>
  <c r="E4" i="64"/>
  <c r="I4" i="64" s="1"/>
  <c r="E5" i="64"/>
  <c r="F6" i="64"/>
  <c r="I6" i="64" s="1"/>
  <c r="S9" i="61"/>
  <c r="F5" i="64"/>
  <c r="Y8" i="61" l="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I10" i="63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F8" i="62" l="1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J10" i="63"/>
  <c r="Z9" i="61"/>
  <c r="G9" i="61" s="1"/>
  <c r="F6" i="62"/>
  <c r="F7" i="62" s="1"/>
  <c r="Z8" i="61"/>
  <c r="G8" i="61" s="1"/>
  <c r="M6" i="61" l="1"/>
  <c r="K6" i="61"/>
  <c r="I6" i="61"/>
  <c r="E6" i="61"/>
  <c r="M9" i="61"/>
  <c r="I9" i="61"/>
  <c r="K9" i="61"/>
  <c r="K4" i="64"/>
  <c r="D38" i="65" s="1"/>
  <c r="C38" i="65" s="1"/>
  <c r="L7" i="63"/>
  <c r="K10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M7" i="63" l="1"/>
  <c r="L10" i="63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L31" i="61" l="1"/>
  <c r="J31" i="61"/>
  <c r="I31" i="61"/>
  <c r="K31" i="61"/>
  <c r="N7" i="63"/>
  <c r="M10" i="63"/>
  <c r="O7" i="63" l="1"/>
  <c r="N10" i="63"/>
  <c r="P7" i="63" l="1"/>
  <c r="O10" i="63"/>
  <c r="Q7" i="63" l="1"/>
  <c r="P10" i="63"/>
  <c r="Q10" i="63" l="1"/>
  <c r="R7" i="63"/>
  <c r="S7" i="63" l="1"/>
  <c r="R10" i="63"/>
  <c r="T7" i="63" l="1"/>
  <c r="S10" i="63"/>
  <c r="U7" i="63" l="1"/>
  <c r="T10" i="63"/>
  <c r="V7" i="63" l="1"/>
  <c r="U10" i="63"/>
  <c r="W7" i="63" l="1"/>
  <c r="V10" i="63"/>
  <c r="S2" i="73" l="1" a="1"/>
  <c r="X7" i="63"/>
  <c r="W10" i="63"/>
  <c r="S2" i="73" l="1"/>
  <c r="AE2" i="73"/>
  <c r="AL2" i="73"/>
  <c r="W2" i="73"/>
  <c r="V2" i="73"/>
  <c r="AR2" i="73"/>
  <c r="AD2" i="73"/>
  <c r="AP2" i="73"/>
  <c r="T2" i="73"/>
  <c r="Z2" i="73"/>
  <c r="AK2" i="73"/>
  <c r="AJ2" i="73"/>
  <c r="AQ2" i="73"/>
  <c r="AC2" i="73"/>
  <c r="AB2" i="73"/>
  <c r="AI2" i="73"/>
  <c r="U2" i="73"/>
  <c r="AA2" i="73"/>
  <c r="AH2" i="73"/>
  <c r="AG2" i="73"/>
  <c r="AO2" i="73"/>
  <c r="X2" i="73"/>
  <c r="Y2" i="73"/>
  <c r="AN2" i="73"/>
  <c r="AF2" i="73"/>
  <c r="AM2" i="73"/>
  <c r="Y7" i="63"/>
  <c r="X10" i="63"/>
  <c r="AI37" i="73" l="1"/>
  <c r="AI19" i="73"/>
  <c r="AI6" i="73" a="1"/>
  <c r="AI6" i="73" s="1"/>
  <c r="AI7" i="73" a="1"/>
  <c r="AI7" i="73" s="1"/>
  <c r="AI11" i="73" a="1"/>
  <c r="AI11" i="73" s="1"/>
  <c r="AI8" i="73" a="1"/>
  <c r="AI8" i="73" s="1"/>
  <c r="AI10" i="73" a="1"/>
  <c r="AI10" i="73" s="1"/>
  <c r="AI18" i="73" a="1"/>
  <c r="AI18" i="73" s="1"/>
  <c r="AI5" i="73" a="1"/>
  <c r="AI5" i="73" s="1"/>
  <c r="AI17" i="73" a="1"/>
  <c r="AI17" i="73" s="1"/>
  <c r="AI16" i="73" a="1"/>
  <c r="AI16" i="73" s="1"/>
  <c r="AI9" i="73" a="1"/>
  <c r="AI9" i="73" s="1"/>
  <c r="AI15" i="73" a="1"/>
  <c r="AI15" i="73" s="1"/>
  <c r="AI14" i="73" a="1"/>
  <c r="AI14" i="73" s="1"/>
  <c r="AI13" i="73" a="1"/>
  <c r="AI13" i="73" s="1"/>
  <c r="AI12" i="73" a="1"/>
  <c r="AI12" i="73" s="1"/>
  <c r="AI3" i="73" a="1"/>
  <c r="AI3" i="73" s="1"/>
  <c r="AI4" i="73" a="1"/>
  <c r="AI4" i="73" s="1"/>
  <c r="AP37" i="73"/>
  <c r="AP10" i="73" a="1"/>
  <c r="AP10" i="73" s="1"/>
  <c r="AP18" i="73" a="1"/>
  <c r="AP18" i="73" s="1"/>
  <c r="AP9" i="73" a="1"/>
  <c r="AP9" i="73" s="1"/>
  <c r="AP17" i="73" a="1"/>
  <c r="AP17" i="73" s="1"/>
  <c r="AP16" i="73" a="1"/>
  <c r="AP16" i="73" s="1"/>
  <c r="AP4" i="73" a="1"/>
  <c r="AP4" i="73" s="1"/>
  <c r="AP5" i="73" a="1"/>
  <c r="AP5" i="73" s="1"/>
  <c r="AP6" i="73" a="1"/>
  <c r="AP6" i="73" s="1"/>
  <c r="AP7" i="73" a="1"/>
  <c r="AP7" i="73" s="1"/>
  <c r="AP15" i="73" a="1"/>
  <c r="AP15" i="73" s="1"/>
  <c r="AP8" i="73" a="1"/>
  <c r="AP8" i="73" s="1"/>
  <c r="AP14" i="73" a="1"/>
  <c r="AP14" i="73" s="1"/>
  <c r="AP13" i="73" a="1"/>
  <c r="AP13" i="73" s="1"/>
  <c r="AP12" i="73" a="1"/>
  <c r="AP12" i="73" s="1"/>
  <c r="AP19" i="73"/>
  <c r="AP11" i="73" a="1"/>
  <c r="AP11" i="73" s="1"/>
  <c r="AP3" i="73" a="1"/>
  <c r="AP3" i="73" s="1"/>
  <c r="AB37" i="73"/>
  <c r="AB5" i="73" a="1"/>
  <c r="AB5" i="73" s="1"/>
  <c r="AB12" i="73" a="1"/>
  <c r="AB12" i="73" s="1"/>
  <c r="AB19" i="73"/>
  <c r="AB11" i="73" a="1"/>
  <c r="AB11" i="73" s="1"/>
  <c r="AB6" i="73" a="1"/>
  <c r="AB6" i="73" s="1"/>
  <c r="AB7" i="73" a="1"/>
  <c r="AB7" i="73" s="1"/>
  <c r="AB10" i="73" a="1"/>
  <c r="AB10" i="73" s="1"/>
  <c r="AB18" i="73" a="1"/>
  <c r="AB18" i="73" s="1"/>
  <c r="AB8" i="73" a="1"/>
  <c r="AB8" i="73" s="1"/>
  <c r="AB17" i="73" a="1"/>
  <c r="AB17" i="73" s="1"/>
  <c r="AB16" i="73" a="1"/>
  <c r="AB16" i="73" s="1"/>
  <c r="AB9" i="73" a="1"/>
  <c r="AB9" i="73" s="1"/>
  <c r="AB15" i="73" a="1"/>
  <c r="AB15" i="73" s="1"/>
  <c r="AB14" i="73" a="1"/>
  <c r="AB14" i="73" s="1"/>
  <c r="AB13" i="73" a="1"/>
  <c r="AB13" i="73" s="1"/>
  <c r="AB4" i="73" a="1"/>
  <c r="AB4" i="73" s="1"/>
  <c r="AB3" i="73" a="1"/>
  <c r="AB3" i="73" s="1"/>
  <c r="AC37" i="73"/>
  <c r="AC13" i="73" a="1"/>
  <c r="AC13" i="73" s="1"/>
  <c r="AC12" i="73" a="1"/>
  <c r="AC12" i="73" s="1"/>
  <c r="AC19" i="73"/>
  <c r="AC11" i="73" a="1"/>
  <c r="AC11" i="73" s="1"/>
  <c r="AC6" i="73" a="1"/>
  <c r="AC6" i="73" s="1"/>
  <c r="AC7" i="73" a="1"/>
  <c r="AC7" i="73" s="1"/>
  <c r="AC10" i="73" a="1"/>
  <c r="AC10" i="73" s="1"/>
  <c r="AC18" i="73" a="1"/>
  <c r="AC18" i="73" s="1"/>
  <c r="AC8" i="73" a="1"/>
  <c r="AC8" i="73" s="1"/>
  <c r="AC17" i="73" a="1"/>
  <c r="AC17" i="73" s="1"/>
  <c r="AC3" i="73" a="1"/>
  <c r="AC3" i="73" s="1"/>
  <c r="AC14" i="73" a="1"/>
  <c r="AC14" i="73" s="1"/>
  <c r="AC16" i="73" a="1"/>
  <c r="AC16" i="73" s="1"/>
  <c r="AC4" i="73" a="1"/>
  <c r="AC4" i="73" s="1"/>
  <c r="AC9" i="73" a="1"/>
  <c r="AC9" i="73" s="1"/>
  <c r="AC15" i="73" a="1"/>
  <c r="AC15" i="73" s="1"/>
  <c r="AC5" i="73" a="1"/>
  <c r="AC5" i="73" s="1"/>
  <c r="AQ37" i="73"/>
  <c r="AQ19" i="73"/>
  <c r="AQ3" i="73" a="1"/>
  <c r="AQ3" i="73" s="1"/>
  <c r="AQ4" i="73" a="1"/>
  <c r="AQ4" i="73" s="1"/>
  <c r="AQ12" i="73" a="1"/>
  <c r="AQ12" i="73" s="1"/>
  <c r="AQ18" i="73" a="1"/>
  <c r="AQ18" i="73" s="1"/>
  <c r="AQ11" i="73" a="1"/>
  <c r="AQ11" i="73" s="1"/>
  <c r="AQ14" i="73" a="1"/>
  <c r="AQ14" i="73" s="1"/>
  <c r="AQ7" i="73" a="1"/>
  <c r="AQ7" i="73" s="1"/>
  <c r="AQ8" i="73" a="1"/>
  <c r="AQ8" i="73" s="1"/>
  <c r="AQ16" i="73" a="1"/>
  <c r="AQ16" i="73" s="1"/>
  <c r="AQ9" i="73" a="1"/>
  <c r="AQ9" i="73" s="1"/>
  <c r="AQ17" i="73" a="1"/>
  <c r="AQ17" i="73" s="1"/>
  <c r="AQ15" i="73" a="1"/>
  <c r="AQ15" i="73" s="1"/>
  <c r="AQ5" i="73" a="1"/>
  <c r="AQ5" i="73" s="1"/>
  <c r="AQ6" i="73" a="1"/>
  <c r="AQ6" i="73" s="1"/>
  <c r="AQ10" i="73" a="1"/>
  <c r="AQ10" i="73" s="1"/>
  <c r="AQ13" i="73" a="1"/>
  <c r="AQ13" i="73" s="1"/>
  <c r="V37" i="73"/>
  <c r="V14" i="73" a="1"/>
  <c r="V14" i="73" s="1"/>
  <c r="V13" i="73" a="1"/>
  <c r="V13" i="73" s="1"/>
  <c r="V15" i="73" a="1"/>
  <c r="V15" i="73" s="1"/>
  <c r="V12" i="73" a="1"/>
  <c r="V12" i="73" s="1"/>
  <c r="V19" i="73"/>
  <c r="V11" i="73" a="1"/>
  <c r="V11" i="73" s="1"/>
  <c r="V10" i="73" a="1"/>
  <c r="V10" i="73" s="1"/>
  <c r="V18" i="73" a="1"/>
  <c r="V18" i="73" s="1"/>
  <c r="V17" i="73" a="1"/>
  <c r="V17" i="73" s="1"/>
  <c r="V16" i="73" a="1"/>
  <c r="V16" i="73" s="1"/>
  <c r="V9" i="73" a="1"/>
  <c r="V9" i="73" s="1"/>
  <c r="V5" i="73" a="1"/>
  <c r="V5" i="73" s="1"/>
  <c r="V3" i="73" a="1"/>
  <c r="V3" i="73" s="1"/>
  <c r="V4" i="73" a="1"/>
  <c r="V4" i="73" s="1"/>
  <c r="V8" i="73" a="1"/>
  <c r="V8" i="73" s="1"/>
  <c r="V6" i="73" a="1"/>
  <c r="V6" i="73" s="1"/>
  <c r="V7" i="73" a="1"/>
  <c r="V7" i="73" s="1"/>
  <c r="AG37" i="73"/>
  <c r="AG17" i="73" a="1"/>
  <c r="AG17" i="73" s="1"/>
  <c r="AG16" i="73" a="1"/>
  <c r="AG16" i="73" s="1"/>
  <c r="AG9" i="73" a="1"/>
  <c r="AG9" i="73" s="1"/>
  <c r="AG15" i="73" a="1"/>
  <c r="AG15" i="73" s="1"/>
  <c r="AG14" i="73" a="1"/>
  <c r="AG14" i="73" s="1"/>
  <c r="AG13" i="73" a="1"/>
  <c r="AG13" i="73" s="1"/>
  <c r="AG12" i="73" a="1"/>
  <c r="AG12" i="73" s="1"/>
  <c r="AG18" i="73" a="1"/>
  <c r="AG18" i="73" s="1"/>
  <c r="AG19" i="73"/>
  <c r="AG6" i="73" a="1"/>
  <c r="AG6" i="73" s="1"/>
  <c r="AG7" i="73" a="1"/>
  <c r="AG7" i="73" s="1"/>
  <c r="AG11" i="73" a="1"/>
  <c r="AG11" i="73" s="1"/>
  <c r="AG8" i="73" a="1"/>
  <c r="AG8" i="73" s="1"/>
  <c r="AG10" i="73" a="1"/>
  <c r="AG10" i="73" s="1"/>
  <c r="AG5" i="73" a="1"/>
  <c r="AG5" i="73" s="1"/>
  <c r="AG4" i="73" a="1"/>
  <c r="AG4" i="73" s="1"/>
  <c r="AG3" i="73" a="1"/>
  <c r="AG3" i="73" s="1"/>
  <c r="AJ37" i="73"/>
  <c r="AJ12" i="73" a="1"/>
  <c r="AJ12" i="73" s="1"/>
  <c r="AJ19" i="73"/>
  <c r="AJ11" i="73" a="1"/>
  <c r="AJ11" i="73" s="1"/>
  <c r="AJ10" i="73" a="1"/>
  <c r="AJ10" i="73" s="1"/>
  <c r="AJ18" i="73" a="1"/>
  <c r="AJ18" i="73" s="1"/>
  <c r="AJ17" i="73" a="1"/>
  <c r="AJ17" i="73" s="1"/>
  <c r="AJ16" i="73" a="1"/>
  <c r="AJ16" i="73" s="1"/>
  <c r="AJ15" i="73" a="1"/>
  <c r="AJ15" i="73" s="1"/>
  <c r="AJ14" i="73" a="1"/>
  <c r="AJ14" i="73" s="1"/>
  <c r="AJ13" i="73" a="1"/>
  <c r="AJ13" i="73" s="1"/>
  <c r="AJ4" i="73" a="1"/>
  <c r="AJ4" i="73" s="1"/>
  <c r="AJ5" i="73" a="1"/>
  <c r="AJ5" i="73" s="1"/>
  <c r="AJ7" i="73" a="1"/>
  <c r="AJ7" i="73" s="1"/>
  <c r="AJ8" i="73" a="1"/>
  <c r="AJ8" i="73" s="1"/>
  <c r="AJ9" i="73" a="1"/>
  <c r="AJ9" i="73" s="1"/>
  <c r="AJ3" i="73" a="1"/>
  <c r="AJ3" i="73" s="1"/>
  <c r="AJ6" i="73" a="1"/>
  <c r="AJ6" i="73" s="1"/>
  <c r="AA37" i="73"/>
  <c r="AA19" i="73"/>
  <c r="AA11" i="73" a="1"/>
  <c r="AA11" i="73" s="1"/>
  <c r="AA6" i="73" a="1"/>
  <c r="AA6" i="73" s="1"/>
  <c r="AA7" i="73" a="1"/>
  <c r="AA7" i="73" s="1"/>
  <c r="AA10" i="73" a="1"/>
  <c r="AA10" i="73" s="1"/>
  <c r="AA18" i="73" a="1"/>
  <c r="AA18" i="73" s="1"/>
  <c r="AA8" i="73" a="1"/>
  <c r="AA8" i="73" s="1"/>
  <c r="AA17" i="73" a="1"/>
  <c r="AA17" i="73" s="1"/>
  <c r="AA16" i="73" a="1"/>
  <c r="AA16" i="73" s="1"/>
  <c r="AA9" i="73" a="1"/>
  <c r="AA9" i="73" s="1"/>
  <c r="AA15" i="73" a="1"/>
  <c r="AA15" i="73" s="1"/>
  <c r="AA14" i="73" a="1"/>
  <c r="AA14" i="73" s="1"/>
  <c r="AA13" i="73" a="1"/>
  <c r="AA13" i="73" s="1"/>
  <c r="AA12" i="73" a="1"/>
  <c r="AA12" i="73" s="1"/>
  <c r="AA3" i="73" a="1"/>
  <c r="AA3" i="73" s="1"/>
  <c r="AA5" i="73" a="1"/>
  <c r="AA5" i="73" s="1"/>
  <c r="AA4" i="73" a="1"/>
  <c r="AA4" i="73" s="1"/>
  <c r="AN37" i="73"/>
  <c r="AN9" i="73" a="1"/>
  <c r="AN9" i="73" s="1"/>
  <c r="AN16" i="73" a="1"/>
  <c r="AN16" i="73" s="1"/>
  <c r="AN15" i="73" a="1"/>
  <c r="AN15" i="73" s="1"/>
  <c r="AN6" i="73" a="1"/>
  <c r="AN6" i="73" s="1"/>
  <c r="AN7" i="73" a="1"/>
  <c r="AN7" i="73" s="1"/>
  <c r="AN14" i="73" a="1"/>
  <c r="AN14" i="73" s="1"/>
  <c r="AN8" i="73" a="1"/>
  <c r="AN8" i="73" s="1"/>
  <c r="AN13" i="73" a="1"/>
  <c r="AN13" i="73" s="1"/>
  <c r="AN17" i="73" a="1"/>
  <c r="AN17" i="73" s="1"/>
  <c r="AN12" i="73" a="1"/>
  <c r="AN12" i="73" s="1"/>
  <c r="AN19" i="73"/>
  <c r="AN11" i="73" a="1"/>
  <c r="AN11" i="73" s="1"/>
  <c r="AN10" i="73" a="1"/>
  <c r="AN10" i="73" s="1"/>
  <c r="AN18" i="73" a="1"/>
  <c r="AN18" i="73" s="1"/>
  <c r="AN5" i="73" a="1"/>
  <c r="AN5" i="73" s="1"/>
  <c r="AN4" i="73" a="1"/>
  <c r="AN4" i="73" s="1"/>
  <c r="AN3" i="73" a="1"/>
  <c r="AN3" i="73" s="1"/>
  <c r="Y37" i="73"/>
  <c r="Y8" i="73" a="1"/>
  <c r="Y8" i="73" s="1"/>
  <c r="Y17" i="73" a="1"/>
  <c r="Y17" i="73" s="1"/>
  <c r="Y16" i="73" a="1"/>
  <c r="Y16" i="73" s="1"/>
  <c r="Y9" i="73" a="1"/>
  <c r="Y9" i="73" s="1"/>
  <c r="Y15" i="73" a="1"/>
  <c r="Y15" i="73" s="1"/>
  <c r="Y18" i="73" a="1"/>
  <c r="Y18" i="73" s="1"/>
  <c r="Y14" i="73" a="1"/>
  <c r="Y14" i="73" s="1"/>
  <c r="Y4" i="73" a="1"/>
  <c r="Y4" i="73" s="1"/>
  <c r="Y13" i="73" a="1"/>
  <c r="Y13" i="73" s="1"/>
  <c r="Y12" i="73" a="1"/>
  <c r="Y12" i="73" s="1"/>
  <c r="Y19" i="73"/>
  <c r="Y11" i="73" a="1"/>
  <c r="Y11" i="73" s="1"/>
  <c r="Y6" i="73" a="1"/>
  <c r="Y6" i="73" s="1"/>
  <c r="Y7" i="73" a="1"/>
  <c r="Y7" i="73" s="1"/>
  <c r="Y10" i="73" a="1"/>
  <c r="Y10" i="73" s="1"/>
  <c r="Y5" i="73" a="1"/>
  <c r="Y5" i="73" s="1"/>
  <c r="Y3" i="73" a="1"/>
  <c r="Y3" i="73" s="1"/>
  <c r="AD37" i="73"/>
  <c r="AD14" i="73" a="1"/>
  <c r="AD14" i="73" s="1"/>
  <c r="AD13" i="73" a="1"/>
  <c r="AD13" i="73" s="1"/>
  <c r="AD8" i="73" a="1"/>
  <c r="AD8" i="73" s="1"/>
  <c r="AD12" i="73" a="1"/>
  <c r="AD12" i="73" s="1"/>
  <c r="AD19" i="73"/>
  <c r="AD11" i="73" a="1"/>
  <c r="AD11" i="73" s="1"/>
  <c r="AD15" i="73" a="1"/>
  <c r="AD15" i="73" s="1"/>
  <c r="AD10" i="73" a="1"/>
  <c r="AD10" i="73" s="1"/>
  <c r="AD18" i="73" a="1"/>
  <c r="AD18" i="73" s="1"/>
  <c r="AD17" i="73" a="1"/>
  <c r="AD17" i="73" s="1"/>
  <c r="AD16" i="73" a="1"/>
  <c r="AD16" i="73" s="1"/>
  <c r="AD9" i="73" a="1"/>
  <c r="AD9" i="73" s="1"/>
  <c r="AD7" i="73" a="1"/>
  <c r="AD7" i="73" s="1"/>
  <c r="AD3" i="73" a="1"/>
  <c r="AD3" i="73" s="1"/>
  <c r="AD4" i="73" a="1"/>
  <c r="AD4" i="73" s="1"/>
  <c r="AD6" i="73" a="1"/>
  <c r="AD6" i="73" s="1"/>
  <c r="AD5" i="73" a="1"/>
  <c r="AD5" i="73" s="1"/>
  <c r="X37" i="73"/>
  <c r="X16" i="73" a="1"/>
  <c r="X16" i="73" s="1"/>
  <c r="X9" i="73" a="1"/>
  <c r="X9" i="73" s="1"/>
  <c r="X15" i="73" a="1"/>
  <c r="X15" i="73" s="1"/>
  <c r="X17" i="73" a="1"/>
  <c r="X17" i="73" s="1"/>
  <c r="X14" i="73" a="1"/>
  <c r="X14" i="73" s="1"/>
  <c r="X13" i="73" a="1"/>
  <c r="X13" i="73" s="1"/>
  <c r="X12" i="73" a="1"/>
  <c r="X12" i="73" s="1"/>
  <c r="X19" i="73"/>
  <c r="X11" i="73" a="1"/>
  <c r="X11" i="73" s="1"/>
  <c r="X5" i="73" a="1"/>
  <c r="X5" i="73" s="1"/>
  <c r="X6" i="73" a="1"/>
  <c r="X6" i="73" s="1"/>
  <c r="X7" i="73" a="1"/>
  <c r="X7" i="73" s="1"/>
  <c r="X10" i="73" a="1"/>
  <c r="X10" i="73" s="1"/>
  <c r="X18" i="73" a="1"/>
  <c r="X18" i="73" s="1"/>
  <c r="X8" i="73" a="1"/>
  <c r="X8" i="73" s="1"/>
  <c r="X4" i="73" a="1"/>
  <c r="X4" i="73" s="1"/>
  <c r="X3" i="73" a="1"/>
  <c r="X3" i="73" s="1"/>
  <c r="AR37" i="73"/>
  <c r="AR19" i="73"/>
  <c r="AR11" i="73" a="1"/>
  <c r="AR11" i="73" s="1"/>
  <c r="AR12" i="73" a="1"/>
  <c r="AR12" i="73" s="1"/>
  <c r="AR13" i="73" a="1"/>
  <c r="AR13" i="73" s="1"/>
  <c r="AR4" i="73" a="1"/>
  <c r="AR4" i="73" s="1"/>
  <c r="AR3" i="73" a="1"/>
  <c r="AR3" i="73" s="1"/>
  <c r="AR17" i="73" a="1"/>
  <c r="AR17" i="73" s="1"/>
  <c r="AR7" i="73" a="1"/>
  <c r="AR7" i="73" s="1"/>
  <c r="AR5" i="73" a="1"/>
  <c r="AR5" i="73" s="1"/>
  <c r="AR8" i="73" a="1"/>
  <c r="AR8" i="73" s="1"/>
  <c r="AR14" i="73" a="1"/>
  <c r="AR14" i="73" s="1"/>
  <c r="AR9" i="73" a="1"/>
  <c r="AR9" i="73" s="1"/>
  <c r="AR10" i="73" a="1"/>
  <c r="AR10" i="73" s="1"/>
  <c r="AR6" i="73" a="1"/>
  <c r="AR6" i="73" s="1"/>
  <c r="AR15" i="73" a="1"/>
  <c r="AR15" i="73" s="1"/>
  <c r="AR18" i="73" a="1"/>
  <c r="AR18" i="73" s="1"/>
  <c r="AR16" i="73" a="1"/>
  <c r="AR16" i="73" s="1"/>
  <c r="AO37" i="73"/>
  <c r="AO17" i="73" a="1"/>
  <c r="AO17" i="73" s="1"/>
  <c r="AO16" i="73" a="1"/>
  <c r="AO16" i="73" s="1"/>
  <c r="AO4" i="73" a="1"/>
  <c r="AO4" i="73" s="1"/>
  <c r="AO15" i="73" a="1"/>
  <c r="AO15" i="73" s="1"/>
  <c r="AO3" i="73" a="1"/>
  <c r="AO3" i="73" s="1"/>
  <c r="AO14" i="73" a="1"/>
  <c r="AO14" i="73" s="1"/>
  <c r="AO13" i="73" a="1"/>
  <c r="AO13" i="73" s="1"/>
  <c r="AO12" i="73" a="1"/>
  <c r="AO12" i="73" s="1"/>
  <c r="AO19" i="73"/>
  <c r="AO11" i="73" a="1"/>
  <c r="AO11" i="73" s="1"/>
  <c r="AO10" i="73" a="1"/>
  <c r="AO10" i="73" s="1"/>
  <c r="AO18" i="73" a="1"/>
  <c r="AO18" i="73" s="1"/>
  <c r="AO5" i="73" a="1"/>
  <c r="AO5" i="73" s="1"/>
  <c r="AO7" i="73" a="1"/>
  <c r="AO7" i="73" s="1"/>
  <c r="AO6" i="73" a="1"/>
  <c r="AO6" i="73" s="1"/>
  <c r="AO9" i="73" a="1"/>
  <c r="AO9" i="73" s="1"/>
  <c r="AO8" i="73" a="1"/>
  <c r="AO8" i="73" s="1"/>
  <c r="W37" i="73"/>
  <c r="W9" i="73" a="1"/>
  <c r="W9" i="73" s="1"/>
  <c r="W15" i="73" a="1"/>
  <c r="W15" i="73" s="1"/>
  <c r="W14" i="73" a="1"/>
  <c r="W14" i="73" s="1"/>
  <c r="W13" i="73" a="1"/>
  <c r="W13" i="73" s="1"/>
  <c r="W3" i="73" a="1"/>
  <c r="W3" i="73" s="1"/>
  <c r="W12" i="73" a="1"/>
  <c r="W12" i="73" s="1"/>
  <c r="W19" i="73"/>
  <c r="W11" i="73" a="1"/>
  <c r="W11" i="73" s="1"/>
  <c r="W10" i="73" a="1"/>
  <c r="W10" i="73" s="1"/>
  <c r="W18" i="73" a="1"/>
  <c r="W18" i="73" s="1"/>
  <c r="W16" i="73" a="1"/>
  <c r="W16" i="73" s="1"/>
  <c r="W8" i="73" a="1"/>
  <c r="W8" i="73" s="1"/>
  <c r="W17" i="73" a="1"/>
  <c r="W17" i="73" s="1"/>
  <c r="W4" i="73" a="1"/>
  <c r="W4" i="73" s="1"/>
  <c r="W7" i="73" a="1"/>
  <c r="W7" i="73" s="1"/>
  <c r="W5" i="73" a="1"/>
  <c r="W5" i="73" s="1"/>
  <c r="W6" i="73" a="1"/>
  <c r="W6" i="73" s="1"/>
  <c r="AH37" i="73"/>
  <c r="AH8" i="73" a="1"/>
  <c r="AH8" i="73" s="1"/>
  <c r="AH10" i="73" a="1"/>
  <c r="AH10" i="73" s="1"/>
  <c r="AH18" i="73" a="1"/>
  <c r="AH18" i="73" s="1"/>
  <c r="AH17" i="73" a="1"/>
  <c r="AH17" i="73" s="1"/>
  <c r="AH16" i="73" a="1"/>
  <c r="AH16" i="73" s="1"/>
  <c r="AH9" i="73" a="1"/>
  <c r="AH9" i="73" s="1"/>
  <c r="AH15" i="73" a="1"/>
  <c r="AH15" i="73" s="1"/>
  <c r="AH14" i="73" a="1"/>
  <c r="AH14" i="73" s="1"/>
  <c r="AH13" i="73" a="1"/>
  <c r="AH13" i="73" s="1"/>
  <c r="AH12" i="73" a="1"/>
  <c r="AH12" i="73" s="1"/>
  <c r="AH19" i="73"/>
  <c r="AH6" i="73" a="1"/>
  <c r="AH6" i="73" s="1"/>
  <c r="AH7" i="73" a="1"/>
  <c r="AH7" i="73" s="1"/>
  <c r="AH11" i="73" a="1"/>
  <c r="AH11" i="73" s="1"/>
  <c r="AH5" i="73" a="1"/>
  <c r="AH5" i="73" s="1"/>
  <c r="AH3" i="73" a="1"/>
  <c r="AH3" i="73" s="1"/>
  <c r="AH4" i="73" a="1"/>
  <c r="AH4" i="73" s="1"/>
  <c r="AK37" i="73"/>
  <c r="AK13" i="73" a="1"/>
  <c r="AK13" i="73" s="1"/>
  <c r="AK6" i="73" a="1"/>
  <c r="AK6" i="73" s="1"/>
  <c r="AK7" i="73" a="1"/>
  <c r="AK7" i="73" s="1"/>
  <c r="AK12" i="73" a="1"/>
  <c r="AK12" i="73" s="1"/>
  <c r="AK19" i="73"/>
  <c r="AK8" i="73" a="1"/>
  <c r="AK8" i="73" s="1"/>
  <c r="AK11" i="73" a="1"/>
  <c r="AK11" i="73" s="1"/>
  <c r="AK5" i="73" a="1"/>
  <c r="AK5" i="73" s="1"/>
  <c r="AK10" i="73" a="1"/>
  <c r="AK10" i="73" s="1"/>
  <c r="AK18" i="73" a="1"/>
  <c r="AK18" i="73" s="1"/>
  <c r="AK17" i="73" a="1"/>
  <c r="AK17" i="73" s="1"/>
  <c r="AK9" i="73" a="1"/>
  <c r="AK9" i="73" s="1"/>
  <c r="AK16" i="73" a="1"/>
  <c r="AK16" i="73" s="1"/>
  <c r="AK15" i="73" a="1"/>
  <c r="AK15" i="73" s="1"/>
  <c r="AK14" i="73" a="1"/>
  <c r="AK14" i="73" s="1"/>
  <c r="AK4" i="73" a="1"/>
  <c r="AK4" i="73" s="1"/>
  <c r="AK3" i="73" a="1"/>
  <c r="AK3" i="73" s="1"/>
  <c r="AL37" i="73"/>
  <c r="AL14" i="73" a="1"/>
  <c r="AL14" i="73" s="1"/>
  <c r="AL13" i="73" a="1"/>
  <c r="AL13" i="73" s="1"/>
  <c r="AL12" i="73" a="1"/>
  <c r="AL12" i="73" s="1"/>
  <c r="AL15" i="73" a="1"/>
  <c r="AL15" i="73" s="1"/>
  <c r="AL19" i="73"/>
  <c r="AL11" i="73" a="1"/>
  <c r="AL11" i="73" s="1"/>
  <c r="AL10" i="73" a="1"/>
  <c r="AL10" i="73" s="1"/>
  <c r="AL18" i="73" a="1"/>
  <c r="AL18" i="73" s="1"/>
  <c r="AL17" i="73" a="1"/>
  <c r="AL17" i="73" s="1"/>
  <c r="AL9" i="73" a="1"/>
  <c r="AL9" i="73" s="1"/>
  <c r="AL16" i="73" a="1"/>
  <c r="AL16" i="73" s="1"/>
  <c r="AL3" i="73" a="1"/>
  <c r="AL3" i="73" s="1"/>
  <c r="AL8" i="73" a="1"/>
  <c r="AL8" i="73" s="1"/>
  <c r="AL6" i="73" a="1"/>
  <c r="AL6" i="73" s="1"/>
  <c r="AL7" i="73" a="1"/>
  <c r="AL7" i="73" s="1"/>
  <c r="AL4" i="73" a="1"/>
  <c r="AL4" i="73" s="1"/>
  <c r="AL5" i="73" a="1"/>
  <c r="AL5" i="73" s="1"/>
  <c r="AM37" i="73"/>
  <c r="AM15" i="73" a="1"/>
  <c r="AM15" i="73" s="1"/>
  <c r="AM14" i="73" a="1"/>
  <c r="AM14" i="73" s="1"/>
  <c r="AM13" i="73" a="1"/>
  <c r="AM13" i="73" s="1"/>
  <c r="AM12" i="73" a="1"/>
  <c r="AM12" i="73" s="1"/>
  <c r="AM19" i="73"/>
  <c r="AM11" i="73" a="1"/>
  <c r="AM11" i="73" s="1"/>
  <c r="AM5" i="73" a="1"/>
  <c r="AM5" i="73" s="1"/>
  <c r="AM10" i="73" a="1"/>
  <c r="AM10" i="73" s="1"/>
  <c r="AM18" i="73" a="1"/>
  <c r="AM18" i="73" s="1"/>
  <c r="AM17" i="73" a="1"/>
  <c r="AM17" i="73" s="1"/>
  <c r="AM16" i="73" a="1"/>
  <c r="AM16" i="73" s="1"/>
  <c r="AM9" i="73" a="1"/>
  <c r="AM9" i="73" s="1"/>
  <c r="AM4" i="73" a="1"/>
  <c r="AM4" i="73" s="1"/>
  <c r="AM8" i="73" a="1"/>
  <c r="AM8" i="73" s="1"/>
  <c r="AM6" i="73" a="1"/>
  <c r="AM6" i="73" s="1"/>
  <c r="AM3" i="73" a="1"/>
  <c r="AM3" i="73" s="1"/>
  <c r="AM7" i="73" a="1"/>
  <c r="AM7" i="73" s="1"/>
  <c r="Z37" i="73"/>
  <c r="Z6" i="73" a="1"/>
  <c r="Z6" i="73" s="1"/>
  <c r="Z7" i="73" a="1"/>
  <c r="Z7" i="73" s="1"/>
  <c r="Z10" i="73" a="1"/>
  <c r="Z10" i="73" s="1"/>
  <c r="Z18" i="73" a="1"/>
  <c r="Z18" i="73" s="1"/>
  <c r="Z8" i="73" a="1"/>
  <c r="Z8" i="73" s="1"/>
  <c r="Z17" i="73" a="1"/>
  <c r="Z17" i="73" s="1"/>
  <c r="Z16" i="73" a="1"/>
  <c r="Z16" i="73" s="1"/>
  <c r="Z9" i="73" a="1"/>
  <c r="Z9" i="73" s="1"/>
  <c r="Z15" i="73" a="1"/>
  <c r="Z15" i="73" s="1"/>
  <c r="Z3" i="73" a="1"/>
  <c r="Z3" i="73" s="1"/>
  <c r="Z14" i="73" a="1"/>
  <c r="Z14" i="73" s="1"/>
  <c r="Z13" i="73" a="1"/>
  <c r="Z13" i="73" s="1"/>
  <c r="Z12" i="73" a="1"/>
  <c r="Z12" i="73" s="1"/>
  <c r="Z19" i="73"/>
  <c r="Z5" i="73" a="1"/>
  <c r="Z5" i="73" s="1"/>
  <c r="Z11" i="73" a="1"/>
  <c r="Z11" i="73" s="1"/>
  <c r="Z4" i="73" a="1"/>
  <c r="Z4" i="73" s="1"/>
  <c r="AE37" i="73"/>
  <c r="AE9" i="73" a="1"/>
  <c r="AE9" i="73" s="1"/>
  <c r="AE15" i="73" a="1"/>
  <c r="AE15" i="73" s="1"/>
  <c r="AE5" i="73" a="1"/>
  <c r="AE5" i="73" s="1"/>
  <c r="AE14" i="73" a="1"/>
  <c r="AE14" i="73" s="1"/>
  <c r="AE13" i="73" a="1"/>
  <c r="AE13" i="73" s="1"/>
  <c r="AE12" i="73" a="1"/>
  <c r="AE12" i="73" s="1"/>
  <c r="AE19" i="73"/>
  <c r="AE6" i="73" a="1"/>
  <c r="AE6" i="73" s="1"/>
  <c r="AE7" i="73" a="1"/>
  <c r="AE7" i="73" s="1"/>
  <c r="AE11" i="73" a="1"/>
  <c r="AE11" i="73" s="1"/>
  <c r="AE8" i="73" a="1"/>
  <c r="AE8" i="73" s="1"/>
  <c r="AE10" i="73" a="1"/>
  <c r="AE10" i="73" s="1"/>
  <c r="AE18" i="73" a="1"/>
  <c r="AE18" i="73" s="1"/>
  <c r="AE17" i="73" a="1"/>
  <c r="AE17" i="73" s="1"/>
  <c r="AE16" i="73" a="1"/>
  <c r="AE16" i="73" s="1"/>
  <c r="AE4" i="73" a="1"/>
  <c r="AE4" i="73" s="1"/>
  <c r="AE3" i="73" a="1"/>
  <c r="AE3" i="73" s="1"/>
  <c r="AF37" i="73"/>
  <c r="AF16" i="73" a="1"/>
  <c r="AF16" i="73" s="1"/>
  <c r="AF9" i="73" a="1"/>
  <c r="AF9" i="73" s="1"/>
  <c r="AF15" i="73" a="1"/>
  <c r="AF15" i="73" s="1"/>
  <c r="AF14" i="73" a="1"/>
  <c r="AF14" i="73" s="1"/>
  <c r="AF13" i="73" a="1"/>
  <c r="AF13" i="73" s="1"/>
  <c r="AF12" i="73" a="1"/>
  <c r="AF12" i="73" s="1"/>
  <c r="AF17" i="73" a="1"/>
  <c r="AF17" i="73" s="1"/>
  <c r="AF19" i="73"/>
  <c r="AF6" i="73" a="1"/>
  <c r="AF6" i="73" s="1"/>
  <c r="AF7" i="73" a="1"/>
  <c r="AF7" i="73" s="1"/>
  <c r="AF11" i="73" a="1"/>
  <c r="AF11" i="73" s="1"/>
  <c r="AF8" i="73" a="1"/>
  <c r="AF8" i="73" s="1"/>
  <c r="AF10" i="73" a="1"/>
  <c r="AF10" i="73" s="1"/>
  <c r="AF18" i="73" a="1"/>
  <c r="AF18" i="73" s="1"/>
  <c r="AF3" i="73" a="1"/>
  <c r="AF3" i="73" s="1"/>
  <c r="AF4" i="73" a="1"/>
  <c r="AF4" i="73" s="1"/>
  <c r="AF5" i="73" a="1"/>
  <c r="AF5" i="73" s="1"/>
  <c r="U37" i="73"/>
  <c r="U13" i="73" a="1"/>
  <c r="U13" i="73" s="1"/>
  <c r="U12" i="73" a="1"/>
  <c r="U12" i="73" s="1"/>
  <c r="U3" i="73" a="1"/>
  <c r="U3" i="73" s="1"/>
  <c r="U19" i="73"/>
  <c r="U11" i="73" a="1"/>
  <c r="U11" i="73" s="1"/>
  <c r="U10" i="73" a="1"/>
  <c r="U10" i="73" s="1"/>
  <c r="U18" i="73" a="1"/>
  <c r="U18" i="73" s="1"/>
  <c r="U17" i="73" a="1"/>
  <c r="U17" i="73" s="1"/>
  <c r="U5" i="73" a="1"/>
  <c r="U5" i="73" s="1"/>
  <c r="U6" i="73" a="1"/>
  <c r="U6" i="73" s="1"/>
  <c r="U7" i="73" a="1"/>
  <c r="U7" i="73" s="1"/>
  <c r="U8" i="73" a="1"/>
  <c r="U8" i="73" s="1"/>
  <c r="U16" i="73" a="1"/>
  <c r="U16" i="73" s="1"/>
  <c r="U9" i="73" a="1"/>
  <c r="U9" i="73" s="1"/>
  <c r="U15" i="73" a="1"/>
  <c r="U15" i="73" s="1"/>
  <c r="U14" i="73" a="1"/>
  <c r="U14" i="73" s="1"/>
  <c r="U4" i="73" a="1"/>
  <c r="U4" i="73" s="1"/>
  <c r="T37" i="73"/>
  <c r="T12" i="73" a="1"/>
  <c r="T12" i="73" s="1"/>
  <c r="T19" i="73"/>
  <c r="T11" i="73" a="1"/>
  <c r="T11" i="73" s="1"/>
  <c r="T10" i="73" a="1"/>
  <c r="T10" i="73" s="1"/>
  <c r="T18" i="73" a="1"/>
  <c r="T18" i="73" s="1"/>
  <c r="T17" i="73" a="1"/>
  <c r="T17" i="73" s="1"/>
  <c r="T5" i="73" a="1"/>
  <c r="T5" i="73" s="1"/>
  <c r="T6" i="73" a="1"/>
  <c r="T6" i="73" s="1"/>
  <c r="T7" i="73" a="1"/>
  <c r="T7" i="73" s="1"/>
  <c r="T8" i="73" a="1"/>
  <c r="T8" i="73" s="1"/>
  <c r="T16" i="73" a="1"/>
  <c r="T16" i="73" s="1"/>
  <c r="T9" i="73" a="1"/>
  <c r="T9" i="73" s="1"/>
  <c r="T15" i="73" a="1"/>
  <c r="T15" i="73" s="1"/>
  <c r="T14" i="73" a="1"/>
  <c r="T14" i="73" s="1"/>
  <c r="T13" i="73" a="1"/>
  <c r="T13" i="73" s="1"/>
  <c r="T4" i="73" a="1"/>
  <c r="T4" i="73" s="1"/>
  <c r="T3" i="73" a="1"/>
  <c r="T3" i="73" s="1"/>
  <c r="S13" i="73" a="1"/>
  <c r="S13" i="73" s="1"/>
  <c r="S6" i="73" a="1"/>
  <c r="S6" i="73" s="1"/>
  <c r="S14" i="73" a="1"/>
  <c r="S14" i="73" s="1"/>
  <c r="S19" i="73"/>
  <c r="S7" i="73" a="1"/>
  <c r="S7" i="73" s="1"/>
  <c r="S15" i="73" a="1"/>
  <c r="S15" i="73" s="1"/>
  <c r="S8" i="73" a="1"/>
  <c r="S8" i="73" s="1"/>
  <c r="S16" i="73" a="1"/>
  <c r="S16" i="73" s="1"/>
  <c r="S9" i="73" a="1"/>
  <c r="S9" i="73" s="1"/>
  <c r="S17" i="73" a="1"/>
  <c r="S17" i="73" s="1"/>
  <c r="S10" i="73" a="1"/>
  <c r="S10" i="73" s="1"/>
  <c r="S18" i="73" a="1"/>
  <c r="S18" i="73" s="1"/>
  <c r="S11" i="73" a="1"/>
  <c r="S11" i="73" s="1"/>
  <c r="S12" i="73" a="1"/>
  <c r="S12" i="73" s="1"/>
  <c r="S3" i="73" a="1"/>
  <c r="S3" i="73" s="1"/>
  <c r="S4" i="73" a="1"/>
  <c r="S4" i="73" s="1"/>
  <c r="S37" i="73"/>
  <c r="S5" i="73" a="1"/>
  <c r="S5" i="73" s="1"/>
  <c r="O118" i="73"/>
  <c r="Y10" i="63"/>
  <c r="Z7" i="63"/>
  <c r="N36" i="73" l="1"/>
  <c r="M64" i="73"/>
  <c r="O107" i="73"/>
  <c r="O106" i="73"/>
  <c r="O45" i="73"/>
  <c r="M110" i="73"/>
  <c r="O64" i="73"/>
  <c r="O22" i="73"/>
  <c r="N80" i="73"/>
  <c r="M56" i="73"/>
  <c r="O71" i="73"/>
  <c r="N74" i="73"/>
  <c r="N27" i="73"/>
  <c r="N19" i="73"/>
  <c r="N75" i="73"/>
  <c r="M70" i="73"/>
  <c r="O82" i="73"/>
  <c r="M44" i="73"/>
  <c r="O89" i="73"/>
  <c r="N93" i="73"/>
  <c r="N89" i="73"/>
  <c r="M83" i="73"/>
  <c r="N64" i="73"/>
  <c r="N105" i="73"/>
  <c r="N116" i="73"/>
  <c r="O108" i="73"/>
  <c r="O99" i="73"/>
  <c r="N100" i="73"/>
  <c r="M57" i="73"/>
  <c r="O15" i="73"/>
  <c r="M4" i="73"/>
  <c r="O87" i="73"/>
  <c r="N10" i="73"/>
  <c r="O28" i="73"/>
  <c r="N96" i="73"/>
  <c r="M101" i="73"/>
  <c r="O117" i="73"/>
  <c r="O67" i="73"/>
  <c r="N6" i="73"/>
  <c r="M81" i="73"/>
  <c r="O116" i="73"/>
  <c r="O75" i="73"/>
  <c r="M29" i="73"/>
  <c r="O12" i="73"/>
  <c r="N40" i="73"/>
  <c r="M21" i="73"/>
  <c r="N62" i="73"/>
  <c r="M17" i="73"/>
  <c r="O48" i="73"/>
  <c r="M94" i="73"/>
  <c r="N47" i="73"/>
  <c r="N79" i="73"/>
  <c r="M49" i="73"/>
  <c r="M23" i="73"/>
  <c r="O88" i="73"/>
  <c r="O84" i="73"/>
  <c r="M82" i="73"/>
  <c r="M87" i="73"/>
  <c r="M73" i="73"/>
  <c r="O60" i="73"/>
  <c r="N13" i="73"/>
  <c r="M75" i="73"/>
  <c r="N58" i="73"/>
  <c r="N71" i="73"/>
  <c r="N14" i="73"/>
  <c r="O56" i="73"/>
  <c r="N101" i="73"/>
  <c r="M114" i="73"/>
  <c r="N82" i="73"/>
  <c r="O29" i="73"/>
  <c r="M118" i="73"/>
  <c r="O6" i="73"/>
  <c r="O93" i="73"/>
  <c r="M28" i="73"/>
  <c r="O72" i="73"/>
  <c r="O69" i="73"/>
  <c r="N115" i="73"/>
  <c r="N118" i="73"/>
  <c r="N53" i="73"/>
  <c r="N29" i="73"/>
  <c r="M59" i="73"/>
  <c r="O104" i="73"/>
  <c r="M54" i="73"/>
  <c r="N107" i="73"/>
  <c r="N94" i="73"/>
  <c r="M55" i="73"/>
  <c r="O66" i="73"/>
  <c r="M10" i="73"/>
  <c r="O113" i="73"/>
  <c r="M105" i="73"/>
  <c r="O70" i="73"/>
  <c r="O85" i="73"/>
  <c r="M43" i="73"/>
  <c r="N87" i="73"/>
  <c r="M88" i="73"/>
  <c r="O5" i="73"/>
  <c r="N112" i="73"/>
  <c r="M72" i="73"/>
  <c r="O27" i="73"/>
  <c r="N56" i="73"/>
  <c r="M6" i="73"/>
  <c r="M68" i="73"/>
  <c r="N104" i="73"/>
  <c r="O38" i="73"/>
  <c r="N48" i="73"/>
  <c r="M116" i="73"/>
  <c r="O96" i="73"/>
  <c r="N43" i="73"/>
  <c r="M9" i="73"/>
  <c r="M108" i="73"/>
  <c r="N57" i="73"/>
  <c r="M113" i="73"/>
  <c r="M5" i="73"/>
  <c r="M74" i="73"/>
  <c r="N65" i="73"/>
  <c r="N44" i="73"/>
  <c r="N81" i="73"/>
  <c r="M24" i="73"/>
  <c r="N59" i="73"/>
  <c r="M11" i="73"/>
  <c r="N113" i="73"/>
  <c r="N85" i="73"/>
  <c r="M52" i="73"/>
  <c r="N20" i="73"/>
  <c r="M33" i="73"/>
  <c r="N50" i="73"/>
  <c r="M89" i="73"/>
  <c r="O111" i="73"/>
  <c r="M90" i="73"/>
  <c r="N108" i="73"/>
  <c r="N98" i="73"/>
  <c r="O24" i="73"/>
  <c r="N72" i="73"/>
  <c r="O68" i="73"/>
  <c r="O95" i="73"/>
  <c r="O90" i="73"/>
  <c r="M62" i="73"/>
  <c r="M18" i="73"/>
  <c r="N77" i="73"/>
  <c r="N42" i="73"/>
  <c r="O57" i="73"/>
  <c r="M40" i="73"/>
  <c r="N111" i="73"/>
  <c r="N99" i="73"/>
  <c r="O53" i="73"/>
  <c r="O79" i="73"/>
  <c r="M100" i="73"/>
  <c r="N70" i="73"/>
  <c r="M85" i="73"/>
  <c r="M27" i="73"/>
  <c r="O4" i="73"/>
  <c r="O76" i="73"/>
  <c r="O46" i="73"/>
  <c r="N26" i="73"/>
  <c r="AF29" i="73"/>
  <c r="M104" i="73"/>
  <c r="O115" i="73"/>
  <c r="N90" i="73"/>
  <c r="N103" i="73"/>
  <c r="M13" i="73"/>
  <c r="O110" i="73"/>
  <c r="N109" i="73"/>
  <c r="M84" i="73"/>
  <c r="O80" i="73"/>
  <c r="N24" i="73"/>
  <c r="N60" i="73"/>
  <c r="N102" i="73"/>
  <c r="O10" i="73"/>
  <c r="O59" i="73"/>
  <c r="M91" i="73"/>
  <c r="O44" i="73"/>
  <c r="O14" i="73"/>
  <c r="O23" i="73"/>
  <c r="N84" i="73"/>
  <c r="O43" i="73"/>
  <c r="M107" i="73"/>
  <c r="N92" i="73"/>
  <c r="M103" i="73"/>
  <c r="M14" i="73"/>
  <c r="N73" i="73"/>
  <c r="O58" i="73"/>
  <c r="O73" i="73"/>
  <c r="N23" i="73"/>
  <c r="M117" i="73"/>
  <c r="M45" i="73"/>
  <c r="N2" i="73"/>
  <c r="O25" i="73"/>
  <c r="N18" i="73"/>
  <c r="O91" i="73"/>
  <c r="O35" i="73"/>
  <c r="O39" i="73"/>
  <c r="M19" i="73"/>
  <c r="V32" i="73"/>
  <c r="N12" i="73"/>
  <c r="N39" i="73"/>
  <c r="M111" i="73"/>
  <c r="M36" i="73"/>
  <c r="M93" i="73"/>
  <c r="M38" i="73"/>
  <c r="N15" i="73"/>
  <c r="N3" i="73"/>
  <c r="O33" i="73"/>
  <c r="N37" i="73"/>
  <c r="O42" i="73"/>
  <c r="M65" i="73"/>
  <c r="O47" i="73"/>
  <c r="M30" i="73"/>
  <c r="O109" i="73"/>
  <c r="M79" i="73"/>
  <c r="N45" i="73"/>
  <c r="O83" i="73"/>
  <c r="N114" i="73"/>
  <c r="N110" i="73"/>
  <c r="O52" i="73"/>
  <c r="M26" i="73"/>
  <c r="O50" i="73"/>
  <c r="M92" i="73"/>
  <c r="O18" i="73"/>
  <c r="N54" i="73"/>
  <c r="O34" i="73"/>
  <c r="N86" i="73"/>
  <c r="N11" i="73"/>
  <c r="M48" i="73"/>
  <c r="O16" i="73"/>
  <c r="U30" i="73"/>
  <c r="AA33" i="73"/>
  <c r="AA24" i="73"/>
  <c r="AA25" i="73"/>
  <c r="AA27" i="73"/>
  <c r="AA35" i="73"/>
  <c r="AA21" i="73"/>
  <c r="AA20" i="73"/>
  <c r="AA28" i="73"/>
  <c r="AA31" i="73"/>
  <c r="AA29" i="73"/>
  <c r="AA38" i="73"/>
  <c r="AA23" i="73"/>
  <c r="AA30" i="73"/>
  <c r="AA26" i="73"/>
  <c r="AA34" i="73"/>
  <c r="AA32" i="73"/>
  <c r="AA22" i="73"/>
  <c r="M58" i="73"/>
  <c r="V35" i="73"/>
  <c r="V29" i="73"/>
  <c r="V26" i="73"/>
  <c r="V22" i="73"/>
  <c r="V21" i="73"/>
  <c r="V33" i="73"/>
  <c r="V25" i="73"/>
  <c r="V20" i="73"/>
  <c r="V38" i="73"/>
  <c r="V24" i="73"/>
  <c r="V27" i="73"/>
  <c r="V34" i="73"/>
  <c r="V30" i="73"/>
  <c r="V23" i="73"/>
  <c r="V28" i="73"/>
  <c r="O97" i="73"/>
  <c r="O102" i="73"/>
  <c r="AC32" i="73"/>
  <c r="M22" i="73"/>
  <c r="M61" i="73"/>
  <c r="O21" i="73"/>
  <c r="M112" i="73"/>
  <c r="N38" i="73"/>
  <c r="N7" i="73"/>
  <c r="O40" i="73"/>
  <c r="M66" i="73"/>
  <c r="N17" i="73"/>
  <c r="O55" i="73"/>
  <c r="O30" i="73"/>
  <c r="O20" i="73"/>
  <c r="N5" i="73"/>
  <c r="M3" i="73"/>
  <c r="N16" i="73"/>
  <c r="M2" i="73"/>
  <c r="M78" i="73"/>
  <c r="N51" i="73"/>
  <c r="O31" i="73"/>
  <c r="O51" i="73"/>
  <c r="AM21" i="73"/>
  <c r="AM33" i="73"/>
  <c r="AM22" i="73"/>
  <c r="AM24" i="73"/>
  <c r="AM29" i="73"/>
  <c r="AM20" i="73"/>
  <c r="AM35" i="73"/>
  <c r="AM23" i="73"/>
  <c r="AM31" i="73"/>
  <c r="AM28" i="73"/>
  <c r="AM32" i="73"/>
  <c r="AM25" i="73"/>
  <c r="AM30" i="73"/>
  <c r="AM38" i="73"/>
  <c r="AM26" i="73"/>
  <c r="AM34" i="73"/>
  <c r="AM27" i="73"/>
  <c r="N55" i="73"/>
  <c r="AJ33" i="73"/>
  <c r="AJ27" i="73"/>
  <c r="AJ24" i="73"/>
  <c r="AJ32" i="73"/>
  <c r="AJ28" i="73"/>
  <c r="AJ26" i="73"/>
  <c r="AJ21" i="73"/>
  <c r="AJ31" i="73"/>
  <c r="AJ25" i="73"/>
  <c r="AJ29" i="73"/>
  <c r="AJ38" i="73"/>
  <c r="AJ30" i="73"/>
  <c r="AJ20" i="73"/>
  <c r="AJ35" i="73"/>
  <c r="AJ23" i="73"/>
  <c r="AJ22" i="73"/>
  <c r="AJ34" i="73"/>
  <c r="O19" i="73"/>
  <c r="O63" i="73"/>
  <c r="AD20" i="73"/>
  <c r="Y28" i="73"/>
  <c r="Y31" i="73"/>
  <c r="Y27" i="73"/>
  <c r="Y21" i="73"/>
  <c r="Y32" i="73"/>
  <c r="Y25" i="73"/>
  <c r="Y30" i="73"/>
  <c r="Y35" i="73"/>
  <c r="Y20" i="73"/>
  <c r="Y26" i="73"/>
  <c r="Y29" i="73"/>
  <c r="Y34" i="73"/>
  <c r="Y38" i="73"/>
  <c r="Y23" i="73"/>
  <c r="Y24" i="73"/>
  <c r="Y22" i="73"/>
  <c r="Y33" i="73"/>
  <c r="AG27" i="73"/>
  <c r="AG21" i="73"/>
  <c r="AG20" i="73"/>
  <c r="AG35" i="73"/>
  <c r="AG34" i="73"/>
  <c r="AG26" i="73"/>
  <c r="AG29" i="73"/>
  <c r="AG31" i="73"/>
  <c r="AG22" i="73"/>
  <c r="AG32" i="73"/>
  <c r="AG28" i="73"/>
  <c r="AG30" i="73"/>
  <c r="AG25" i="73"/>
  <c r="AG33" i="73"/>
  <c r="AG24" i="73"/>
  <c r="AG23" i="73"/>
  <c r="AG38" i="73"/>
  <c r="AB26" i="73"/>
  <c r="AB22" i="73"/>
  <c r="AB25" i="73"/>
  <c r="AB21" i="73"/>
  <c r="AB38" i="73"/>
  <c r="AB32" i="73"/>
  <c r="AB29" i="73"/>
  <c r="AB20" i="73"/>
  <c r="AB35" i="73"/>
  <c r="AB30" i="73"/>
  <c r="AB27" i="73"/>
  <c r="AB23" i="73"/>
  <c r="AB33" i="73"/>
  <c r="AB28" i="73"/>
  <c r="AB31" i="73"/>
  <c r="AB34" i="73"/>
  <c r="AB24" i="73"/>
  <c r="O65" i="73"/>
  <c r="O36" i="73"/>
  <c r="O114" i="73"/>
  <c r="N30" i="73"/>
  <c r="O26" i="73"/>
  <c r="N35" i="73"/>
  <c r="N117" i="73"/>
  <c r="O41" i="73"/>
  <c r="N69" i="73"/>
  <c r="O9" i="73"/>
  <c r="N25" i="73"/>
  <c r="O32" i="73"/>
  <c r="O94" i="73"/>
  <c r="M12" i="73"/>
  <c r="M63" i="73"/>
  <c r="M76" i="73"/>
  <c r="N91" i="73"/>
  <c r="M25" i="73"/>
  <c r="M98" i="73"/>
  <c r="O77" i="73"/>
  <c r="O74" i="73"/>
  <c r="AD23" i="73"/>
  <c r="AD29" i="73"/>
  <c r="AD27" i="73"/>
  <c r="AD21" i="73"/>
  <c r="AD35" i="73"/>
  <c r="AD30" i="73"/>
  <c r="AD25" i="73"/>
  <c r="AD32" i="73"/>
  <c r="AD31" i="73"/>
  <c r="AD33" i="73"/>
  <c r="AD24" i="73"/>
  <c r="AD38" i="73"/>
  <c r="AD26" i="73"/>
  <c r="AD34" i="73"/>
  <c r="AD28" i="73"/>
  <c r="AD22" i="73"/>
  <c r="O11" i="73"/>
  <c r="N46" i="73"/>
  <c r="M16" i="73"/>
  <c r="O3" i="73"/>
  <c r="M39" i="73"/>
  <c r="M7" i="73"/>
  <c r="AF34" i="73"/>
  <c r="AF25" i="73"/>
  <c r="AF31" i="73"/>
  <c r="AF22" i="73"/>
  <c r="AF30" i="73"/>
  <c r="AF28" i="73"/>
  <c r="AF38" i="73"/>
  <c r="AF27" i="73"/>
  <c r="AF32" i="73"/>
  <c r="AF35" i="73"/>
  <c r="AF33" i="73"/>
  <c r="AF24" i="73"/>
  <c r="AF21" i="73"/>
  <c r="AF23" i="73"/>
  <c r="AF26" i="73"/>
  <c r="AF20" i="73"/>
  <c r="AE30" i="73"/>
  <c r="AE29" i="73"/>
  <c r="AE38" i="73"/>
  <c r="AE32" i="73"/>
  <c r="AE25" i="73"/>
  <c r="AE28" i="73"/>
  <c r="AE27" i="73"/>
  <c r="AE31" i="73"/>
  <c r="AE21" i="73"/>
  <c r="AE22" i="73"/>
  <c r="AE24" i="73"/>
  <c r="AE23" i="73"/>
  <c r="AE26" i="73"/>
  <c r="AE34" i="73"/>
  <c r="AE35" i="73"/>
  <c r="AE33" i="73"/>
  <c r="AE20" i="73"/>
  <c r="AK33" i="73"/>
  <c r="AK25" i="73"/>
  <c r="AK34" i="73"/>
  <c r="AK26" i="73"/>
  <c r="AK24" i="73"/>
  <c r="AK20" i="73"/>
  <c r="AK32" i="73"/>
  <c r="AK23" i="73"/>
  <c r="AK38" i="73"/>
  <c r="AK28" i="73"/>
  <c r="AK35" i="73"/>
  <c r="AK27" i="73"/>
  <c r="AK22" i="73"/>
  <c r="AK30" i="73"/>
  <c r="AK31" i="73"/>
  <c r="AK21" i="73"/>
  <c r="AK29" i="73"/>
  <c r="W28" i="73"/>
  <c r="W21" i="73"/>
  <c r="W34" i="73"/>
  <c r="W23" i="73"/>
  <c r="W38" i="73"/>
  <c r="W27" i="73"/>
  <c r="W26" i="73"/>
  <c r="W30" i="73"/>
  <c r="W35" i="73"/>
  <c r="W29" i="73"/>
  <c r="W33" i="73"/>
  <c r="W31" i="73"/>
  <c r="W24" i="73"/>
  <c r="W20" i="73"/>
  <c r="W32" i="73"/>
  <c r="W22" i="73"/>
  <c r="W25" i="73"/>
  <c r="AN29" i="73"/>
  <c r="AN26" i="73"/>
  <c r="AN38" i="73"/>
  <c r="AN27" i="73"/>
  <c r="AN34" i="73"/>
  <c r="AN35" i="73"/>
  <c r="AN20" i="73"/>
  <c r="AN25" i="73"/>
  <c r="AN23" i="73"/>
  <c r="AN30" i="73"/>
  <c r="AN28" i="73"/>
  <c r="AN32" i="73"/>
  <c r="AN24" i="73"/>
  <c r="AN21" i="73"/>
  <c r="AN33" i="73"/>
  <c r="AN22" i="73"/>
  <c r="AN31" i="73"/>
  <c r="AP24" i="73"/>
  <c r="AP32" i="73"/>
  <c r="AP25" i="73"/>
  <c r="AP26" i="73"/>
  <c r="AP35" i="73"/>
  <c r="AP23" i="73"/>
  <c r="AP30" i="73"/>
  <c r="AP21" i="73"/>
  <c r="AP34" i="73"/>
  <c r="AP22" i="73"/>
  <c r="AP20" i="73"/>
  <c r="AP28" i="73"/>
  <c r="AP33" i="73"/>
  <c r="AP29" i="73"/>
  <c r="AP31" i="73"/>
  <c r="AP38" i="73"/>
  <c r="AP27" i="73"/>
  <c r="M99" i="73"/>
  <c r="O61" i="73"/>
  <c r="M71" i="73"/>
  <c r="O81" i="73"/>
  <c r="M60" i="73"/>
  <c r="N41" i="73"/>
  <c r="M96" i="73"/>
  <c r="M77" i="73"/>
  <c r="M37" i="73"/>
  <c r="O2" i="73"/>
  <c r="N4" i="73"/>
  <c r="M69" i="73"/>
  <c r="O62" i="73"/>
  <c r="O37" i="73"/>
  <c r="N52" i="73"/>
  <c r="N34" i="73"/>
  <c r="O101" i="73"/>
  <c r="M31" i="73"/>
  <c r="M86" i="73"/>
  <c r="M51" i="73"/>
  <c r="N97" i="73"/>
  <c r="N78" i="73"/>
  <c r="N106" i="73"/>
  <c r="O13" i="73"/>
  <c r="N67" i="73"/>
  <c r="N33" i="73"/>
  <c r="M47" i="73"/>
  <c r="Z23" i="73"/>
  <c r="Z32" i="73"/>
  <c r="Z24" i="73"/>
  <c r="Z35" i="73"/>
  <c r="Z27" i="73"/>
  <c r="Z29" i="73"/>
  <c r="Z21" i="73"/>
  <c r="Z20" i="73"/>
  <c r="Z22" i="73"/>
  <c r="Z26" i="73"/>
  <c r="Z30" i="73"/>
  <c r="Z38" i="73"/>
  <c r="Z34" i="73"/>
  <c r="Z31" i="73"/>
  <c r="Z33" i="73"/>
  <c r="Z25" i="73"/>
  <c r="O105" i="73"/>
  <c r="AQ24" i="73"/>
  <c r="AQ23" i="73"/>
  <c r="AQ35" i="73"/>
  <c r="AQ32" i="73"/>
  <c r="AQ38" i="73"/>
  <c r="AQ34" i="73"/>
  <c r="AQ30" i="73"/>
  <c r="AQ25" i="73"/>
  <c r="AQ33" i="73"/>
  <c r="AQ22" i="73"/>
  <c r="AQ27" i="73"/>
  <c r="AQ20" i="73"/>
  <c r="AQ26" i="73"/>
  <c r="AQ28" i="73"/>
  <c r="AQ31" i="73"/>
  <c r="AQ29" i="73"/>
  <c r="AQ21" i="73"/>
  <c r="O8" i="73"/>
  <c r="M35" i="73"/>
  <c r="O103" i="73"/>
  <c r="N95" i="73"/>
  <c r="N66" i="73"/>
  <c r="M42" i="73"/>
  <c r="N22" i="73"/>
  <c r="M67" i="73"/>
  <c r="M115" i="73"/>
  <c r="N63" i="73"/>
  <c r="N32" i="73"/>
  <c r="O112" i="73"/>
  <c r="N8" i="73"/>
  <c r="M41" i="73"/>
  <c r="T23" i="73"/>
  <c r="T30" i="73"/>
  <c r="T33" i="73"/>
  <c r="T31" i="73"/>
  <c r="T32" i="73"/>
  <c r="T24" i="73"/>
  <c r="T20" i="73"/>
  <c r="T29" i="73"/>
  <c r="T28" i="73"/>
  <c r="T35" i="73"/>
  <c r="T21" i="73"/>
  <c r="T27" i="73"/>
  <c r="T34" i="73"/>
  <c r="T26" i="73"/>
  <c r="T22" i="73"/>
  <c r="T38" i="73"/>
  <c r="T25" i="73"/>
  <c r="U20" i="73"/>
  <c r="U24" i="73"/>
  <c r="U26" i="73"/>
  <c r="U21" i="73"/>
  <c r="U38" i="73"/>
  <c r="U35" i="73"/>
  <c r="U29" i="73"/>
  <c r="U34" i="73"/>
  <c r="U31" i="73"/>
  <c r="U32" i="73"/>
  <c r="U22" i="73"/>
  <c r="U27" i="73"/>
  <c r="U28" i="73"/>
  <c r="U25" i="73"/>
  <c r="U23" i="73"/>
  <c r="U33" i="73"/>
  <c r="Z28" i="73"/>
  <c r="N68" i="73"/>
  <c r="M80" i="73"/>
  <c r="AO34" i="73"/>
  <c r="AO25" i="73"/>
  <c r="AO26" i="73"/>
  <c r="AO30" i="73"/>
  <c r="AO27" i="73"/>
  <c r="AO24" i="73"/>
  <c r="AO21" i="73"/>
  <c r="AO22" i="73"/>
  <c r="AO20" i="73"/>
  <c r="AO32" i="73"/>
  <c r="AO35" i="73"/>
  <c r="AO29" i="73"/>
  <c r="AO23" i="73"/>
  <c r="AO31" i="73"/>
  <c r="AO28" i="73"/>
  <c r="AO38" i="73"/>
  <c r="AO33" i="73"/>
  <c r="X26" i="73"/>
  <c r="X23" i="73"/>
  <c r="X22" i="73"/>
  <c r="X20" i="73"/>
  <c r="X29" i="73"/>
  <c r="X25" i="73"/>
  <c r="X30" i="73"/>
  <c r="X35" i="73"/>
  <c r="X34" i="73"/>
  <c r="X33" i="73"/>
  <c r="X31" i="73"/>
  <c r="X24" i="73"/>
  <c r="X32" i="73"/>
  <c r="X28" i="73"/>
  <c r="X27" i="73"/>
  <c r="X38" i="73"/>
  <c r="X21" i="73"/>
  <c r="V31" i="73"/>
  <c r="N88" i="73"/>
  <c r="AC30" i="73"/>
  <c r="AC38" i="73"/>
  <c r="AC33" i="73"/>
  <c r="AC31" i="73"/>
  <c r="AC23" i="73"/>
  <c r="AC29" i="73"/>
  <c r="AC25" i="73"/>
  <c r="AC35" i="73"/>
  <c r="AC22" i="73"/>
  <c r="AC34" i="73"/>
  <c r="AC26" i="73"/>
  <c r="AC20" i="73"/>
  <c r="AC21" i="73"/>
  <c r="AC28" i="73"/>
  <c r="AC27" i="73"/>
  <c r="AC24" i="73"/>
  <c r="M97" i="73"/>
  <c r="M50" i="73"/>
  <c r="N9" i="73"/>
  <c r="O92" i="73"/>
  <c r="O100" i="73"/>
  <c r="M106" i="73"/>
  <c r="N28" i="73"/>
  <c r="O98" i="73"/>
  <c r="M46" i="73"/>
  <c r="M8" i="73"/>
  <c r="O78" i="73"/>
  <c r="M34" i="73"/>
  <c r="M20" i="73"/>
  <c r="N49" i="73"/>
  <c r="N83" i="73"/>
  <c r="N61" i="73"/>
  <c r="O54" i="73"/>
  <c r="O86" i="73"/>
  <c r="M32" i="73"/>
  <c r="N31" i="73"/>
  <c r="N21" i="73"/>
  <c r="M109" i="73"/>
  <c r="O17" i="73"/>
  <c r="M53" i="73"/>
  <c r="O7" i="73"/>
  <c r="M95" i="73"/>
  <c r="M102" i="73"/>
  <c r="N76" i="73"/>
  <c r="M15" i="73"/>
  <c r="S26" i="73"/>
  <c r="S32" i="73"/>
  <c r="S34" i="73"/>
  <c r="S24" i="73"/>
  <c r="S21" i="73"/>
  <c r="S27" i="73"/>
  <c r="S30" i="73"/>
  <c r="S28" i="73"/>
  <c r="S33" i="73"/>
  <c r="S25" i="73"/>
  <c r="S20" i="73"/>
  <c r="S23" i="73"/>
  <c r="S31" i="73"/>
  <c r="S38" i="73"/>
  <c r="S22" i="73"/>
  <c r="S35" i="73"/>
  <c r="S29" i="73"/>
  <c r="AL32" i="73"/>
  <c r="AL29" i="73"/>
  <c r="AL25" i="73"/>
  <c r="AL28" i="73"/>
  <c r="AL27" i="73"/>
  <c r="AL20" i="73"/>
  <c r="AL24" i="73"/>
  <c r="AL26" i="73"/>
  <c r="AL35" i="73"/>
  <c r="AL33" i="73"/>
  <c r="AL22" i="73"/>
  <c r="AL23" i="73"/>
  <c r="AL30" i="73"/>
  <c r="AL38" i="73"/>
  <c r="AL21" i="73"/>
  <c r="AL34" i="73"/>
  <c r="AL31" i="73"/>
  <c r="O49" i="73"/>
  <c r="AH22" i="73"/>
  <c r="AH28" i="73"/>
  <c r="AH27" i="73"/>
  <c r="AH30" i="73"/>
  <c r="AH21" i="73"/>
  <c r="AH29" i="73"/>
  <c r="AH26" i="73"/>
  <c r="AH34" i="73"/>
  <c r="AH31" i="73"/>
  <c r="AH24" i="73"/>
  <c r="AH23" i="73"/>
  <c r="AH32" i="73"/>
  <c r="AH20" i="73"/>
  <c r="AH25" i="73"/>
  <c r="AH33" i="73"/>
  <c r="AH38" i="73"/>
  <c r="AH35" i="73"/>
  <c r="AR21" i="73"/>
  <c r="AR30" i="73"/>
  <c r="AR32" i="73"/>
  <c r="AR29" i="73"/>
  <c r="AR31" i="73"/>
  <c r="AR20" i="73"/>
  <c r="AR34" i="73"/>
  <c r="AR38" i="73"/>
  <c r="AR35" i="73"/>
  <c r="AR33" i="73"/>
  <c r="AR23" i="73"/>
  <c r="AR24" i="73"/>
  <c r="AR25" i="73"/>
  <c r="AR26" i="73"/>
  <c r="AR27" i="73"/>
  <c r="AR28" i="73"/>
  <c r="AR22" i="73"/>
  <c r="AI27" i="73"/>
  <c r="AI21" i="73"/>
  <c r="AI24" i="73"/>
  <c r="AI28" i="73"/>
  <c r="AI30" i="73"/>
  <c r="AI25" i="73"/>
  <c r="AI26" i="73"/>
  <c r="AI35" i="73"/>
  <c r="AI38" i="73"/>
  <c r="AI34" i="73"/>
  <c r="AI20" i="73"/>
  <c r="AI32" i="73"/>
  <c r="AI23" i="73"/>
  <c r="AI33" i="73"/>
  <c r="AI29" i="73"/>
  <c r="AI31" i="73"/>
  <c r="AI22" i="73"/>
  <c r="AA7" i="63"/>
  <c r="Z10" i="63"/>
  <c r="L2" i="73" l="1"/>
  <c r="L3" i="73"/>
  <c r="L4" i="73"/>
  <c r="L5" i="73"/>
  <c r="L6" i="73"/>
  <c r="L7" i="73"/>
  <c r="L10" i="73"/>
  <c r="L18" i="73"/>
  <c r="L26" i="73"/>
  <c r="L34" i="73"/>
  <c r="L42" i="73"/>
  <c r="L50" i="73"/>
  <c r="L58" i="73"/>
  <c r="L66" i="73"/>
  <c r="L74" i="73"/>
  <c r="L82" i="73"/>
  <c r="L90" i="73"/>
  <c r="L98" i="73"/>
  <c r="L106" i="73"/>
  <c r="L114" i="73"/>
  <c r="L44" i="73"/>
  <c r="L60" i="73"/>
  <c r="L76" i="73"/>
  <c r="L92" i="73"/>
  <c r="L11" i="73"/>
  <c r="L19" i="73"/>
  <c r="L27" i="73"/>
  <c r="L35" i="73"/>
  <c r="L43" i="73"/>
  <c r="L51" i="73"/>
  <c r="L59" i="73"/>
  <c r="L67" i="73"/>
  <c r="L75" i="73"/>
  <c r="L83" i="73"/>
  <c r="L91" i="73"/>
  <c r="L99" i="73"/>
  <c r="L107" i="73"/>
  <c r="L115" i="73"/>
  <c r="L28" i="73"/>
  <c r="L36" i="73"/>
  <c r="L52" i="73"/>
  <c r="L68" i="73"/>
  <c r="L84" i="73"/>
  <c r="L100" i="73"/>
  <c r="L12" i="73"/>
  <c r="L20" i="73"/>
  <c r="L13" i="73"/>
  <c r="L21" i="73"/>
  <c r="L29" i="73"/>
  <c r="L37" i="73"/>
  <c r="L45" i="73"/>
  <c r="L53" i="73"/>
  <c r="L61" i="73"/>
  <c r="L69" i="73"/>
  <c r="L77" i="73"/>
  <c r="L85" i="73"/>
  <c r="L93" i="73"/>
  <c r="L101" i="73"/>
  <c r="L109" i="73"/>
  <c r="L117" i="73"/>
  <c r="L88" i="73"/>
  <c r="L9" i="73"/>
  <c r="L41" i="73"/>
  <c r="L73" i="73"/>
  <c r="L105" i="73"/>
  <c r="L14" i="73"/>
  <c r="L22" i="73"/>
  <c r="L30" i="73"/>
  <c r="L38" i="73"/>
  <c r="L46" i="73"/>
  <c r="L54" i="73"/>
  <c r="L62" i="73"/>
  <c r="L70" i="73"/>
  <c r="L78" i="73"/>
  <c r="L86" i="73"/>
  <c r="L94" i="73"/>
  <c r="L102" i="73"/>
  <c r="L110" i="73"/>
  <c r="L118" i="73"/>
  <c r="L80" i="73"/>
  <c r="L112" i="73"/>
  <c r="L33" i="73"/>
  <c r="L65" i="73"/>
  <c r="L97" i="73"/>
  <c r="L116" i="73"/>
  <c r="L15" i="73"/>
  <c r="L23" i="73"/>
  <c r="L31" i="73"/>
  <c r="L39" i="73"/>
  <c r="L47" i="73"/>
  <c r="L55" i="73"/>
  <c r="L63" i="73"/>
  <c r="L71" i="73"/>
  <c r="L79" i="73"/>
  <c r="L87" i="73"/>
  <c r="L95" i="73"/>
  <c r="L103" i="73"/>
  <c r="L111" i="73"/>
  <c r="L64" i="73"/>
  <c r="L96" i="73"/>
  <c r="L17" i="73"/>
  <c r="L49" i="73"/>
  <c r="L81" i="73"/>
  <c r="L113" i="73"/>
  <c r="L8" i="73"/>
  <c r="L16" i="73"/>
  <c r="L24" i="73"/>
  <c r="L32" i="73"/>
  <c r="L40" i="73"/>
  <c r="L48" i="73"/>
  <c r="L56" i="73"/>
  <c r="L72" i="73"/>
  <c r="L104" i="73"/>
  <c r="L25" i="73"/>
  <c r="L57" i="73"/>
  <c r="L89" i="73"/>
  <c r="L108" i="73"/>
  <c r="AB7" i="63"/>
  <c r="AA10" i="63"/>
  <c r="AC7" i="63" l="1"/>
  <c r="AB10" i="63"/>
  <c r="AD7" i="63" l="1"/>
  <c r="AC10" i="63"/>
  <c r="AE7" i="63" l="1"/>
  <c r="AD10" i="63"/>
  <c r="AF7" i="63" l="1"/>
  <c r="AE10" i="63"/>
  <c r="AG7" i="63" l="1"/>
  <c r="AF10" i="63"/>
  <c r="AG10" i="63" l="1"/>
  <c r="AH7" i="63"/>
  <c r="AI7" i="63" l="1"/>
  <c r="AH10" i="63"/>
  <c r="AJ7" i="63" l="1"/>
  <c r="AI10" i="63"/>
  <c r="AK7" i="63" l="1"/>
  <c r="AJ10" i="63"/>
  <c r="AL7" i="63" l="1"/>
  <c r="AK10" i="63"/>
  <c r="AM7" i="63" l="1"/>
  <c r="AL10" i="63"/>
  <c r="AN7" i="63" l="1"/>
  <c r="AM10" i="63"/>
  <c r="AO7" i="63" l="1"/>
  <c r="AN10" i="63"/>
  <c r="AO10" i="63" l="1"/>
  <c r="AP7" i="63"/>
  <c r="AQ7" i="63" l="1"/>
  <c r="AP10" i="63"/>
  <c r="AR7" i="63" l="1"/>
  <c r="AQ10" i="63"/>
  <c r="AS7" i="63" l="1"/>
  <c r="AR10" i="63"/>
  <c r="AT7" i="63" l="1"/>
  <c r="AS10" i="63"/>
  <c r="AU7" i="63" l="1"/>
  <c r="AT10" i="63"/>
  <c r="AV7" i="63" l="1"/>
  <c r="AU10" i="63"/>
  <c r="AW7" i="63" l="1"/>
  <c r="AV10" i="63"/>
  <c r="AW10" i="63" l="1"/>
  <c r="AX7" i="63"/>
  <c r="AY7" i="63" l="1"/>
  <c r="AX10" i="63"/>
  <c r="AZ7" i="63" l="1"/>
  <c r="AY10" i="63"/>
  <c r="BA7" i="63" l="1"/>
  <c r="AZ10" i="63"/>
  <c r="BB7" i="63" l="1"/>
  <c r="BA10" i="63"/>
  <c r="BC7" i="63" l="1"/>
  <c r="BB10" i="63"/>
  <c r="BD7" i="63" l="1"/>
  <c r="BC10" i="63"/>
  <c r="BE7" i="63" l="1"/>
  <c r="BD10" i="63"/>
  <c r="BE10" i="63" l="1"/>
  <c r="BF7" i="63"/>
  <c r="BG7" i="63" l="1"/>
  <c r="BF10" i="63"/>
  <c r="BH7" i="63" l="1"/>
  <c r="BG10" i="63"/>
  <c r="BI7" i="63" l="1"/>
  <c r="BH10" i="63"/>
  <c r="BJ7" i="63" l="1"/>
  <c r="BI10" i="63"/>
  <c r="BK7" i="63" l="1"/>
  <c r="BJ10" i="63"/>
  <c r="BL7" i="63" l="1"/>
  <c r="BK10" i="63"/>
  <c r="BM7" i="63" l="1"/>
  <c r="BL10" i="63"/>
  <c r="BM10" i="63" l="1"/>
  <c r="BN7" i="63"/>
  <c r="BO7" i="63" l="1"/>
  <c r="BN10" i="63"/>
  <c r="BP7" i="63" l="1"/>
  <c r="BO10" i="63"/>
  <c r="BQ7" i="63" l="1"/>
  <c r="BP10" i="63"/>
  <c r="BR7" i="63" l="1"/>
  <c r="BQ10" i="63"/>
  <c r="BS7" i="63" l="1"/>
  <c r="BR10" i="63"/>
  <c r="BT7" i="63" l="1"/>
  <c r="BS10" i="63"/>
  <c r="BU7" i="63" l="1"/>
  <c r="BT10" i="63"/>
  <c r="BU10" i="63" l="1"/>
  <c r="BV7" i="63"/>
  <c r="BW7" i="63" l="1"/>
  <c r="BV10" i="63"/>
  <c r="BX7" i="63" l="1"/>
  <c r="BW10" i="63"/>
  <c r="BY7" i="63" l="1"/>
  <c r="BX10" i="63"/>
  <c r="BZ7" i="63" l="1"/>
  <c r="BY10" i="63"/>
  <c r="CA7" i="63" l="1"/>
  <c r="BZ10" i="63"/>
  <c r="CB7" i="63" l="1"/>
  <c r="CA10" i="63"/>
  <c r="CC7" i="63" l="1"/>
  <c r="CB10" i="63"/>
  <c r="CC10" i="63" l="1"/>
  <c r="CD7" i="63"/>
  <c r="CE7" i="63" l="1"/>
  <c r="CD10" i="63"/>
  <c r="CF7" i="63" l="1"/>
  <c r="CE10" i="63"/>
  <c r="CG7" i="63" l="1"/>
  <c r="CF10" i="63"/>
  <c r="CH7" i="63" l="1"/>
  <c r="CH10" i="63" s="1"/>
  <c r="CG10" i="63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1" authorId="0" shapeId="0" xr:uid="{B9EF07F5-297E-4847-A700-43D1C98292FD}">
      <text>
        <r>
          <rPr>
            <i/>
            <sz val="10"/>
            <color rgb="FF000000"/>
            <rFont val="Calibri"/>
            <family val="2"/>
          </rPr>
          <t>ratio of the density of a substance to the density of water (normally dimensionless, but for fluids in kg/m3 possible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<sst xmlns="http://schemas.openxmlformats.org/spreadsheetml/2006/main" count="2848" uniqueCount="946">
  <si>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</si>
  <si>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</si>
  <si>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</si>
  <si>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</si>
  <si>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</si>
  <si>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</si>
  <si>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</si>
  <si>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</si>
  <si>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</si>
  <si>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</si>
  <si>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</si>
  <si>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</si>
  <si>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</si>
  <si>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</si>
  <si>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</si>
  <si>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</si>
  <si>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</si>
  <si>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</si>
  <si>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</si>
  <si>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</si>
  <si>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</si>
  <si>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</si>
  <si>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</si>
  <si>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</si>
  <si>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</si>
  <si>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</si>
  <si>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</si>
  <si>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</si>
  <si>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</si>
  <si>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</si>
  <si>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</si>
  <si>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</si>
  <si>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</si>
  <si>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</si>
  <si>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</si>
  <si>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</si>
  <si>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</si>
  <si>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</si>
  <si>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</si>
  <si>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</si>
  <si>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</si>
  <si>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</si>
  <si>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</si>
  <si>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</si>
  <si>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</si>
  <si>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</si>
  <si>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</si>
  <si>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</si>
  <si>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</si>
  <si>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</si>
  <si>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</si>
  <si>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</si>
  <si>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</si>
  <si>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</si>
  <si>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</si>
  <si>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</si>
  <si>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</si>
  <si>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</si>
  <si>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</si>
  <si>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</si>
  <si>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</si>
  <si>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</si>
  <si>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</si>
  <si>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</si>
  <si>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</si>
  <si>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</si>
  <si>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</si>
  <si>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</si>
  <si>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</si>
  <si>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</si>
  <si>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</si>
  <si>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</si>
  <si>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</si>
  <si>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</si>
  <si>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</si>
  <si>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</si>
  <si>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</si>
  <si>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</si>
  <si>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</si>
  <si>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</si>
  <si>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</si>
  <si>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</si>
  <si>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</si>
  <si>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</si>
  <si>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</si>
  <si>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</si>
  <si>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</si>
  <si>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</si>
  <si>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</si>
  <si>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</si>
  <si>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</si>
  <si>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</si>
  <si>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</si>
  <si>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</si>
  <si>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</si>
  <si>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</si>
  <si>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</si>
  <si>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</si>
  <si>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</si>
  <si>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</si>
  <si>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</si>
  <si>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</si>
  <si>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</si>
  <si>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</si>
  <si>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</si>
  <si>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</si>
  <si>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</si>
  <si>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</si>
  <si>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</si>
  <si>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</si>
  <si>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</si>
  <si>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</si>
  <si>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</si>
  <si>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</si>
  <si>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</si>
  <si>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</si>
  <si>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</si>
  <si>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</si>
  <si>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</si>
  <si>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</si>
  <si>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</si>
  <si>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</si>
  <si>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</si>
  <si>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</si>
  <si>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</si>
  <si>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</si>
  <si>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</si>
  <si>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</si>
  <si>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</si>
  <si>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</si>
  <si>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</si>
  <si>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</si>
  <si>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</si>
  <si>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</si>
  <si>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</si>
  <si>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</si>
  <si>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</si>
  <si>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</si>
  <si>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</si>
  <si>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</si>
  <si>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</si>
  <si>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</si>
  <si>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</si>
  <si>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</si>
  <si>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</si>
  <si>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</si>
  <si>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</si>
  <si>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</si>
  <si>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</si>
  <si>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</si>
  <si>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</si>
  <si>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</si>
  <si>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</si>
  <si>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</si>
  <si>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</si>
  <si>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</si>
  <si>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</si>
  <si>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</si>
  <si>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</si>
  <si>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</si>
  <si>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</si>
  <si>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</si>
  <si>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</si>
  <si>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</si>
  <si>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</si>
  <si>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</si>
  <si>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</si>
  <si>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</si>
  <si>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</si>
  <si>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</si>
  <si>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</si>
  <si>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</si>
  <si>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</si>
  <si>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</si>
  <si>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</si>
  <si>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</si>
  <si>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</si>
  <si>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</si>
  <si>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</si>
  <si>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</si>
  <si>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</si>
  <si>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</si>
  <si>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</si>
  <si>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</si>
  <si>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</si>
  <si>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</si>
  <si>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</si>
  <si>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</si>
  <si>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</si>
  <si>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</si>
  <si>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</si>
  <si>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</si>
  <si>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</si>
  <si>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</si>
  <si>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</si>
  <si>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</si>
  <si>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</si>
  <si>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</si>
  <si>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</si>
  <si>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</si>
  <si>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</si>
  <si>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</si>
  <si>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</si>
  <si>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</si>
  <si>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</si>
  <si>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</si>
  <si>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</si>
  <si>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</si>
  <si>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</si>
  <si>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</si>
  <si>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</si>
  <si>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</si>
  <si>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</si>
  <si>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</si>
  <si>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</si>
  <si>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</si>
  <si>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</si>
  <si>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</si>
  <si>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</si>
  <si>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</si>
  <si>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</si>
  <si>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</si>
  <si>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</si>
  <si>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</si>
  <si>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</si>
  <si>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</si>
  <si>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</si>
  <si>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</si>
  <si>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</si>
  <si>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</si>
  <si>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</si>
  <si>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</si>
  <si>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</si>
  <si>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</si>
  <si>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</si>
  <si>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</si>
  <si>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</si>
  <si>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</si>
  <si>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</si>
  <si>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</si>
  <si>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</si>
  <si>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</si>
  <si>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</si>
  <si>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</si>
  <si>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</si>
  <si>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</si>
  <si>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</si>
  <si>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</si>
  <si>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</si>
  <si>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</si>
  <si>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</si>
  <si>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</si>
  <si>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</si>
  <si>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</si>
  <si>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</si>
  <si>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</si>
  <si>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</si>
  <si>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</si>
  <si>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</si>
  <si>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</si>
  <si>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</si>
  <si>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</si>
  <si>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</si>
  <si>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</si>
  <si>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</si>
  <si>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</si>
  <si>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</si>
  <si>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</si>
  <si>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</si>
  <si>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</si>
  <si>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</si>
  <si>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</si>
  <si>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</si>
  <si>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</si>
  <si>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</si>
  <si>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</si>
  <si>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</si>
  <si>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</si>
  <si>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</si>
  <si>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</si>
  <si>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</si>
  <si>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</si>
  <si>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</si>
  <si>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</si>
  <si>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</si>
  <si>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</si>
  <si>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</si>
  <si>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</si>
  <si>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</si>
  <si>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</si>
  <si>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</si>
  <si>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</si>
  <si>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</si>
  <si>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</si>
  <si>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</si>
  <si>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</si>
  <si>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</si>
  <si>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</si>
  <si>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</si>
  <si>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</si>
  <si>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</si>
  <si>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</si>
  <si>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</si>
  <si>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</si>
  <si>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</si>
  <si>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</si>
  <si>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</si>
  <si>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</si>
  <si>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</si>
  <si>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</si>
  <si>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</si>
  <si>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</si>
  <si>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</si>
  <si>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</si>
  <si>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</si>
  <si>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</si>
  <si>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</si>
  <si>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</si>
  <si>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</si>
  <si>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</si>
  <si>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</si>
  <si>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</si>
  <si>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</si>
  <si>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</si>
  <si>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</si>
  <si>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</si>
  <si>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</si>
  <si>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</si>
  <si>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</si>
  <si>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</si>
  <si>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</si>
  <si>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</si>
  <si>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</si>
  <si>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</si>
  <si>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</si>
  <si>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</si>
  <si>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</si>
  <si>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</si>
  <si>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</si>
  <si>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</si>
  <si>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</si>
  <si>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</si>
  <si>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</si>
  <si>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</si>
  <si>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</si>
  <si>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</si>
  <si>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</si>
  <si>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</si>
  <si>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</si>
  <si>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</si>
  <si>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</si>
  <si>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</si>
  <si>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</si>
  <si>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</si>
  <si>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</si>
  <si>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</si>
  <si>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</si>
  <si>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</si>
  <si>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</si>
  <si>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</si>
  <si>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</si>
  <si>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</si>
  <si>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</si>
  <si>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</si>
  <si>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</si>
  <si>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</si>
  <si>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</si>
  <si>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</si>
  <si>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</si>
  <si>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</si>
  <si>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</si>
  <si>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</si>
  <si>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</si>
  <si>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</si>
  <si>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</si>
  <si>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</si>
  <si>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</si>
  <si>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</si>
  <si>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</si>
  <si>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</si>
  <si>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</si>
  <si>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</si>
  <si>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</si>
  <si>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</si>
  <si>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</si>
  <si>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</si>
  <si>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</si>
  <si>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</si>
  <si>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</si>
  <si>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</si>
  <si>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</si>
  <si>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</si>
  <si>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</si>
  <si>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</si>
  <si>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</si>
  <si>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</si>
  <si>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</si>
  <si>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</si>
  <si>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</si>
  <si>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</si>
  <si>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</si>
  <si>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</si>
  <si>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</si>
  <si>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</si>
  <si>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</si>
  <si>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</si>
  <si>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</si>
  <si>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</si>
  <si>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</si>
  <si>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</si>
  <si>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</si>
  <si>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</si>
  <si>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</si>
  <si>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</si>
  <si>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</si>
  <si>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</si>
  <si>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</si>
  <si>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</si>
  <si>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</si>
  <si>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</si>
  <si>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</si>
  <si>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</si>
  <si>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</si>
  <si>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</si>
  <si>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</si>
  <si>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</si>
  <si>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</si>
  <si>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</si>
  <si>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</si>
  <si>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</si>
  <si>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</si>
  <si>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</si>
  <si>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</si>
  <si>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</si>
  <si>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</si>
  <si>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</si>
  <si>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</si>
  <si>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</si>
  <si>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</si>
  <si>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</si>
  <si>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</si>
  <si>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</si>
  <si>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</si>
  <si>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</si>
  <si>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</si>
  <si>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</si>
  <si>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</si>
  <si>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</si>
  <si>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</si>
  <si>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</si>
  <si>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</si>
  <si>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</si>
  <si>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</si>
  <si>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</si>
  <si>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</si>
  <si>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</si>
  <si>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</si>
  <si>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</si>
  <si>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</si>
  <si>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</si>
  <si>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</si>
  <si>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</si>
  <si>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</si>
  <si>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</si>
  <si>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</si>
  <si>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</si>
  <si>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</si>
  <si>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</si>
  <si>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</si>
  <si>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</si>
  <si>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</si>
  <si>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</si>
  <si>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</si>
  <si>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</si>
  <si>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</si>
  <si>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</si>
  <si>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</si>
  <si>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</si>
  <si>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</si>
  <si>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</si>
  <si>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</si>
  <si>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</si>
  <si>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</si>
  <si>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</si>
  <si>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</si>
  <si>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</si>
  <si>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</si>
  <si>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</si>
  <si>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</si>
  <si>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</si>
  <si>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</si>
  <si>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</si>
  <si>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</si>
  <si>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</si>
  <si>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</si>
  <si>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</si>
  <si>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</si>
  <si>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</si>
  <si>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</si>
  <si>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</si>
  <si>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</si>
  <si>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</si>
  <si>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</si>
  <si>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</si>
  <si>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</si>
  <si>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</si>
  <si>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</si>
  <si>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</si>
  <si>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</si>
  <si>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</si>
  <si>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</si>
  <si>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</si>
  <si>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</si>
  <si>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</si>
  <si>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</si>
  <si>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</si>
  <si>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</si>
  <si>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</si>
  <si>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</si>
  <si>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</si>
  <si>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</si>
  <si>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</si>
  <si>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</si>
  <si>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</si>
  <si>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</si>
  <si>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</si>
  <si>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</si>
  <si>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</si>
  <si>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</si>
  <si>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</si>
  <si>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</si>
  <si>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</si>
  <si>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</si>
  <si>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</si>
  <si>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</si>
  <si>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</si>
  <si>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</si>
  <si>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</si>
  <si>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</si>
  <si>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</si>
  <si>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</si>
  <si>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</si>
  <si>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</si>
  <si>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</si>
  <si>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</si>
  <si>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</si>
  <si>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</si>
  <si>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</si>
  <si>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</si>
  <si>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</si>
  <si>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</si>
  <si>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</si>
  <si>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</si>
  <si>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</si>
  <si>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</si>
  <si>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</si>
  <si>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</si>
  <si>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</si>
  <si>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</si>
  <si>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</si>
  <si>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</si>
  <si>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</si>
  <si>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</si>
  <si>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</si>
  <si>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</si>
  <si>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</si>
  <si>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</si>
  <si>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</si>
  <si>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</si>
  <si>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</si>
  <si>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</si>
  <si>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</si>
  <si>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</si>
  <si>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</si>
  <si>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</si>
  <si>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</si>
  <si>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</si>
  <si>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</si>
  <si>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</si>
  <si>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</si>
  <si>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</si>
  <si>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</si>
  <si>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</si>
  <si>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</si>
  <si>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</si>
  <si>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</si>
  <si>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</si>
  <si>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</si>
  <si>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</si>
  <si>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</si>
  <si>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</si>
  <si>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</si>
  <si>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</si>
  <si>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</si>
  <si>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</si>
  <si>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</si>
  <si>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</si>
  <si>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</si>
  <si>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</si>
  <si>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</si>
  <si>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</si>
  <si>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</si>
  <si>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</si>
  <si>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</si>
  <si>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</si>
  <si>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</si>
  <si>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</si>
  <si>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</si>
  <si>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</si>
  <si>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</si>
  <si>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</si>
  <si>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</si>
  <si>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</si>
  <si>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</si>
  <si>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</si>
  <si>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</si>
  <si>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</si>
  <si>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</si>
  <si>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</si>
  <si>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</si>
  <si>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</si>
  <si>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</si>
  <si>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>Steel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</si>
  <si>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</si>
  <si>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</si>
  <si>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</si>
  <si>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</si>
  <si>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</si>
  <si>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</si>
  <si>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</si>
  <si>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</si>
  <si>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</si>
  <si>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</si>
  <si>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</si>
  <si>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</si>
  <si>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</si>
  <si>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</si>
  <si>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</si>
  <si>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</si>
  <si>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</si>
  <si>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</si>
  <si>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</si>
  <si>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</si>
  <si>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</si>
  <si>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</si>
  <si>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</si>
  <si>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</si>
  <si>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</si>
  <si>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</si>
  <si>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</si>
  <si>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</si>
  <si>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</si>
  <si>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</si>
  <si>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</si>
  <si>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</si>
  <si>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</si>
  <si>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</si>
  <si>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</si>
  <si>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</si>
  <si>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</si>
  <si>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</si>
  <si>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</si>
  <si>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</si>
  <si>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</si>
  <si>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</si>
  <si>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</si>
  <si>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</si>
  <si>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</si>
  <si>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</si>
  <si>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</si>
  <si>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</si>
  <si>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</si>
  <si>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</si>
  <si>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</si>
  <si>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</si>
  <si>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</si>
  <si>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</si>
  <si>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</si>
  <si>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</si>
  <si>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</si>
  <si>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</si>
  <si>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</si>
  <si>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</si>
  <si>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</si>
  <si>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</si>
  <si>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</si>
  <si>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</si>
  <si>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</si>
  <si>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</si>
  <si>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</si>
  <si>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</si>
  <si>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</si>
  <si>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</si>
  <si>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</si>
  <si>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</si>
  <si>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</si>
  <si>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</si>
  <si>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</si>
  <si>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</si>
  <si>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</si>
  <si>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</si>
  <si>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</si>
  <si>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</si>
  <si>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</si>
  <si>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</si>
  <si>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</si>
  <si>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</si>
  <si>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</si>
  <si>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</si>
  <si>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</si>
  <si>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</si>
  <si>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</si>
  <si>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</si>
  <si>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</si>
  <si>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</si>
  <si>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</si>
  <si>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</si>
  <si>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</si>
  <si>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</si>
  <si>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</si>
  <si>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</si>
  <si>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</si>
  <si>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</si>
  <si>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</si>
  <si>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</si>
  <si>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</si>
  <si>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</si>
  <si>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</si>
  <si>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</si>
  <si>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</si>
  <si>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</si>
  <si>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</si>
  <si>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</si>
  <si>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</si>
  <si>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</si>
  <si>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</si>
  <si>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</si>
  <si>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</si>
  <si>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</si>
  <si>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</si>
  <si>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</si>
  <si>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</si>
  <si>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</si>
  <si>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</si>
  <si>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</si>
  <si>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</si>
  <si>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</si>
  <si>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</si>
  <si>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</si>
  <si>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</si>
  <si>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</si>
  <si>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</si>
  <si>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</si>
  <si>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</si>
  <si>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</si>
  <si>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</si>
  <si>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</si>
  <si>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</si>
  <si>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</si>
  <si>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</si>
  <si>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</si>
  <si>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</si>
  <si>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</si>
  <si>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</si>
  <si>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</si>
  <si>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</si>
  <si>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</si>
  <si>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</si>
  <si>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</si>
  <si>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</si>
  <si>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</si>
  <si>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</si>
  <si>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</si>
  <si>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</si>
  <si>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</si>
  <si>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</si>
  <si>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</si>
  <si>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</si>
  <si>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</si>
  <si>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</si>
  <si>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</si>
  <si>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</si>
  <si>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</si>
  <si>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</si>
  <si>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</si>
  <si>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</si>
  <si>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</si>
  <si>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</si>
  <si>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</si>
  <si>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</si>
  <si>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</si>
  <si>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</si>
  <si>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</si>
  <si>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</si>
  <si>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</si>
  <si>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</si>
  <si>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</si>
  <si>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</si>
  <si>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</si>
  <si>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</si>
  <si>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</si>
  <si>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</si>
  <si>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</si>
  <si>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</si>
  <si>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</si>
  <si>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</si>
  <si>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</si>
  <si>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</si>
  <si>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Unsorted</t>
  </si>
  <si>
    <t>Sorted</t>
  </si>
  <si>
    <t>Current Year´s Output</t>
  </si>
  <si>
    <t>Item ID &amp; OP</t>
  </si>
  <si>
    <t>Item ID &amp; WS</t>
  </si>
  <si>
    <t xml:space="preserve">Yield Strength (MPa) </t>
  </si>
  <si>
    <t xml:space="preserve">Steel 1020 </t>
  </si>
  <si>
    <t xml:space="preserve">Ti-alloy </t>
  </si>
  <si>
    <t xml:space="preserve">CFRP </t>
  </si>
  <si>
    <t xml:space="preserve">KFRP </t>
  </si>
  <si>
    <t xml:space="preserve">GFRP </t>
  </si>
  <si>
    <t>Specific Gravity</t>
  </si>
  <si>
    <t xml:space="preserve">Performance Index (γ) </t>
  </si>
  <si>
    <t xml:space="preserve">Material </t>
  </si>
  <si>
    <t xml:space="preserve">Working Stress (MPa) </t>
  </si>
  <si>
    <t xml:space="preserve">Relative Cost b </t>
  </si>
  <si>
    <t>Cost of Unit Strength (€/Nm)</t>
  </si>
  <si>
    <t xml:space="preserve">Scaled Properties </t>
  </si>
  <si>
    <t>Levelized Cost of Unit Strength (€/Nm)</t>
  </si>
  <si>
    <t>Figure of merit</t>
  </si>
  <si>
    <t>Tensile Strength</t>
  </si>
  <si>
    <t xml:space="preserve">Toughness  </t>
  </si>
  <si>
    <t>MN m-3/2</t>
  </si>
  <si>
    <t xml:space="preserve">Density </t>
  </si>
  <si>
    <t>Unit</t>
  </si>
  <si>
    <t>MPa</t>
  </si>
  <si>
    <t>GPa</t>
  </si>
  <si>
    <t>t/m3</t>
  </si>
  <si>
    <t>Relative</t>
  </si>
  <si>
    <t>Yield Strength</t>
  </si>
  <si>
    <t xml:space="preserve">Young’s Modulus </t>
  </si>
  <si>
    <t>Acetylene</t>
  </si>
  <si>
    <t>Air, dry</t>
  </si>
  <si>
    <t>Alcohol</t>
  </si>
  <si>
    <t>Aluminum</t>
  </si>
  <si>
    <t>Brass</t>
  </si>
  <si>
    <t>Cadmium</t>
  </si>
  <si>
    <t>Carbon dioxide</t>
  </si>
  <si>
    <t>Carbon monoxide</t>
  </si>
  <si>
    <t>Cast iron</t>
  </si>
  <si>
    <t>Chromium</t>
  </si>
  <si>
    <t>Copper</t>
  </si>
  <si>
    <t>Hydrogen</t>
  </si>
  <si>
    <t>Lead</t>
  </si>
  <si>
    <t>Mercury</t>
  </si>
  <si>
    <t>Nickel</t>
  </si>
  <si>
    <t>Nitrogen</t>
  </si>
  <si>
    <t>Nylon</t>
  </si>
  <si>
    <t>Oxygen</t>
  </si>
  <si>
    <t>Paraffin</t>
  </si>
  <si>
    <t>Petrol</t>
  </si>
  <si>
    <t>PVC</t>
  </si>
  <si>
    <t>Rubber</t>
  </si>
  <si>
    <t>Tin</t>
  </si>
  <si>
    <t>Water, sea</t>
  </si>
  <si>
    <t>Wood, Oak</t>
  </si>
  <si>
    <t>Zinc</t>
  </si>
  <si>
    <t>Cost per ton</t>
  </si>
  <si>
    <t xml:space="preserve"> €/t</t>
  </si>
  <si>
    <t>Water (4℃)</t>
  </si>
  <si>
    <t>kg/m3</t>
  </si>
  <si>
    <t>Density of water at 4℃ (kg/m3)</t>
  </si>
  <si>
    <t>Specific Gravity (kg/m3)</t>
  </si>
  <si>
    <t>Safety Factor 
Working Stress</t>
  </si>
  <si>
    <t>Your height (cm)</t>
  </si>
  <si>
    <t>Your length of seat tube Road Bike (cm)</t>
  </si>
  <si>
    <t>Your length of seat tube Mountain Bike (cm)</t>
  </si>
  <si>
    <t>Your bike size</t>
  </si>
  <si>
    <t>Personal Height (US)</t>
  </si>
  <si>
    <t>Personal Height (cm)</t>
  </si>
  <si>
    <t>Length of seat tube Road bike</t>
  </si>
  <si>
    <t>Length of seat tube Road bike (cm)</t>
  </si>
  <si>
    <t>Length of seat tube Mountain bike</t>
  </si>
  <si>
    <t>Length of seat tube Mountain bike (inch)</t>
  </si>
  <si>
    <t>Height (feet)</t>
  </si>
  <si>
    <t xml:space="preserve"> (inch)</t>
  </si>
  <si>
    <t>Height (cm)</t>
  </si>
  <si>
    <t>Length of seat tube Mountain bike (cm)</t>
  </si>
  <si>
    <t>Bike size</t>
  </si>
  <si>
    <t>4’8” – 5’1”</t>
  </si>
  <si>
    <t>143 – 155 cm</t>
  </si>
  <si>
    <t>44 – XXS</t>
  </si>
  <si>
    <t>13” – XXS</t>
  </si>
  <si>
    <t>5’1” – 5’4”</t>
  </si>
  <si>
    <t>155 – 163 cm</t>
  </si>
  <si>
    <t>48 – XS</t>
  </si>
  <si>
    <t>15” – XS</t>
  </si>
  <si>
    <t>Conversion</t>
  </si>
  <si>
    <t>5’4” – 5’7”</t>
  </si>
  <si>
    <t>163 – 170 cm</t>
  </si>
  <si>
    <t>51 – S</t>
  </si>
  <si>
    <t>16” – S</t>
  </si>
  <si>
    <t>feet</t>
  </si>
  <si>
    <t>cm</t>
  </si>
  <si>
    <t>inch</t>
  </si>
  <si>
    <t>5’7” – 5’10”</t>
  </si>
  <si>
    <t>170 – 178 cm</t>
  </si>
  <si>
    <t>54 – M</t>
  </si>
  <si>
    <t>18” – M</t>
  </si>
  <si>
    <t>5’10” – 6’0”</t>
  </si>
  <si>
    <t>178 – 183 cm</t>
  </si>
  <si>
    <t>56 – L</t>
  </si>
  <si>
    <t>19” – L</t>
  </si>
  <si>
    <t>6’0” – 6’3”</t>
  </si>
  <si>
    <t>183 – 191 cm</t>
  </si>
  <si>
    <t>58 – XL</t>
  </si>
  <si>
    <t>20” – XL</t>
  </si>
  <si>
    <t>6’3” – 6’5”</t>
  </si>
  <si>
    <t>191 – 196 cm</t>
  </si>
  <si>
    <t>60 – XXL</t>
  </si>
  <si>
    <t>21” – XXL</t>
  </si>
  <si>
    <t>6’5” – 6’9”</t>
  </si>
  <si>
    <t>196 – 205 cm</t>
  </si>
  <si>
    <t>62 - XXXL</t>
  </si>
  <si>
    <t>22” – XXXL</t>
  </si>
  <si>
    <t>Personal Hight low (cm)</t>
  </si>
  <si>
    <t>Length of seat tube Road bike (size)</t>
  </si>
  <si>
    <t>Length of seat tube Mountain bike (size)</t>
  </si>
  <si>
    <t>WS</t>
  </si>
  <si>
    <t>Annual Ouput</t>
  </si>
  <si>
    <t>Production Lot Size</t>
  </si>
  <si>
    <t>Annual Production Lots</t>
  </si>
  <si>
    <t>Execution Time [min]</t>
  </si>
  <si>
    <t>Annual Total Cycle Time [min/a]</t>
  </si>
  <si>
    <t>Annual Cycle Time [h/a]</t>
  </si>
  <si>
    <t>Annual Production Lots Rank</t>
  </si>
  <si>
    <t>Min Lots per WS</t>
  </si>
  <si>
    <t>Different Lots</t>
  </si>
  <si>
    <t>Unique Distinct Values of WS</t>
  </si>
  <si>
    <t>Helper Table</t>
  </si>
  <si>
    <t>Annual Business Days [d]</t>
  </si>
  <si>
    <t>Labor Hours per Day [h/d]</t>
  </si>
  <si>
    <t>Performance</t>
  </si>
  <si>
    <t>Effective Annual Labor Hours</t>
  </si>
  <si>
    <t>Required Annual Total Cycle Time per WS [h/a]</t>
  </si>
  <si>
    <t>Annual Labor Hours [h/a]</t>
  </si>
  <si>
    <t># of Required Machines</t>
  </si>
  <si>
    <t>Max Lots per WS2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</si>
</sst>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"/>
    <numFmt numFmtId="166" formatCode="0.000"/>
  </numFmts>
  <fonts count="3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i/>
      <sz val="10"/>
      <color rgb="FF000000"/>
      <name val="Calibri"/>
      <family val="2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/>
    <xf numFmtId="9" fontId="7" fillId="0" borderId="0" applyFont="0" applyFill="0" applyBorder="0" applyAlignment="0" applyProtection="0"/>
  </cellStyleXfs>
  <cellXfs count="32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9" fillId="5" borderId="0" xfId="1" applyFont="1" applyFill="1"/>
    <xf numFmtId="0" fontId="7" fillId="5" borderId="0" xfId="1" applyFill="1"/>
    <xf numFmtId="0" fontId="10" fillId="5" borderId="0" xfId="1" applyFont="1" applyFill="1"/>
    <xf numFmtId="0" fontId="9" fillId="5" borderId="37" xfId="1" applyFont="1" applyFill="1" applyBorder="1"/>
    <xf numFmtId="0" fontId="9" fillId="5" borderId="38" xfId="1" applyFont="1" applyFill="1" applyBorder="1"/>
    <xf numFmtId="0" fontId="11" fillId="5" borderId="0" xfId="1" applyFont="1" applyFill="1"/>
    <xf numFmtId="0" fontId="12" fillId="5" borderId="0" xfId="1" applyFont="1" applyFill="1"/>
    <xf numFmtId="0" fontId="12" fillId="5" borderId="37" xfId="1" applyFont="1" applyFill="1" applyBorder="1" applyAlignment="1">
      <alignment horizontal="center" vertical="center"/>
    </xf>
    <xf numFmtId="0" fontId="12" fillId="5" borderId="38" xfId="1" applyFont="1" applyFill="1" applyBorder="1" applyAlignment="1">
      <alignment horizontal="center" vertical="center"/>
    </xf>
    <xf numFmtId="0" fontId="12" fillId="5" borderId="0" xfId="1" applyFont="1" applyFill="1" applyAlignment="1">
      <alignment vertical="center"/>
    </xf>
    <xf numFmtId="0" fontId="11" fillId="5" borderId="0" xfId="1" applyFont="1" applyFill="1" applyAlignment="1">
      <alignment vertical="center"/>
    </xf>
    <xf numFmtId="0" fontId="7" fillId="5" borderId="0" xfId="1" applyFill="1" applyAlignment="1">
      <alignment horizontal="center" vertical="center"/>
    </xf>
    <xf numFmtId="0" fontId="12" fillId="5" borderId="37" xfId="1" applyFont="1" applyFill="1" applyBorder="1"/>
    <xf numFmtId="0" fontId="12" fillId="5" borderId="38" xfId="1" applyFont="1" applyFill="1" applyBorder="1"/>
    <xf numFmtId="0" fontId="11" fillId="5" borderId="0" xfId="1" applyFont="1" applyFill="1" applyAlignment="1">
      <alignment horizontal="center" vertical="center"/>
    </xf>
    <xf numFmtId="0" fontId="10" fillId="5" borderId="0" xfId="1" applyFont="1" applyFill="1" applyAlignment="1">
      <alignment horizontal="center" vertical="center"/>
    </xf>
    <xf numFmtId="0" fontId="11" fillId="5" borderId="37" xfId="1" applyFont="1" applyFill="1" applyBorder="1"/>
    <xf numFmtId="0" fontId="11" fillId="5" borderId="38" xfId="1" applyFont="1" applyFill="1" applyBorder="1"/>
    <xf numFmtId="0" fontId="15" fillId="6" borderId="46" xfId="1" applyFont="1" applyFill="1" applyBorder="1"/>
    <xf numFmtId="0" fontId="15" fillId="6" borderId="40" xfId="1" applyFont="1" applyFill="1" applyBorder="1" applyAlignment="1">
      <alignment horizontal="center" vertical="center" textRotation="90" wrapText="1"/>
    </xf>
    <xf numFmtId="0" fontId="15" fillId="6" borderId="41" xfId="1" applyFont="1" applyFill="1" applyBorder="1" applyAlignment="1">
      <alignment horizontal="center" vertical="center" wrapText="1"/>
    </xf>
    <xf numFmtId="0" fontId="15" fillId="6" borderId="47" xfId="1" applyFont="1" applyFill="1" applyBorder="1"/>
    <xf numFmtId="0" fontId="7" fillId="6" borderId="1" xfId="1" applyFill="1" applyBorder="1" applyAlignment="1">
      <alignment horizontal="center" vertical="center"/>
    </xf>
    <xf numFmtId="0" fontId="18" fillId="7" borderId="1" xfId="1" applyFont="1" applyFill="1" applyBorder="1" applyAlignment="1">
      <alignment horizontal="left" vertical="center"/>
    </xf>
    <xf numFmtId="0" fontId="20" fillId="5" borderId="1" xfId="1" applyFont="1" applyFill="1" applyBorder="1" applyAlignment="1">
      <alignment horizontal="center" vertical="center"/>
    </xf>
    <xf numFmtId="0" fontId="15" fillId="5" borderId="0" xfId="1" applyFont="1" applyFill="1"/>
    <xf numFmtId="9" fontId="15" fillId="5" borderId="0" xfId="2" applyFont="1" applyFill="1"/>
    <xf numFmtId="0" fontId="4" fillId="0" borderId="0" xfId="1" applyFont="1"/>
    <xf numFmtId="0" fontId="6" fillId="0" borderId="0" xfId="1" applyFont="1"/>
    <xf numFmtId="0" fontId="6" fillId="2" borderId="1" xfId="1" applyFont="1" applyFill="1" applyBorder="1"/>
    <xf numFmtId="0" fontId="6" fillId="0" borderId="1" xfId="1" applyFont="1" applyBorder="1"/>
    <xf numFmtId="2" fontId="6" fillId="0" borderId="1" xfId="1" applyNumberFormat="1" applyFont="1" applyBorder="1"/>
    <xf numFmtId="0" fontId="6" fillId="0" borderId="7" xfId="1" applyFont="1" applyBorder="1"/>
    <xf numFmtId="0" fontId="6" fillId="2" borderId="7" xfId="1" applyFont="1" applyFill="1" applyBorder="1"/>
    <xf numFmtId="0" fontId="1" fillId="2" borderId="0" xfId="1" applyFont="1" applyFill="1"/>
    <xf numFmtId="0" fontId="1" fillId="2" borderId="1" xfId="1" applyFon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2" fontId="7" fillId="0" borderId="1" xfId="1" applyNumberFormat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 wrapText="1" readingOrder="1"/>
    </xf>
    <xf numFmtId="0" fontId="1" fillId="2" borderId="48" xfId="0" applyFont="1" applyFill="1" applyBorder="1" applyAlignment="1">
      <alignment horizontal="center" vertical="center" wrapText="1" readingOrder="1"/>
    </xf>
    <xf numFmtId="0" fontId="1" fillId="8" borderId="10" xfId="0" applyFont="1" applyFill="1" applyBorder="1" applyAlignment="1">
      <alignment horizontal="center" vertical="center" wrapText="1" readingOrder="1"/>
    </xf>
    <xf numFmtId="0" fontId="1" fillId="8" borderId="9" xfId="0" applyFont="1" applyFill="1" applyBorder="1" applyAlignment="1">
      <alignment horizontal="center" vertical="center" wrapText="1" readingOrder="1"/>
    </xf>
    <xf numFmtId="0" fontId="1" fillId="8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8" borderId="48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8" borderId="35" xfId="0" applyFont="1" applyFill="1" applyBorder="1" applyAlignment="1">
      <alignment horizontal="center" vertical="center" wrapText="1" readingOrder="1"/>
    </xf>
    <xf numFmtId="0" fontId="5" fillId="0" borderId="49" xfId="0" applyFont="1" applyBorder="1" applyAlignment="1">
      <alignment horizontal="center" vertical="center" wrapText="1" readingOrder="1"/>
    </xf>
    <xf numFmtId="0" fontId="2" fillId="8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8" borderId="2" xfId="0" applyFont="1" applyFill="1" applyBorder="1" applyAlignment="1">
      <alignment horizontal="center" vertical="center" wrapText="1" readingOrder="1"/>
    </xf>
    <xf numFmtId="0" fontId="2" fillId="8" borderId="3" xfId="0" applyFont="1" applyFill="1" applyBorder="1" applyAlignment="1">
      <alignment horizontal="center" vertical="center" wrapText="1" readingOrder="1"/>
    </xf>
    <xf numFmtId="0" fontId="2" fillId="8" borderId="23" xfId="0" applyFont="1" applyFill="1" applyBorder="1" applyAlignment="1">
      <alignment horizontal="center" vertical="center" wrapText="1" readingOrder="1"/>
    </xf>
    <xf numFmtId="0" fontId="2" fillId="8" borderId="24" xfId="0" applyFont="1" applyFill="1" applyBorder="1" applyAlignment="1">
      <alignment horizontal="center" vertical="center" wrapText="1" readingOrder="1"/>
    </xf>
    <xf numFmtId="0" fontId="2" fillId="8" borderId="25" xfId="0" applyFont="1" applyFill="1" applyBorder="1" applyAlignment="1">
      <alignment horizontal="center" vertical="center" wrapText="1" readingOrder="1"/>
    </xf>
    <xf numFmtId="0" fontId="2" fillId="8" borderId="33" xfId="0" applyFont="1" applyFill="1" applyBorder="1" applyAlignment="1">
      <alignment horizontal="center" vertical="center" wrapText="1" readingOrder="1"/>
    </xf>
    <xf numFmtId="0" fontId="2" fillId="8" borderId="34" xfId="0" applyFont="1" applyFill="1" applyBorder="1" applyAlignment="1">
      <alignment horizontal="center" vertical="center" wrapText="1" readingOrder="1"/>
    </xf>
    <xf numFmtId="0" fontId="2" fillId="8" borderId="5" xfId="0" applyFont="1" applyFill="1" applyBorder="1" applyAlignment="1">
      <alignment horizontal="center" vertical="center" wrapText="1" readingOrder="1"/>
    </xf>
    <xf numFmtId="0" fontId="2" fillId="8" borderId="22" xfId="0" applyFont="1" applyFill="1" applyBorder="1" applyAlignment="1">
      <alignment horizontal="center" vertical="center" wrapText="1" readingOrder="1"/>
    </xf>
    <xf numFmtId="0" fontId="2" fillId="8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2" fillId="5" borderId="0" xfId="1" applyFont="1" applyFill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right" vertical="center" wrapText="1"/>
    </xf>
    <xf numFmtId="4" fontId="23" fillId="0" borderId="1" xfId="0" applyNumberFormat="1" applyFont="1" applyBorder="1" applyAlignment="1">
      <alignment horizontal="right" vertical="center" wrapText="1"/>
    </xf>
    <xf numFmtId="10" fontId="23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4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9" borderId="1" xfId="0" applyNumberFormat="1" applyFill="1" applyBorder="1"/>
    <xf numFmtId="0" fontId="24" fillId="10" borderId="4" xfId="0" applyFont="1" applyFill="1" applyBorder="1" applyAlignment="1">
      <alignment horizontal="center" vertical="center" wrapText="1"/>
    </xf>
    <xf numFmtId="0" fontId="24" fillId="10" borderId="13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5" fillId="0" borderId="36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8" borderId="23" xfId="0" applyFont="1" applyFill="1" applyBorder="1" applyAlignment="1">
      <alignment horizontal="center" vertical="center" wrapText="1" readingOrder="1"/>
    </xf>
    <xf numFmtId="0" fontId="1" fillId="8" borderId="24" xfId="0" applyFont="1" applyFill="1" applyBorder="1" applyAlignment="1">
      <alignment horizontal="center" vertical="center" wrapText="1" readingOrder="1"/>
    </xf>
    <xf numFmtId="0" fontId="1" fillId="8" borderId="25" xfId="0" applyFont="1" applyFill="1" applyBorder="1" applyAlignment="1">
      <alignment horizontal="center" vertical="center" wrapText="1" readingOrder="1"/>
    </xf>
    <xf numFmtId="0" fontId="1" fillId="8" borderId="34" xfId="0" applyFont="1" applyFill="1" applyBorder="1" applyAlignment="1">
      <alignment horizontal="center" vertical="center" wrapText="1" readingOrder="1"/>
    </xf>
    <xf numFmtId="0" fontId="0" fillId="11" borderId="1" xfId="0" applyFill="1" applyBorder="1" applyAlignment="1">
      <alignment vertical="center"/>
    </xf>
    <xf numFmtId="3" fontId="0" fillId="11" borderId="1" xfId="0" applyNumberFormat="1" applyFill="1" applyBorder="1" applyAlignment="1">
      <alignment horizontal="right" vertical="center"/>
    </xf>
    <xf numFmtId="3" fontId="0" fillId="11" borderId="1" xfId="0" applyNumberFormat="1" applyFill="1" applyBorder="1" applyAlignment="1">
      <alignment vertical="center" wrapText="1"/>
    </xf>
    <xf numFmtId="164" fontId="0" fillId="11" borderId="1" xfId="0" applyNumberFormat="1" applyFill="1" applyBorder="1" applyAlignment="1">
      <alignment vertical="center" wrapText="1"/>
    </xf>
    <xf numFmtId="10" fontId="0" fillId="11" borderId="1" xfId="0" applyNumberFormat="1" applyFill="1" applyBorder="1" applyAlignment="1">
      <alignment vertical="center"/>
    </xf>
    <xf numFmtId="0" fontId="4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/>
    <xf numFmtId="0" fontId="25" fillId="0" borderId="1" xfId="0" applyFont="1" applyBorder="1" applyAlignment="1">
      <alignment horizontal="center"/>
    </xf>
    <xf numFmtId="0" fontId="25" fillId="0" borderId="1" xfId="0" applyFont="1" applyBorder="1" applyAlignment="1">
      <alignment horizontal="left"/>
    </xf>
    <xf numFmtId="0" fontId="26" fillId="2" borderId="1" xfId="0" applyFont="1" applyFill="1" applyBorder="1" applyAlignment="1">
      <alignment horizontal="center"/>
    </xf>
    <xf numFmtId="0" fontId="26" fillId="0" borderId="1" xfId="0" applyFont="1" applyBorder="1" applyAlignment="1">
      <alignment horizontal="center"/>
    </xf>
    <xf numFmtId="2" fontId="26" fillId="0" borderId="1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4" fillId="0" borderId="1" xfId="0" applyFont="1" applyBorder="1"/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1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right" vertical="center"/>
    </xf>
    <xf numFmtId="0" fontId="27" fillId="2" borderId="1" xfId="0" applyFont="1" applyFill="1" applyBorder="1" applyAlignment="1">
      <alignment horizontal="center" vertical="center"/>
    </xf>
    <xf numFmtId="11" fontId="27" fillId="2" borderId="1" xfId="0" applyNumberFormat="1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wrapText="1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6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 applyAlignment="1">
      <alignment horizontal="left"/>
    </xf>
    <xf numFmtId="0" fontId="2" fillId="0" borderId="16" xfId="0" applyFont="1" applyBorder="1"/>
    <xf numFmtId="0" fontId="2" fillId="0" borderId="23" xfId="0" applyFont="1" applyBorder="1"/>
    <xf numFmtId="0" fontId="2" fillId="0" borderId="25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" fillId="0" borderId="0" xfId="0" applyFont="1"/>
    <xf numFmtId="0" fontId="0" fillId="9" borderId="1" xfId="0" applyFill="1" applyBorder="1"/>
    <xf numFmtId="0" fontId="29" fillId="0" borderId="1" xfId="0" applyFont="1" applyBorder="1"/>
    <xf numFmtId="0" fontId="29" fillId="9" borderId="1" xfId="0" applyFont="1" applyFill="1" applyBorder="1"/>
    <xf numFmtId="0" fontId="2" fillId="0" borderId="0" xfId="0" applyFont="1" applyAlignment="1">
      <alignment horizontal="center" vertical="center"/>
    </xf>
    <xf numFmtId="1" fontId="0" fillId="0" borderId="0" xfId="0" applyNumberFormat="1"/>
    <xf numFmtId="0" fontId="1" fillId="2" borderId="21" xfId="0" applyFont="1" applyFill="1" applyBorder="1"/>
    <xf numFmtId="1" fontId="2" fillId="5" borderId="1" xfId="0" applyNumberFormat="1" applyFont="1" applyFill="1" applyBorder="1"/>
    <xf numFmtId="0" fontId="2" fillId="5" borderId="1" xfId="0" applyFont="1" applyFill="1" applyBorder="1"/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9" fontId="15" fillId="7" borderId="7" xfId="2" applyFont="1" applyFill="1" applyBorder="1" applyAlignment="1">
      <alignment horizontal="center" vertical="center"/>
    </xf>
    <xf numFmtId="9" fontId="15" fillId="7" borderId="45" xfId="2" applyFont="1" applyFill="1" applyBorder="1" applyAlignment="1">
      <alignment horizontal="center" vertical="center"/>
    </xf>
    <xf numFmtId="9" fontId="15" fillId="7" borderId="16" xfId="2" applyFont="1" applyFill="1" applyBorder="1" applyAlignment="1">
      <alignment horizontal="center" vertical="center"/>
    </xf>
    <xf numFmtId="0" fontId="21" fillId="7" borderId="7" xfId="1" applyFont="1" applyFill="1" applyBorder="1" applyAlignment="1">
      <alignment horizontal="center" textRotation="90"/>
    </xf>
    <xf numFmtId="0" fontId="21" fillId="7" borderId="45" xfId="1" applyFont="1" applyFill="1" applyBorder="1" applyAlignment="1">
      <alignment horizontal="center" textRotation="90"/>
    </xf>
    <xf numFmtId="0" fontId="21" fillId="7" borderId="16" xfId="1" applyFont="1" applyFill="1" applyBorder="1" applyAlignment="1">
      <alignment horizontal="center" textRotation="90"/>
    </xf>
    <xf numFmtId="0" fontId="7" fillId="6" borderId="1" xfId="1" applyFill="1" applyBorder="1" applyAlignment="1">
      <alignment horizontal="right" vertical="center"/>
    </xf>
    <xf numFmtId="0" fontId="15" fillId="7" borderId="7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5" fillId="7" borderId="16" xfId="1" applyFont="1" applyFill="1" applyBorder="1" applyAlignment="1">
      <alignment horizontal="center" vertical="center"/>
    </xf>
    <xf numFmtId="9" fontId="15" fillId="6" borderId="1" xfId="2" applyFont="1" applyFill="1" applyBorder="1" applyAlignment="1">
      <alignment horizontal="right" vertical="center"/>
    </xf>
    <xf numFmtId="0" fontId="15" fillId="6" borderId="1" xfId="1" applyFont="1" applyFill="1" applyBorder="1" applyAlignment="1">
      <alignment horizontal="right" vertical="center"/>
    </xf>
    <xf numFmtId="1" fontId="15" fillId="0" borderId="7" xfId="1" applyNumberFormat="1" applyFont="1" applyBorder="1" applyAlignment="1">
      <alignment horizontal="center" vertical="center"/>
    </xf>
    <xf numFmtId="1" fontId="15" fillId="0" borderId="45" xfId="1" applyNumberFormat="1" applyFont="1" applyBorder="1" applyAlignment="1">
      <alignment horizontal="center" vertical="center"/>
    </xf>
    <xf numFmtId="1" fontId="15" fillId="0" borderId="16" xfId="1" applyNumberFormat="1" applyFont="1" applyBorder="1" applyAlignment="1">
      <alignment horizontal="center" vertical="center"/>
    </xf>
    <xf numFmtId="0" fontId="7" fillId="0" borderId="7" xfId="1" applyBorder="1" applyAlignment="1">
      <alignment horizontal="center" vertical="center" textRotation="90" wrapText="1"/>
    </xf>
    <xf numFmtId="0" fontId="7" fillId="0" borderId="45" xfId="1" applyBorder="1" applyAlignment="1">
      <alignment horizontal="center" vertical="center" textRotation="90" wrapText="1"/>
    </xf>
    <xf numFmtId="0" fontId="7" fillId="0" borderId="16" xfId="1" applyBorder="1" applyAlignment="1">
      <alignment horizontal="center" vertical="center" textRotation="90" wrapText="1"/>
    </xf>
    <xf numFmtId="9" fontId="7" fillId="0" borderId="7" xfId="1" applyNumberFormat="1" applyBorder="1" applyAlignment="1">
      <alignment horizontal="center" vertical="center" textRotation="90" wrapText="1"/>
    </xf>
    <xf numFmtId="0" fontId="19" fillId="0" borderId="7" xfId="1" applyFont="1" applyBorder="1" applyAlignment="1">
      <alignment horizontal="center" vertical="center"/>
    </xf>
    <xf numFmtId="0" fontId="19" fillId="0" borderId="45" xfId="1" applyFont="1" applyBorder="1" applyAlignment="1">
      <alignment horizontal="center" vertical="center"/>
    </xf>
    <xf numFmtId="0" fontId="19" fillId="0" borderId="16" xfId="1" applyFont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4" xfId="1" applyBorder="1" applyAlignment="1">
      <alignment horizontal="center" vertical="center" textRotation="90"/>
    </xf>
    <xf numFmtId="0" fontId="7" fillId="0" borderId="39" xfId="1" applyBorder="1" applyAlignment="1">
      <alignment horizontal="center" vertical="center" textRotation="90"/>
    </xf>
    <xf numFmtId="0" fontId="7" fillId="0" borderId="40" xfId="1" applyBorder="1" applyAlignment="1">
      <alignment horizontal="center" vertical="center" textRotation="90"/>
    </xf>
    <xf numFmtId="0" fontId="7" fillId="0" borderId="41" xfId="1" applyBorder="1" applyAlignment="1">
      <alignment horizontal="center" vertical="center" textRotation="90"/>
    </xf>
    <xf numFmtId="0" fontId="7" fillId="0" borderId="8" xfId="1" applyBorder="1" applyAlignment="1">
      <alignment horizontal="center" vertical="center" textRotation="90"/>
    </xf>
    <xf numFmtId="0" fontId="7" fillId="0" borderId="42" xfId="1" applyBorder="1" applyAlignment="1">
      <alignment horizontal="center" vertical="center" textRotation="90"/>
    </xf>
    <xf numFmtId="0" fontId="7" fillId="5" borderId="43" xfId="1" applyFill="1" applyBorder="1" applyAlignment="1">
      <alignment horizontal="center"/>
    </xf>
    <xf numFmtId="0" fontId="8" fillId="6" borderId="39" xfId="1" applyFont="1" applyFill="1" applyBorder="1" applyAlignment="1">
      <alignment horizontal="center" wrapText="1"/>
    </xf>
    <xf numFmtId="0" fontId="8" fillId="6" borderId="8" xfId="1" applyFont="1" applyFill="1" applyBorder="1" applyAlignment="1">
      <alignment horizontal="center"/>
    </xf>
    <xf numFmtId="0" fontId="8" fillId="6" borderId="40" xfId="1" applyFont="1" applyFill="1" applyBorder="1" applyAlignment="1">
      <alignment horizontal="center" wrapText="1"/>
    </xf>
    <xf numFmtId="0" fontId="8" fillId="6" borderId="42" xfId="1" applyFont="1" applyFill="1" applyBorder="1" applyAlignment="1">
      <alignment horizontal="center"/>
    </xf>
    <xf numFmtId="0" fontId="15" fillId="6" borderId="9" xfId="1" applyFont="1" applyFill="1" applyBorder="1" applyAlignment="1">
      <alignment horizontal="center" textRotation="90"/>
    </xf>
    <xf numFmtId="0" fontId="15" fillId="6" borderId="26" xfId="1" applyFont="1" applyFill="1" applyBorder="1" applyAlignment="1">
      <alignment horizontal="center" textRotation="90"/>
    </xf>
    <xf numFmtId="0" fontId="7" fillId="5" borderId="1" xfId="1" applyFill="1" applyBorder="1" applyAlignment="1">
      <alignment horizontal="center" textRotation="90"/>
    </xf>
    <xf numFmtId="0" fontId="8" fillId="6" borderId="4" xfId="1" applyFont="1" applyFill="1" applyBorder="1" applyAlignment="1">
      <alignment horizontal="center" wrapText="1"/>
    </xf>
    <xf numFmtId="0" fontId="8" fillId="6" borderId="41" xfId="1" applyFont="1" applyFill="1" applyBorder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40" xfId="1" applyFont="1" applyBorder="1" applyAlignment="1">
      <alignment horizontal="center" vertical="center"/>
    </xf>
    <xf numFmtId="0" fontId="7" fillId="6" borderId="7" xfId="1" applyFill="1" applyBorder="1" applyAlignment="1">
      <alignment horizontal="center" vertical="center" wrapText="1"/>
    </xf>
    <xf numFmtId="0" fontId="7" fillId="6" borderId="45" xfId="1" applyFill="1" applyBorder="1" applyAlignment="1">
      <alignment horizontal="center" vertical="center" wrapText="1"/>
    </xf>
    <xf numFmtId="0" fontId="7" fillId="6" borderId="16" xfId="1" applyFill="1" applyBorder="1" applyAlignment="1">
      <alignment horizontal="center" vertical="center" wrapText="1"/>
    </xf>
    <xf numFmtId="0" fontId="15" fillId="6" borderId="1" xfId="1" applyFont="1" applyFill="1" applyBorder="1" applyAlignment="1">
      <alignment horizontal="center" textRotation="90"/>
    </xf>
    <xf numFmtId="0" fontId="15" fillId="6" borderId="1" xfId="1" applyFont="1" applyFill="1" applyBorder="1" applyAlignment="1">
      <alignment horizontal="center" textRotation="90" wrapText="1"/>
    </xf>
    <xf numFmtId="0" fontId="7" fillId="6" borderId="4" xfId="1" applyFill="1" applyBorder="1" applyAlignment="1">
      <alignment horizontal="center" vertical="center"/>
    </xf>
    <xf numFmtId="0" fontId="7" fillId="6" borderId="39" xfId="1" applyFill="1" applyBorder="1" applyAlignment="1">
      <alignment horizontal="center" vertical="center"/>
    </xf>
    <xf numFmtId="0" fontId="7" fillId="6" borderId="40" xfId="1" applyFill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7" fillId="5" borderId="43" xfId="1" applyFill="1" applyBorder="1" applyAlignment="1">
      <alignment horizontal="right" vertical="center"/>
    </xf>
    <xf numFmtId="0" fontId="7" fillId="5" borderId="0" xfId="1" applyFill="1" applyAlignment="1">
      <alignment horizontal="right" vertical="center"/>
    </xf>
    <xf numFmtId="0" fontId="7" fillId="5" borderId="41" xfId="1" applyFill="1" applyBorder="1" applyAlignment="1">
      <alignment horizontal="right" vertical="center"/>
    </xf>
    <xf numFmtId="0" fontId="7" fillId="5" borderId="8" xfId="1" applyFill="1" applyBorder="1" applyAlignment="1">
      <alignment horizontal="right" vertical="center"/>
    </xf>
    <xf numFmtId="0" fontId="14" fillId="5" borderId="44" xfId="1" applyFont="1" applyFill="1" applyBorder="1" applyAlignment="1">
      <alignment horizontal="center" vertical="center"/>
    </xf>
    <xf numFmtId="0" fontId="14" fillId="5" borderId="42" xfId="1" applyFont="1" applyFill="1" applyBorder="1" applyAlignment="1">
      <alignment horizontal="center" vertical="center"/>
    </xf>
    <xf numFmtId="0" fontId="13" fillId="5" borderId="4" xfId="1" applyFont="1" applyFill="1" applyBorder="1" applyAlignment="1">
      <alignment horizontal="center" vertical="center"/>
    </xf>
    <xf numFmtId="0" fontId="13" fillId="5" borderId="39" xfId="1" applyFont="1" applyFill="1" applyBorder="1" applyAlignment="1">
      <alignment horizontal="center" vertical="center"/>
    </xf>
    <xf numFmtId="0" fontId="13" fillId="5" borderId="40" xfId="1" applyFont="1" applyFill="1" applyBorder="1" applyAlignment="1">
      <alignment horizontal="center" vertical="center"/>
    </xf>
    <xf numFmtId="0" fontId="13" fillId="5" borderId="41" xfId="1" applyFont="1" applyFill="1" applyBorder="1" applyAlignment="1">
      <alignment horizontal="center" vertical="center"/>
    </xf>
    <xf numFmtId="0" fontId="13" fillId="5" borderId="8" xfId="1" applyFont="1" applyFill="1" applyBorder="1" applyAlignment="1">
      <alignment horizontal="center" vertical="center"/>
    </xf>
    <xf numFmtId="0" fontId="13" fillId="5" borderId="42" xfId="1" applyFont="1" applyFill="1" applyBorder="1" applyAlignment="1">
      <alignment horizontal="center" vertical="center"/>
    </xf>
    <xf numFmtId="0" fontId="12" fillId="5" borderId="44" xfId="1" applyFont="1" applyFill="1" applyBorder="1" applyAlignment="1">
      <alignment horizontal="center" vertical="center"/>
    </xf>
    <xf numFmtId="0" fontId="12" fillId="5" borderId="42" xfId="1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8" borderId="5" xfId="0" applyFont="1" applyFill="1" applyBorder="1" applyAlignment="1">
      <alignment horizontal="center" vertical="center" wrapText="1" readingOrder="1"/>
    </xf>
    <xf numFmtId="0" fontId="1" fillId="8" borderId="22" xfId="0" applyFont="1" applyFill="1" applyBorder="1" applyAlignment="1">
      <alignment horizontal="center" vertical="center" wrapText="1" readingOrder="1"/>
    </xf>
    <xf numFmtId="0" fontId="1" fillId="8" borderId="6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3">
    <cellStyle name="Normal" xfId="0" builtinId="0"/>
    <cellStyle name="Normal 2" xfId="1" xr:uid="{58F7976B-1E5A-9043-B195-5532D66B1549}"/>
    <cellStyle name="Per cent 2" xfId="2" xr:uid="{2DC9D4FF-02EC-7245-BAAE-2C68B353EA7A}"/>
  </cellStyles>
  <dxfs count="9"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1">
                  <c:v>-199310.36</c:v>
                </c:pt>
                <c:pt idx="2">
                  <c:v>-202420</c:v>
                </c:pt>
                <c:pt idx="3">
                  <c:v>-205157</c:v>
                </c:pt>
                <c:pt idx="4">
                  <c:v>-205605.6</c:v>
                </c:pt>
                <c:pt idx="5">
                  <c:v>-202424.432</c:v>
                </c:pt>
                <c:pt idx="6">
                  <c:v>-192929.16064000002</c:v>
                </c:pt>
                <c:pt idx="7">
                  <c:v>-168826.48385280001</c:v>
                </c:pt>
                <c:pt idx="8">
                  <c:v>-116767.13352985602</c:v>
                </c:pt>
                <c:pt idx="9">
                  <c:v>-8549.8762004531454</c:v>
                </c:pt>
                <c:pt idx="10">
                  <c:v>213177.48627553778</c:v>
                </c:pt>
                <c:pt idx="11">
                  <c:v>660830.11600104859</c:v>
                </c:pt>
                <c:pt idx="12">
                  <c:v>1560662.1383210695</c:v>
                </c:pt>
                <c:pt idx="13">
                  <c:v>2072822.6410874908</c:v>
                </c:pt>
                <c:pt idx="14">
                  <c:v>2614350.6739092409</c:v>
                </c:pt>
                <c:pt idx="15">
                  <c:v>3119911.2473874255</c:v>
                </c:pt>
                <c:pt idx="16">
                  <c:v>3588633.3323351741</c:v>
                </c:pt>
                <c:pt idx="17">
                  <c:v>3800578.8589818776</c:v>
                </c:pt>
                <c:pt idx="18">
                  <c:v>4021580.7161615151</c:v>
                </c:pt>
                <c:pt idx="19">
                  <c:v>4159285.7504847455</c:v>
                </c:pt>
                <c:pt idx="20">
                  <c:v>4295772.7654944398</c:v>
                </c:pt>
                <c:pt idx="21">
                  <c:v>4405127.5208043288</c:v>
                </c:pt>
                <c:pt idx="22">
                  <c:v>4517051.7312204158</c:v>
                </c:pt>
                <c:pt idx="23">
                  <c:v>4621668.0658448236</c:v>
                </c:pt>
                <c:pt idx="24">
                  <c:v>4762503.1471617203</c:v>
                </c:pt>
                <c:pt idx="25">
                  <c:v>4882200.5501049552</c:v>
                </c:pt>
                <c:pt idx="26">
                  <c:v>4965194.8011070536</c:v>
                </c:pt>
                <c:pt idx="27">
                  <c:v>5098857.3771291953</c:v>
                </c:pt>
                <c:pt idx="28">
                  <c:v>5245976.7046717787</c:v>
                </c:pt>
                <c:pt idx="29">
                  <c:v>5394147.1587652145</c:v>
                </c:pt>
                <c:pt idx="30">
                  <c:v>5470133.0619405191</c:v>
                </c:pt>
                <c:pt idx="31">
                  <c:v>5611707.6831793291</c:v>
                </c:pt>
                <c:pt idx="32">
                  <c:v>5700684.2368429154</c:v>
                </c:pt>
                <c:pt idx="33">
                  <c:v>5836283.8815797735</c:v>
                </c:pt>
                <c:pt idx="34">
                  <c:v>5974421.7192113698</c:v>
                </c:pt>
                <c:pt idx="35">
                  <c:v>6120861.7935955971</c:v>
                </c:pt>
                <c:pt idx="36">
                  <c:v>6251506.0894675087</c:v>
                </c:pt>
                <c:pt idx="37">
                  <c:v>6382941.5312568592</c:v>
                </c:pt>
                <c:pt idx="38">
                  <c:v>6480088.9818819957</c:v>
                </c:pt>
                <c:pt idx="39">
                  <c:v>6555743.2415196355</c:v>
                </c:pt>
                <c:pt idx="40">
                  <c:v>6615352.0463500284</c:v>
                </c:pt>
                <c:pt idx="41">
                  <c:v>6665469.0672770292</c:v>
                </c:pt>
                <c:pt idx="42">
                  <c:v>6650553.9086225703</c:v>
                </c:pt>
                <c:pt idx="43">
                  <c:v>6636331.1067950213</c:v>
                </c:pt>
                <c:pt idx="44">
                  <c:v>6628485.1289309217</c:v>
                </c:pt>
                <c:pt idx="45">
                  <c:v>6619744.3715095399</c:v>
                </c:pt>
                <c:pt idx="46">
                  <c:v>6608130.1589397304</c:v>
                </c:pt>
                <c:pt idx="47">
                  <c:v>6598062.7421185253</c:v>
                </c:pt>
                <c:pt idx="48">
                  <c:v>6588432.2969608959</c:v>
                </c:pt>
                <c:pt idx="49">
                  <c:v>6578918.9229001142</c:v>
                </c:pt>
                <c:pt idx="50">
                  <c:v>6568096.6413581166</c:v>
                </c:pt>
                <c:pt idx="51">
                  <c:v>6556277.3941852786</c:v>
                </c:pt>
                <c:pt idx="52">
                  <c:v>6543457.0420689844</c:v>
                </c:pt>
                <c:pt idx="53">
                  <c:v>6531369.3629103638</c:v>
                </c:pt>
                <c:pt idx="54">
                  <c:v>6519141.0501685711</c:v>
                </c:pt>
                <c:pt idx="55">
                  <c:v>6507399.7111719418</c:v>
                </c:pt>
                <c:pt idx="56">
                  <c:v>6494481.8653953811</c:v>
                </c:pt>
                <c:pt idx="57">
                  <c:v>6481962.942703289</c:v>
                </c:pt>
                <c:pt idx="58">
                  <c:v>6467626.2815573541</c:v>
                </c:pt>
                <c:pt idx="59">
                  <c:v>6455338.1271885019</c:v>
                </c:pt>
                <c:pt idx="60">
                  <c:v>6443434.6297322717</c:v>
                </c:pt>
                <c:pt idx="61">
                  <c:v>6430646.8423269168</c:v>
                </c:pt>
                <c:pt idx="62">
                  <c:v>6415547.7191734556</c:v>
                </c:pt>
                <c:pt idx="63">
                  <c:v>6401055.1135569243</c:v>
                </c:pt>
                <c:pt idx="64">
                  <c:v>6387953.7758280626</c:v>
                </c:pt>
                <c:pt idx="65">
                  <c:v>6372367.3513446245</c:v>
                </c:pt>
                <c:pt idx="66">
                  <c:v>6358714.3783715162</c:v>
                </c:pt>
                <c:pt idx="67">
                  <c:v>6344066.2859389465</c:v>
                </c:pt>
                <c:pt idx="68">
                  <c:v>6316251.3916577259</c:v>
                </c:pt>
                <c:pt idx="69">
                  <c:v>6278660.8994908808</c:v>
                </c:pt>
                <c:pt idx="70">
                  <c:v>6236660.8974806983</c:v>
                </c:pt>
                <c:pt idx="71">
                  <c:v>6183609.3554303125</c:v>
                </c:pt>
                <c:pt idx="72">
                  <c:v>6156235.1225389186</c:v>
                </c:pt>
                <c:pt idx="73">
                  <c:v>6100337.9249896966</c:v>
                </c:pt>
                <c:pt idx="74">
                  <c:v>6036056.36348949</c:v>
                </c:pt>
                <c:pt idx="75">
                  <c:v>5906819.9107592804</c:v>
                </c:pt>
                <c:pt idx="76">
                  <c:v>5698401.9089744659</c:v>
                </c:pt>
                <c:pt idx="77">
                  <c:v>5440578.5671539549</c:v>
                </c:pt>
                <c:pt idx="78">
                  <c:v>5008364.9584970344</c:v>
                </c:pt>
                <c:pt idx="79">
                  <c:v>4248494.017666975</c:v>
                </c:pt>
                <c:pt idx="80">
                  <c:v>3441092.5380203142</c:v>
                </c:pt>
                <c:pt idx="81">
                  <c:v>2482742.1687807203</c:v>
                </c:pt>
                <c:pt idx="82">
                  <c:v>1120714.4121563348</c:v>
                </c:pt>
                <c:pt idx="83">
                  <c:v>-95000.379600538523</c:v>
                </c:pt>
                <c:pt idx="84">
                  <c:v>-225890.0071925493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1.0822994263320906E-3"/>
          <c:y val="0.81827572204334276"/>
          <c:w val="0.52967824778789208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'S08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'S08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'S08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F-BA42-ACAC-42CF12B78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592512"/>
        <c:axId val="253647088"/>
      </c:lineChart>
      <c:catAx>
        <c:axId val="29659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53647088"/>
        <c:crosses val="autoZero"/>
        <c:auto val="1"/>
        <c:lblAlgn val="ctr"/>
        <c:lblOffset val="100"/>
        <c:noMultiLvlLbl val="0"/>
      </c:catAx>
      <c:valAx>
        <c:axId val="2536470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9659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'S20 Material FOM'!$E$1</c:f>
              <c:strCache>
                <c:ptCount val="1"/>
                <c:pt idx="0">
                  <c:v>Figure of merit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'S20 Material FOM'!$A$2:$A$6</c:f>
              <c:strCache>
                <c:ptCount val="5"/>
                <c:pt idx="0">
                  <c:v>Steel 1020 </c:v>
                </c:pt>
                <c:pt idx="1">
                  <c:v>Ti-alloy </c:v>
                </c:pt>
                <c:pt idx="2">
                  <c:v>CFRP </c:v>
                </c:pt>
                <c:pt idx="3">
                  <c:v>KFRP </c:v>
                </c:pt>
                <c:pt idx="4">
                  <c:v>GFRP </c:v>
                </c:pt>
              </c:strCache>
            </c:strRef>
          </c:cat>
          <c:val>
            <c:numRef>
              <c:f>'S20 Material FOM'!$E$2:$E$6</c:f>
              <c:numCache>
                <c:formatCode>General</c:formatCode>
                <c:ptCount val="5"/>
                <c:pt idx="0">
                  <c:v>9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0-4C45-A197-FEF15C26A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179791"/>
        <c:axId val="2097280575"/>
      </c:barChart>
      <c:catAx>
        <c:axId val="209717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280575"/>
        <c:crosses val="autoZero"/>
        <c:auto val="1"/>
        <c:lblAlgn val="ctr"/>
        <c:lblOffset val="100"/>
        <c:noMultiLvlLbl val="0"/>
      </c:catAx>
      <c:valAx>
        <c:axId val="209728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17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651934</xdr:colOff>
      <xdr:row>0</xdr:row>
      <xdr:rowOff>215899</xdr:rowOff>
    </xdr:from>
    <xdr:to>
      <xdr:col>14</xdr:col>
      <xdr:colOff>609600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770466</xdr:colOff>
      <xdr:row>8</xdr:row>
      <xdr:rowOff>38099</xdr:rowOff>
    </xdr:from>
    <xdr:to>
      <xdr:col>5</xdr:col>
      <xdr:colOff>457199</xdr:colOff>
      <xdr:row>26</xdr:row>
      <xdr:rowOff>33866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330200</xdr:colOff>
          <xdr:row>0</xdr:row>
          <xdr:rowOff>25400</xdr:rowOff>
        </xdr:from>
        <xdr:to>
          <xdr:col>10</xdr:col>
          <xdr:colOff>1524000</xdr:colOff>
          <xdr:row>2</xdr:row>
          <xdr:rowOff>38100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WS &amp;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Dropbox%20(Personal)/Vertax/Finanzplanung_Businessplan_v4_BWA_Liq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samt"/>
      <sheetName val="BWA"/>
      <sheetName val="Liquiditätsplanung"/>
      <sheetName val="Tilgungsplan Übersicht"/>
      <sheetName val="Tilgungsplan Zahlungsübersicht"/>
      <sheetName val="Verkaufspreis und ROI"/>
      <sheetName val="BOM 2.5KW"/>
      <sheetName val="Benötigte Anlagen &amp; AFA"/>
      <sheetName val="Verfügbare Arbeitszeit"/>
      <sheetName val="Benötigte Maschinenanzahl"/>
      <sheetName val="Benötigte Mitarbeiter"/>
      <sheetName val="Benötigte Stationen"/>
      <sheetName val="Platzbedarf"/>
      <sheetName val="Benötigte Gesamtfläch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D1" t="str">
            <v>BOM Levels</v>
          </cell>
        </row>
        <row r="2">
          <cell r="AC2" t="str">
            <v>EACH</v>
          </cell>
          <cell r="AD2">
            <v>0</v>
          </cell>
          <cell r="AE2" t="str">
            <v>A</v>
          </cell>
          <cell r="AF2" t="str">
            <v>MAKE</v>
          </cell>
        </row>
        <row r="3">
          <cell r="AC3" t="str">
            <v>CM</v>
          </cell>
          <cell r="AE3" t="str">
            <v>B</v>
          </cell>
          <cell r="AF3" t="str">
            <v>BUY</v>
          </cell>
        </row>
        <row r="4">
          <cell r="AC4" t="str">
            <v>CM²</v>
          </cell>
          <cell r="AE4" t="str">
            <v>C</v>
          </cell>
        </row>
        <row r="5">
          <cell r="AC5" t="str">
            <v>FT</v>
          </cell>
          <cell r="AE5" t="str">
            <v>D</v>
          </cell>
        </row>
        <row r="6">
          <cell r="AC6" t="str">
            <v>FT²</v>
          </cell>
          <cell r="AE6" t="str">
            <v>E</v>
          </cell>
        </row>
        <row r="7">
          <cell r="AC7" t="str">
            <v>GAL</v>
          </cell>
          <cell r="AE7" t="str">
            <v>F</v>
          </cell>
        </row>
        <row r="8">
          <cell r="AC8" t="str">
            <v>IN</v>
          </cell>
          <cell r="AE8" t="str">
            <v>G</v>
          </cell>
        </row>
        <row r="9">
          <cell r="AC9" t="str">
            <v>IN²</v>
          </cell>
          <cell r="AE9" t="str">
            <v>H</v>
          </cell>
        </row>
        <row r="10">
          <cell r="AC10" t="str">
            <v>L</v>
          </cell>
          <cell r="AE10" t="str">
            <v>J</v>
          </cell>
        </row>
        <row r="11">
          <cell r="AC11" t="str">
            <v>M</v>
          </cell>
          <cell r="AE11" t="str">
            <v>K</v>
          </cell>
        </row>
        <row r="12">
          <cell r="AC12" t="str">
            <v>ML</v>
          </cell>
          <cell r="AE12" t="str">
            <v>L</v>
          </cell>
        </row>
        <row r="13">
          <cell r="AC13" t="str">
            <v>MM</v>
          </cell>
          <cell r="AE13" t="str">
            <v>M</v>
          </cell>
        </row>
        <row r="14">
          <cell r="AC14" t="str">
            <v>MM²</v>
          </cell>
          <cell r="AE14" t="str">
            <v>N</v>
          </cell>
        </row>
        <row r="15">
          <cell r="AC15" t="str">
            <v>OZ</v>
          </cell>
          <cell r="AE15" t="str">
            <v>P</v>
          </cell>
        </row>
        <row r="16">
          <cell r="AE16" t="str">
            <v>R</v>
          </cell>
        </row>
        <row r="17">
          <cell r="AE17" t="str">
            <v>T</v>
          </cell>
        </row>
        <row r="18">
          <cell r="AE18" t="str">
            <v>U</v>
          </cell>
        </row>
        <row r="19">
          <cell r="AE19" t="str">
            <v>V</v>
          </cell>
        </row>
        <row r="20">
          <cell r="AE20" t="str">
            <v>W</v>
          </cell>
        </row>
        <row r="21">
          <cell r="AE21" t="str">
            <v>Y</v>
          </cell>
        </row>
        <row r="22">
          <cell r="AE22" t="str">
            <v>AA</v>
          </cell>
        </row>
        <row r="23">
          <cell r="AE23" t="str">
            <v>AB</v>
          </cell>
        </row>
        <row r="24">
          <cell r="AE24" t="str">
            <v>AC</v>
          </cell>
        </row>
        <row r="25">
          <cell r="AE25" t="str">
            <v>AD</v>
          </cell>
        </row>
        <row r="26">
          <cell r="AE26" t="str">
            <v>AE</v>
          </cell>
        </row>
        <row r="27">
          <cell r="AE27" t="str">
            <v>AF</v>
          </cell>
        </row>
        <row r="28">
          <cell r="AE28" t="str">
            <v>AG</v>
          </cell>
        </row>
        <row r="29">
          <cell r="AE29" t="str">
            <v>AH</v>
          </cell>
        </row>
        <row r="30">
          <cell r="AE30" t="str">
            <v>AJ</v>
          </cell>
        </row>
        <row r="31">
          <cell r="AE31" t="str">
            <v>AK</v>
          </cell>
        </row>
        <row r="32">
          <cell r="AE32" t="str">
            <v>AL</v>
          </cell>
        </row>
        <row r="33">
          <cell r="AE33" t="str">
            <v>AM</v>
          </cell>
        </row>
        <row r="34">
          <cell r="AE34" t="str">
            <v>AN</v>
          </cell>
        </row>
        <row r="35">
          <cell r="AE35" t="str">
            <v>AP</v>
          </cell>
        </row>
        <row r="36">
          <cell r="AE36" t="str">
            <v>AR</v>
          </cell>
        </row>
        <row r="37">
          <cell r="AE37" t="str">
            <v>AT</v>
          </cell>
        </row>
        <row r="38">
          <cell r="AE38" t="str">
            <v>AU</v>
          </cell>
        </row>
        <row r="39">
          <cell r="AE39" t="str">
            <v>AV</v>
          </cell>
        </row>
        <row r="40">
          <cell r="AE40" t="str">
            <v>AW</v>
          </cell>
        </row>
        <row r="41">
          <cell r="AE41" t="str">
            <v>AY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6B960-1EAE-6345-BA8B-5FC56DA541F4}" name="Table215" displayName="Table215" ref="S36:AR36" headerRowCount="0" totalsRowShown="0" tableBorderDxfId="6">
  <tableColumns count="26">
    <tableColumn id="1" xr3:uid="{974453D4-31A4-CD4A-AF71-4E2D7BA4EF4E}" name="Column1"/>
    <tableColumn id="2" xr3:uid="{10D9429E-E144-AC42-8DB3-E65DFCFC257E}" name="Column2"/>
    <tableColumn id="3" xr3:uid="{0B36155C-6669-6446-A61C-B5E93457A332}" name="Column3"/>
    <tableColumn id="4" xr3:uid="{10FA8373-0D44-FA40-8D2F-43AC03764CC0}" name="Column4"/>
    <tableColumn id="5" xr3:uid="{ABD3FCA6-4623-7E4F-8F15-0CF22C05C7E8}" name="Column5"/>
    <tableColumn id="6" xr3:uid="{13120102-75CD-4A41-ADC4-619D3952FEE2}" name="Column6"/>
    <tableColumn id="7" xr3:uid="{4EC7F006-77B0-D344-BC4F-C5117AE0CD02}" name="Column7"/>
    <tableColumn id="8" xr3:uid="{33DBA368-E1A8-8045-911D-521069C8217E}" name="Column8"/>
    <tableColumn id="9" xr3:uid="{1DCA7872-FF2F-3E4A-B97D-141551D1F3FF}" name="Column9"/>
    <tableColumn id="10" xr3:uid="{40A0FA9F-DD5C-8147-994F-CB982C6181F5}" name="Column10"/>
    <tableColumn id="11" xr3:uid="{2352D0D3-C9F7-E748-BFE7-A25C6777523E}" name="Column11"/>
    <tableColumn id="12" xr3:uid="{3D4BEB7A-3210-E04A-95C3-1E9E1708769E}" name="Column12"/>
    <tableColumn id="13" xr3:uid="{DA5B19AE-B55C-6044-A2D2-EDEEB3E9A330}" name="Column13"/>
    <tableColumn id="14" xr3:uid="{9EB9DE44-BEA4-7D45-9E32-FD87916F2C7C}" name="Column14"/>
    <tableColumn id="15" xr3:uid="{39D85FBE-8200-7A43-BB89-720EFAC61101}" name="Column15"/>
    <tableColumn id="16" xr3:uid="{306DB3D9-C621-D246-920D-1C535A01134C}" name="Column16"/>
    <tableColumn id="17" xr3:uid="{62C6EB13-CED3-D94D-965F-2119F84B4558}" name="Column17"/>
    <tableColumn id="18" xr3:uid="{BB30FC05-349D-F143-9496-98D1BC0D7C63}" name="Column18"/>
    <tableColumn id="19" xr3:uid="{DD07D164-14F0-114E-B76D-E34E4B9AA519}" name="Column19"/>
    <tableColumn id="20" xr3:uid="{1E5C4D11-D286-554A-999F-E5BE8AB1C1F0}" name="Column20"/>
    <tableColumn id="21" xr3:uid="{4701CB9A-5CBA-7F46-9764-125FC15CF3F4}" name="Column21"/>
    <tableColumn id="22" xr3:uid="{79701327-A379-F24D-BD83-CE422375DFFF}" name="Column22"/>
    <tableColumn id="23" xr3:uid="{00ABE6A8-032E-B14F-A3C6-47B1CA23B29B}" name="Column23"/>
    <tableColumn id="24" xr3:uid="{DF5B5E76-EEE9-C642-B9E9-7F4A4734F8B5}" name="Column24" dataDxfId="5"/>
    <tableColumn id="25" xr3:uid="{4FE5F41C-E5B1-9C46-B57E-48996F5CAF9A}" name="Column25" dataDxfId="4"/>
    <tableColumn id="26" xr3:uid="{47618444-2CC8-6A42-9751-FF5EE4546957}" name="Column26" dataDxfId="3"/>
  </tableColumns>
  <tableStyleInfo name="TableStyleMedium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456742-8D93-6643-B807-047440D022D3}" name="Table2" displayName="Table2" ref="L1:O118" totalsRowShown="0">
  <autoFilter ref="L1:O118" xr:uid="{1834BDD5-F623-4C2A-ADB9-D55A06D0D6F2}">
    <filterColumn colId="0" hiddenButton="1"/>
    <filterColumn colId="1" hiddenButton="1"/>
    <filterColumn colId="2" hiddenButton="1"/>
    <filterColumn colId="3" hiddenButton="1"/>
  </autoFilter>
  <tableColumns count="4">
    <tableColumn id="1" xr3:uid="{3AB37533-C866-654B-85F5-6CCAB9E0D008}" name="Annual Production Lots Rank" dataDxfId="2">
      <calculatedColumnFormula>RANK(HLOOKUP(A2,$S$19:$AR$36,MATCH(E2,INDEX($S$19:$AR$35, ,HLOOKUP(A2,$S$19:$AR$36,18,0)),0),0),INDEX($S$19:$AR$35, ,HLOOKUP(A2,$S$19:$AR$36,18,0)),0)</calculatedColumnFormula>
    </tableColumn>
    <tableColumn id="2" xr3:uid="{D312325D-5958-0A42-93F5-253AC0614917}" name="Min Lots per WS" dataDxfId="1">
      <calculatedColumnFormula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4" xr3:uid="{9436F8B9-1BD6-5D49-AE89-5D5B5E77B8CD}" name="Max Lots per WS2" dataDxfId="0">
      <calculatedColumnFormula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3" xr3:uid="{B21BBCA0-9151-0C41-A3CA-1DECC5FE6C90}" name="Different Lots">
      <calculatedColumnFormula>COUNT( _xlfn.IFS(B2=$S$2,#REF!, B2=$T$2,#REF!, B2=$U$2,#REF!, B2=$V$2,#REF!, B2=$W$2,#REF!, B2=$X$2,#REF!, B2=$Y$2,#REF!, B2=$Z$2,#REF!, B2=$AA$2,#REF!, B2=$AB$2,#REF!, B2= $AC$2,#REF!, B2=$AD$2,#REF!, B2=$AE$2,#REF!, B2=$AF$2,#REF!, B2=$AG$2,#REF!, B2=$AH$2,#REF!, B2=$AI$2,#REF!, B2=$AJ$2,#REF!, B2=$AK$2,#REF!, B2=$AL$2,#REF!, B2=$AM$2,#REF!, B2=$AN$2,#REF!, B2=$AO$2,#REF!, B2=$AP$2,#REF!, B2=$AQ$2,#REF!, B2=$AR$2,#REF!))</calculatedColumnFormula>
    </tableColumn>
  </tableColumns>
  <tableStyleInfo name="TableStyleMedium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 x14ac:dyDescent="0.2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 x14ac:dyDescent="0.2">
      <c r="A1" s="1" t="s">
        <v>0</v>
      </c>
      <c r="B1" s="2" t="s">
        <v>136</v>
      </c>
      <c r="C1" s="235" t="s">
        <v>137</v>
      </c>
      <c r="D1" s="235"/>
      <c r="E1" s="235"/>
      <c r="F1" s="235"/>
      <c r="G1" s="235"/>
      <c r="H1" s="235"/>
    </row>
    <row r="2" spans="1:8" ht="31" customHeight="1" x14ac:dyDescent="0.2">
      <c r="A2" s="4">
        <v>1</v>
      </c>
      <c r="B2" s="17" t="s">
        <v>84</v>
      </c>
      <c r="C2" s="36" t="s">
        <v>138</v>
      </c>
      <c r="D2" s="231" t="s">
        <v>139</v>
      </c>
      <c r="E2" s="232"/>
      <c r="F2" s="231" t="s">
        <v>85</v>
      </c>
      <c r="G2" s="232"/>
      <c r="H2" s="4" t="s">
        <v>86</v>
      </c>
    </row>
    <row r="3" spans="1:8" ht="31" customHeight="1" x14ac:dyDescent="0.2">
      <c r="A3" s="4">
        <v>2</v>
      </c>
      <c r="B3" s="18" t="s">
        <v>87</v>
      </c>
      <c r="C3" s="36" t="s">
        <v>88</v>
      </c>
      <c r="D3" s="233" t="s">
        <v>89</v>
      </c>
      <c r="E3" s="234"/>
      <c r="F3" s="231" t="s">
        <v>90</v>
      </c>
      <c r="G3" s="232"/>
      <c r="H3" s="4" t="s">
        <v>91</v>
      </c>
    </row>
    <row r="4" spans="1:8" ht="31" customHeight="1" x14ac:dyDescent="0.2">
      <c r="A4" s="4">
        <v>3</v>
      </c>
      <c r="B4" s="18" t="s">
        <v>92</v>
      </c>
      <c r="C4" s="233" t="s">
        <v>93</v>
      </c>
      <c r="D4" s="234"/>
      <c r="E4" s="231" t="s">
        <v>94</v>
      </c>
      <c r="F4" s="232"/>
      <c r="G4" s="231" t="s">
        <v>95</v>
      </c>
      <c r="H4" s="232"/>
    </row>
    <row r="5" spans="1:8" ht="31" customHeight="1" x14ac:dyDescent="0.2">
      <c r="A5" s="4">
        <v>4</v>
      </c>
      <c r="B5" s="18" t="s">
        <v>96</v>
      </c>
      <c r="C5" s="36" t="s">
        <v>97</v>
      </c>
      <c r="D5" s="231" t="s">
        <v>98</v>
      </c>
      <c r="E5" s="232"/>
      <c r="F5" s="231" t="s">
        <v>99</v>
      </c>
      <c r="G5" s="232"/>
      <c r="H5" s="4" t="s">
        <v>100</v>
      </c>
    </row>
    <row r="6" spans="1:8" ht="31" customHeight="1" x14ac:dyDescent="0.2">
      <c r="A6" s="4">
        <v>5</v>
      </c>
      <c r="B6" s="18" t="s">
        <v>101</v>
      </c>
      <c r="C6" s="233" t="s">
        <v>98</v>
      </c>
      <c r="D6" s="234"/>
      <c r="E6" s="231" t="s">
        <v>102</v>
      </c>
      <c r="F6" s="232"/>
      <c r="G6" s="231" t="s">
        <v>103</v>
      </c>
      <c r="H6" s="232"/>
    </row>
    <row r="7" spans="1:8" ht="31" customHeight="1" x14ac:dyDescent="0.2">
      <c r="A7" s="4">
        <v>6</v>
      </c>
      <c r="B7" s="18" t="s">
        <v>104</v>
      </c>
      <c r="C7" s="233" t="s">
        <v>105</v>
      </c>
      <c r="D7" s="234"/>
      <c r="E7" s="4" t="s">
        <v>106</v>
      </c>
      <c r="F7" s="4"/>
      <c r="G7" s="4" t="s">
        <v>107</v>
      </c>
      <c r="H7" s="4"/>
    </row>
    <row r="8" spans="1:8" ht="31" customHeight="1" x14ac:dyDescent="0.2">
      <c r="A8" s="4">
        <v>7</v>
      </c>
      <c r="B8" s="18" t="s">
        <v>108</v>
      </c>
      <c r="C8" s="36" t="s">
        <v>109</v>
      </c>
      <c r="D8" s="233" t="s">
        <v>110</v>
      </c>
      <c r="E8" s="234"/>
      <c r="F8" s="231" t="s">
        <v>111</v>
      </c>
      <c r="G8" s="232"/>
      <c r="H8" s="4" t="s">
        <v>112</v>
      </c>
    </row>
    <row r="9" spans="1:8" ht="31" customHeight="1" x14ac:dyDescent="0.2">
      <c r="A9" s="4">
        <v>8</v>
      </c>
      <c r="B9" s="18" t="s">
        <v>113</v>
      </c>
      <c r="C9" s="36" t="s">
        <v>114</v>
      </c>
      <c r="D9" s="233" t="s">
        <v>115</v>
      </c>
      <c r="E9" s="234"/>
      <c r="F9" s="231" t="s">
        <v>116</v>
      </c>
      <c r="G9" s="232"/>
      <c r="H9" s="4" t="s">
        <v>117</v>
      </c>
    </row>
    <row r="10" spans="1:8" ht="31" customHeight="1" x14ac:dyDescent="0.2">
      <c r="A10" s="4">
        <v>9</v>
      </c>
      <c r="B10" s="18" t="s">
        <v>118</v>
      </c>
      <c r="C10" s="36" t="s">
        <v>119</v>
      </c>
      <c r="D10" s="233" t="s">
        <v>120</v>
      </c>
      <c r="E10" s="234"/>
      <c r="F10" s="231" t="s">
        <v>121</v>
      </c>
      <c r="G10" s="232"/>
      <c r="H10" s="4" t="s">
        <v>122</v>
      </c>
    </row>
    <row r="11" spans="1:8" ht="31" customHeight="1" x14ac:dyDescent="0.2">
      <c r="A11" s="4">
        <v>10</v>
      </c>
      <c r="B11" s="18" t="s">
        <v>123</v>
      </c>
      <c r="C11" s="36" t="s">
        <v>124</v>
      </c>
      <c r="D11" s="233" t="s">
        <v>125</v>
      </c>
      <c r="E11" s="234"/>
      <c r="F11" s="231" t="s">
        <v>126</v>
      </c>
      <c r="G11" s="232"/>
      <c r="H11" s="4" t="s">
        <v>127</v>
      </c>
    </row>
    <row r="12" spans="1:8" ht="31" customHeight="1" x14ac:dyDescent="0.2">
      <c r="A12" s="4">
        <v>11</v>
      </c>
      <c r="B12" s="18" t="s">
        <v>128</v>
      </c>
      <c r="C12" s="233" t="s">
        <v>129</v>
      </c>
      <c r="D12" s="234"/>
      <c r="E12" s="231" t="s">
        <v>130</v>
      </c>
      <c r="F12" s="232"/>
      <c r="G12" s="231" t="s">
        <v>131</v>
      </c>
      <c r="H12" s="232"/>
    </row>
    <row r="13" spans="1:8" ht="31" customHeight="1" x14ac:dyDescent="0.2">
      <c r="A13" s="4">
        <v>12</v>
      </c>
      <c r="B13" s="18" t="s">
        <v>132</v>
      </c>
      <c r="C13" s="233" t="s">
        <v>133</v>
      </c>
      <c r="D13" s="234"/>
      <c r="E13" s="231" t="s">
        <v>134</v>
      </c>
      <c r="F13" s="232"/>
      <c r="G13" s="231" t="s">
        <v>135</v>
      </c>
      <c r="H13" s="232"/>
    </row>
  </sheetData>
  <mergeCells count="28"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G1" workbookViewId="0">
      <selection activeCell="Y4" sqref="Y4"/>
    </sheetView>
  </sheetViews>
  <sheetFormatPr baseColWidth="10" defaultColWidth="11" defaultRowHeight="16" x14ac:dyDescent="0.2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 x14ac:dyDescent="0.25">
      <c r="A1" s="146" t="s">
        <v>83</v>
      </c>
      <c r="B1" s="146" t="s">
        <v>140</v>
      </c>
      <c r="D1" s="236" t="s">
        <v>142</v>
      </c>
      <c r="E1" s="237"/>
      <c r="F1" s="237"/>
      <c r="G1" s="237"/>
      <c r="H1" s="237"/>
      <c r="I1" s="237"/>
      <c r="J1" s="237"/>
      <c r="K1" s="237"/>
      <c r="L1" s="237"/>
      <c r="M1" s="238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 x14ac:dyDescent="0.2">
      <c r="A2" s="3" t="s">
        <v>768</v>
      </c>
      <c r="B2" s="3" t="s">
        <v>10</v>
      </c>
      <c r="D2" s="31"/>
      <c r="E2" s="21"/>
      <c r="F2" s="21"/>
      <c r="G2" s="21"/>
      <c r="H2" s="239" t="s">
        <v>1</v>
      </c>
      <c r="I2" s="240"/>
      <c r="J2" s="239" t="s">
        <v>2</v>
      </c>
      <c r="K2" s="240"/>
      <c r="L2" s="239" t="s">
        <v>3</v>
      </c>
      <c r="M2" s="240"/>
      <c r="O2" s="241" t="s">
        <v>141</v>
      </c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</row>
    <row r="3" spans="1:26" x14ac:dyDescent="0.2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769</v>
      </c>
      <c r="Y3" s="16" t="s">
        <v>770</v>
      </c>
      <c r="Z3" s="16" t="s">
        <v>771</v>
      </c>
    </row>
    <row r="4" spans="1:26" x14ac:dyDescent="0.2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48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 x14ac:dyDescent="0.2">
      <c r="A5" s="3"/>
      <c r="B5" s="3" t="s">
        <v>16</v>
      </c>
      <c r="D5" s="10"/>
      <c r="E5" s="3"/>
      <c r="F5" s="3" t="str">
        <f>B7</f>
        <v>Proximity to airports</v>
      </c>
      <c r="G5" s="148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 x14ac:dyDescent="0.2">
      <c r="A6" s="3"/>
      <c r="B6" s="3" t="s">
        <v>772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48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 x14ac:dyDescent="0.2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48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 x14ac:dyDescent="0.2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48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 x14ac:dyDescent="0.2">
      <c r="A9" s="3"/>
      <c r="B9" s="3" t="s">
        <v>21</v>
      </c>
      <c r="F9" t="str">
        <f>B43</f>
        <v>Ground water level</v>
      </c>
      <c r="G9" s="148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 x14ac:dyDescent="0.2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48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 x14ac:dyDescent="0.2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48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 x14ac:dyDescent="0.2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 x14ac:dyDescent="0.2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 x14ac:dyDescent="0.2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 x14ac:dyDescent="0.2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 x14ac:dyDescent="0.2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 x14ac:dyDescent="0.2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 x14ac:dyDescent="0.2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 x14ac:dyDescent="0.2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 x14ac:dyDescent="0.2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 x14ac:dyDescent="0.2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 x14ac:dyDescent="0.2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 x14ac:dyDescent="0.2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 x14ac:dyDescent="0.2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 x14ac:dyDescent="0.2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 x14ac:dyDescent="0.2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 x14ac:dyDescent="0.2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 x14ac:dyDescent="0.2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 x14ac:dyDescent="0.25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 x14ac:dyDescent="0.25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 x14ac:dyDescent="0.2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 x14ac:dyDescent="0.2">
      <c r="A32" s="3"/>
      <c r="B32" s="3" t="s">
        <v>46</v>
      </c>
    </row>
    <row r="33" spans="1:2" x14ac:dyDescent="0.2">
      <c r="A33" s="3"/>
      <c r="B33" s="3" t="s">
        <v>47</v>
      </c>
    </row>
    <row r="34" spans="1:2" x14ac:dyDescent="0.2">
      <c r="A34" s="3" t="s">
        <v>17</v>
      </c>
      <c r="B34" s="3" t="s">
        <v>48</v>
      </c>
    </row>
    <row r="35" spans="1:2" x14ac:dyDescent="0.2">
      <c r="A35" s="3"/>
      <c r="B35" s="3" t="s">
        <v>49</v>
      </c>
    </row>
    <row r="36" spans="1:2" x14ac:dyDescent="0.2">
      <c r="A36" s="3"/>
      <c r="B36" s="3" t="s">
        <v>50</v>
      </c>
    </row>
    <row r="37" spans="1:2" x14ac:dyDescent="0.2">
      <c r="A37" s="3"/>
      <c r="B37" s="3" t="s">
        <v>51</v>
      </c>
    </row>
    <row r="38" spans="1:2" x14ac:dyDescent="0.2">
      <c r="A38" s="3"/>
      <c r="B38" s="3" t="s">
        <v>52</v>
      </c>
    </row>
    <row r="39" spans="1:2" x14ac:dyDescent="0.2">
      <c r="A39" s="3"/>
      <c r="B39" s="3" t="s">
        <v>53</v>
      </c>
    </row>
    <row r="40" spans="1:2" x14ac:dyDescent="0.2">
      <c r="A40" s="3"/>
      <c r="B40" s="3" t="s">
        <v>54</v>
      </c>
    </row>
    <row r="41" spans="1:2" x14ac:dyDescent="0.2">
      <c r="A41" s="3"/>
      <c r="B41" s="3" t="s">
        <v>55</v>
      </c>
    </row>
    <row r="42" spans="1:2" x14ac:dyDescent="0.2">
      <c r="A42" s="3"/>
      <c r="B42" s="3" t="s">
        <v>56</v>
      </c>
    </row>
    <row r="43" spans="1:2" x14ac:dyDescent="0.2">
      <c r="A43" s="3"/>
      <c r="B43" s="3" t="s">
        <v>57</v>
      </c>
    </row>
    <row r="44" spans="1:2" x14ac:dyDescent="0.2">
      <c r="A44" s="3"/>
      <c r="B44" s="3" t="s">
        <v>58</v>
      </c>
    </row>
    <row r="45" spans="1:2" x14ac:dyDescent="0.2">
      <c r="A45" s="3" t="s">
        <v>18</v>
      </c>
      <c r="B45" s="3" t="s">
        <v>59</v>
      </c>
    </row>
    <row r="46" spans="1:2" x14ac:dyDescent="0.2">
      <c r="A46" s="3"/>
      <c r="B46" s="3" t="s">
        <v>60</v>
      </c>
    </row>
    <row r="47" spans="1:2" x14ac:dyDescent="0.2">
      <c r="A47" s="3"/>
      <c r="B47" s="3" t="s">
        <v>61</v>
      </c>
    </row>
    <row r="48" spans="1:2" x14ac:dyDescent="0.2">
      <c r="A48" s="3"/>
      <c r="B48" s="3" t="s">
        <v>62</v>
      </c>
    </row>
    <row r="49" spans="1:2" x14ac:dyDescent="0.2">
      <c r="A49" s="3"/>
      <c r="B49" s="3" t="s">
        <v>63</v>
      </c>
    </row>
    <row r="50" spans="1:2" x14ac:dyDescent="0.2">
      <c r="A50" s="3"/>
      <c r="B50" s="3" t="s">
        <v>64</v>
      </c>
    </row>
    <row r="51" spans="1:2" x14ac:dyDescent="0.2">
      <c r="A51" s="3" t="s">
        <v>65</v>
      </c>
      <c r="B51" s="3" t="s">
        <v>66</v>
      </c>
    </row>
    <row r="52" spans="1:2" x14ac:dyDescent="0.2">
      <c r="A52" s="3"/>
      <c r="B52" s="3" t="s">
        <v>67</v>
      </c>
    </row>
    <row r="53" spans="1:2" x14ac:dyDescent="0.2">
      <c r="A53" s="3" t="s">
        <v>68</v>
      </c>
      <c r="B53" s="3" t="s">
        <v>69</v>
      </c>
    </row>
    <row r="54" spans="1:2" x14ac:dyDescent="0.2">
      <c r="A54" s="3"/>
      <c r="B54" s="3" t="s">
        <v>70</v>
      </c>
    </row>
    <row r="55" spans="1:2" x14ac:dyDescent="0.2">
      <c r="A55" s="3" t="s">
        <v>71</v>
      </c>
      <c r="B55" s="3" t="s">
        <v>72</v>
      </c>
    </row>
    <row r="56" spans="1:2" x14ac:dyDescent="0.2">
      <c r="A56" s="3"/>
      <c r="B56" s="3" t="s">
        <v>73</v>
      </c>
    </row>
    <row r="57" spans="1:2" x14ac:dyDescent="0.2">
      <c r="A57" s="3" t="s">
        <v>74</v>
      </c>
      <c r="B57" s="3" t="s">
        <v>75</v>
      </c>
    </row>
    <row r="58" spans="1:2" x14ac:dyDescent="0.2">
      <c r="A58" s="3"/>
      <c r="B58" s="3" t="s">
        <v>76</v>
      </c>
    </row>
    <row r="59" spans="1:2" x14ac:dyDescent="0.2">
      <c r="A59" s="3"/>
      <c r="B59" s="3" t="s">
        <v>77</v>
      </c>
    </row>
    <row r="60" spans="1:2" x14ac:dyDescent="0.2">
      <c r="A60" s="3"/>
      <c r="B60" s="3" t="s">
        <v>78</v>
      </c>
    </row>
    <row r="61" spans="1:2" x14ac:dyDescent="0.2">
      <c r="A61" s="3"/>
      <c r="B61" s="3" t="s">
        <v>79</v>
      </c>
    </row>
    <row r="62" spans="1:2" x14ac:dyDescent="0.2">
      <c r="A62" s="3"/>
      <c r="B62" s="3" t="s">
        <v>80</v>
      </c>
    </row>
    <row r="63" spans="1:2" x14ac:dyDescent="0.2">
      <c r="A63" s="3"/>
      <c r="B63" s="3" t="s">
        <v>81</v>
      </c>
    </row>
    <row r="64" spans="1:2" x14ac:dyDescent="0.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139" workbookViewId="0">
      <selection activeCell="Y4" sqref="Y4"/>
    </sheetView>
  </sheetViews>
  <sheetFormatPr baseColWidth="10" defaultColWidth="11" defaultRowHeight="16" x14ac:dyDescent="0.2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 x14ac:dyDescent="0.2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 x14ac:dyDescent="0.2">
      <c r="A2" s="149">
        <v>0</v>
      </c>
      <c r="B2" s="32"/>
      <c r="C2" s="32"/>
      <c r="D2" s="32"/>
      <c r="E2" s="32"/>
      <c r="F2" s="32">
        <v>0</v>
      </c>
    </row>
    <row r="3" spans="1:6" ht="17" x14ac:dyDescent="0.2">
      <c r="A3" s="150" t="s">
        <v>149</v>
      </c>
      <c r="B3" s="151">
        <v>50</v>
      </c>
      <c r="C3" s="151">
        <v>9000</v>
      </c>
      <c r="D3" s="150">
        <f t="shared" ref="D3:D22" si="0">B3*C3</f>
        <v>450000</v>
      </c>
      <c r="E3" s="152">
        <f t="shared" ref="E3:E22" si="1">D3/$D$23</f>
        <v>0.57531257051574214</v>
      </c>
      <c r="F3" s="152">
        <f>E3+F2</f>
        <v>0.57531257051574214</v>
      </c>
    </row>
    <row r="4" spans="1:6" ht="17" x14ac:dyDescent="0.2">
      <c r="A4" s="150" t="s">
        <v>150</v>
      </c>
      <c r="B4" s="151">
        <v>1200</v>
      </c>
      <c r="C4" s="151">
        <v>105</v>
      </c>
      <c r="D4" s="150">
        <f t="shared" si="0"/>
        <v>126000</v>
      </c>
      <c r="E4" s="152">
        <f t="shared" si="1"/>
        <v>0.1610875197444078</v>
      </c>
      <c r="F4" s="152">
        <f t="shared" ref="F4:F22" si="2">E4+F3</f>
        <v>0.73640009026014996</v>
      </c>
    </row>
    <row r="5" spans="1:6" ht="17" x14ac:dyDescent="0.2">
      <c r="A5" s="150" t="s">
        <v>151</v>
      </c>
      <c r="B5" s="151">
        <v>9500</v>
      </c>
      <c r="C5" s="151">
        <v>7</v>
      </c>
      <c r="D5" s="150">
        <f t="shared" si="0"/>
        <v>66500</v>
      </c>
      <c r="E5" s="152">
        <f t="shared" si="1"/>
        <v>8.5018413198437448E-2</v>
      </c>
      <c r="F5" s="152">
        <f t="shared" si="2"/>
        <v>0.82141850345858747</v>
      </c>
    </row>
    <row r="6" spans="1:6" ht="17" x14ac:dyDescent="0.2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 x14ac:dyDescent="0.2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 x14ac:dyDescent="0.2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 x14ac:dyDescent="0.2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 x14ac:dyDescent="0.2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 x14ac:dyDescent="0.2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 x14ac:dyDescent="0.2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 x14ac:dyDescent="0.2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 x14ac:dyDescent="0.2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 x14ac:dyDescent="0.2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 x14ac:dyDescent="0.2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 x14ac:dyDescent="0.2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 x14ac:dyDescent="0.2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 x14ac:dyDescent="0.2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 x14ac:dyDescent="0.2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 x14ac:dyDescent="0.2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 x14ac:dyDescent="0.2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 x14ac:dyDescent="0.2">
      <c r="A23" s="3"/>
      <c r="B23" s="3"/>
      <c r="C23" s="3"/>
      <c r="D23" s="33">
        <f>SUM(D3:D22)</f>
        <v>782183.5</v>
      </c>
      <c r="E23" s="33"/>
      <c r="F23" s="33"/>
    </row>
    <row r="24" spans="1:6" x14ac:dyDescent="0.2">
      <c r="D24" s="147"/>
      <c r="E24" s="147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25" zoomScaleNormal="80" workbookViewId="0">
      <selection activeCell="Y4" sqref="Y4"/>
    </sheetView>
  </sheetViews>
  <sheetFormatPr baseColWidth="10" defaultColWidth="11" defaultRowHeight="16" x14ac:dyDescent="0.2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38" customFormat="1" ht="17" thickBot="1" x14ac:dyDescent="0.25">
      <c r="A1" s="137"/>
      <c r="B1" s="153" t="s">
        <v>773</v>
      </c>
      <c r="C1" s="154">
        <v>41640</v>
      </c>
      <c r="D1" s="154">
        <v>41671</v>
      </c>
      <c r="E1" s="154">
        <v>41699</v>
      </c>
      <c r="F1" s="154">
        <v>41730</v>
      </c>
      <c r="G1" s="154">
        <v>41760</v>
      </c>
      <c r="H1" s="154">
        <v>41791</v>
      </c>
      <c r="I1" s="154">
        <v>41821</v>
      </c>
      <c r="J1" s="154">
        <v>41852</v>
      </c>
      <c r="K1" s="154">
        <v>41883</v>
      </c>
      <c r="L1" s="154">
        <v>41913</v>
      </c>
      <c r="M1" s="154">
        <v>41944</v>
      </c>
      <c r="N1" s="154">
        <v>41974</v>
      </c>
      <c r="O1" s="154">
        <v>42005</v>
      </c>
      <c r="P1" s="154">
        <v>42036</v>
      </c>
      <c r="Q1" s="154">
        <v>42064</v>
      </c>
      <c r="R1" s="154">
        <v>42095</v>
      </c>
      <c r="S1" s="154">
        <v>42125</v>
      </c>
      <c r="T1" s="154">
        <v>42156</v>
      </c>
      <c r="U1" s="154">
        <v>42186</v>
      </c>
      <c r="V1" s="154">
        <v>42217</v>
      </c>
      <c r="W1" s="154">
        <v>42248</v>
      </c>
      <c r="X1" s="154">
        <v>42278</v>
      </c>
      <c r="Y1" s="154">
        <v>42309</v>
      </c>
      <c r="Z1" s="154">
        <v>42339</v>
      </c>
      <c r="AA1" s="154">
        <v>42370</v>
      </c>
      <c r="AB1" s="154">
        <v>42401</v>
      </c>
      <c r="AC1" s="154">
        <v>42430</v>
      </c>
      <c r="AD1" s="154">
        <v>42461</v>
      </c>
      <c r="AE1" s="154">
        <v>42491</v>
      </c>
      <c r="AF1" s="154">
        <v>42522</v>
      </c>
      <c r="AG1" s="154">
        <v>42552</v>
      </c>
      <c r="AH1" s="154">
        <v>42583</v>
      </c>
      <c r="AI1" s="154">
        <v>42614</v>
      </c>
      <c r="AJ1" s="154">
        <v>42644</v>
      </c>
      <c r="AK1" s="154">
        <v>42675</v>
      </c>
      <c r="AL1" s="154">
        <v>42705</v>
      </c>
      <c r="AM1" s="154">
        <v>42736</v>
      </c>
      <c r="AN1" s="154">
        <v>42767</v>
      </c>
      <c r="AO1" s="154">
        <v>42795</v>
      </c>
      <c r="AP1" s="154">
        <v>42826</v>
      </c>
      <c r="AQ1" s="154">
        <v>42856</v>
      </c>
      <c r="AR1" s="154">
        <v>42887</v>
      </c>
      <c r="AS1" s="154">
        <v>42917</v>
      </c>
      <c r="AT1" s="154">
        <v>42948</v>
      </c>
      <c r="AU1" s="154">
        <v>42979</v>
      </c>
      <c r="AV1" s="154">
        <v>43009</v>
      </c>
      <c r="AW1" s="154">
        <v>43040</v>
      </c>
      <c r="AX1" s="154">
        <v>43070</v>
      </c>
      <c r="AY1" s="154">
        <v>43101</v>
      </c>
      <c r="AZ1" s="154">
        <v>43132</v>
      </c>
      <c r="BA1" s="154">
        <v>43160</v>
      </c>
      <c r="BB1" s="154">
        <v>43191</v>
      </c>
      <c r="BC1" s="154">
        <v>43221</v>
      </c>
      <c r="BD1" s="154">
        <v>43252</v>
      </c>
      <c r="BE1" s="154">
        <v>43282</v>
      </c>
      <c r="BF1" s="154">
        <v>43313</v>
      </c>
      <c r="BG1" s="154">
        <v>43344</v>
      </c>
      <c r="BH1" s="154">
        <v>43374</v>
      </c>
      <c r="BI1" s="154">
        <v>43405</v>
      </c>
      <c r="BJ1" s="154">
        <v>43435</v>
      </c>
      <c r="BK1" s="154">
        <v>43466</v>
      </c>
      <c r="BL1" s="154">
        <v>43497</v>
      </c>
      <c r="BM1" s="154">
        <v>43525</v>
      </c>
      <c r="BN1" s="154">
        <v>43556</v>
      </c>
      <c r="BO1" s="154">
        <v>43586</v>
      </c>
      <c r="BP1" s="154">
        <v>43617</v>
      </c>
      <c r="BQ1" s="154">
        <v>43647</v>
      </c>
      <c r="BR1" s="154">
        <v>43678</v>
      </c>
      <c r="BS1" s="154">
        <v>43709</v>
      </c>
      <c r="BT1" s="154">
        <v>43739</v>
      </c>
      <c r="BU1" s="154">
        <v>43770</v>
      </c>
      <c r="BV1" s="154">
        <v>43800</v>
      </c>
      <c r="BW1" s="154">
        <v>43831</v>
      </c>
      <c r="BX1" s="154">
        <v>43862</v>
      </c>
      <c r="BY1" s="154">
        <v>43891</v>
      </c>
      <c r="BZ1" s="154">
        <v>43922</v>
      </c>
      <c r="CA1" s="154">
        <v>43952</v>
      </c>
      <c r="CB1" s="154">
        <v>43983</v>
      </c>
      <c r="CC1" s="154">
        <v>44013</v>
      </c>
      <c r="CD1" s="154">
        <v>44044</v>
      </c>
      <c r="CE1" s="154">
        <v>44075</v>
      </c>
      <c r="CF1" s="154">
        <v>44105</v>
      </c>
      <c r="CG1" s="154">
        <v>44136</v>
      </c>
      <c r="CH1" s="154">
        <v>44166</v>
      </c>
    </row>
    <row r="2" spans="1:86" s="66" customFormat="1" x14ac:dyDescent="0.2">
      <c r="A2" s="155" t="s">
        <v>774</v>
      </c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157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  <c r="CC2" s="157"/>
      <c r="CD2" s="157"/>
      <c r="CE2" s="157"/>
      <c r="CF2" s="157"/>
      <c r="CG2" s="157"/>
      <c r="CH2" s="158"/>
    </row>
    <row r="3" spans="1:86" x14ac:dyDescent="0.2">
      <c r="A3" s="10" t="s">
        <v>775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 x14ac:dyDescent="0.2">
      <c r="A4" s="10" t="s">
        <v>776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 x14ac:dyDescent="0.2">
      <c r="A5" s="10" t="s">
        <v>777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 x14ac:dyDescent="0.2">
      <c r="A6" s="10" t="s">
        <v>778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 x14ac:dyDescent="0.2">
      <c r="A7" s="10" t="s">
        <v>779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 x14ac:dyDescent="0.2">
      <c r="A8" s="10" t="s">
        <v>780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 x14ac:dyDescent="0.2">
      <c r="A9" s="10" t="s">
        <v>781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 x14ac:dyDescent="0.25">
      <c r="A10" s="139" t="s">
        <v>782</v>
      </c>
      <c r="B10" s="140"/>
      <c r="C10" s="140">
        <f>C8-C7-(C6*B5)</f>
        <v>-199310.36</v>
      </c>
      <c r="D10" s="140">
        <f t="shared" ref="D10:BO10" si="6">D8-D7-(D6*C5)</f>
        <v>-202420</v>
      </c>
      <c r="E10" s="140">
        <f t="shared" si="6"/>
        <v>-205157</v>
      </c>
      <c r="F10" s="140">
        <f t="shared" si="6"/>
        <v>-205605.6</v>
      </c>
      <c r="G10" s="140">
        <f t="shared" si="6"/>
        <v>-202424.432</v>
      </c>
      <c r="H10" s="140">
        <f t="shared" si="6"/>
        <v>-192929.16064000002</v>
      </c>
      <c r="I10" s="140">
        <f t="shared" si="6"/>
        <v>-168826.48385280001</v>
      </c>
      <c r="J10" s="140">
        <f t="shared" si="6"/>
        <v>-116767.13352985602</v>
      </c>
      <c r="K10" s="140">
        <f t="shared" si="6"/>
        <v>-8549.8762004531454</v>
      </c>
      <c r="L10" s="140">
        <f t="shared" si="6"/>
        <v>213177.48627553778</v>
      </c>
      <c r="M10" s="140">
        <f t="shared" si="6"/>
        <v>660830.11600104859</v>
      </c>
      <c r="N10" s="140">
        <f t="shared" si="6"/>
        <v>1560662.1383210695</v>
      </c>
      <c r="O10" s="140">
        <f t="shared" si="6"/>
        <v>2072822.6410874908</v>
      </c>
      <c r="P10" s="140">
        <f t="shared" si="6"/>
        <v>2614350.6739092409</v>
      </c>
      <c r="Q10" s="140">
        <f t="shared" si="6"/>
        <v>3119911.2473874255</v>
      </c>
      <c r="R10" s="140">
        <f t="shared" si="6"/>
        <v>3588633.3323351741</v>
      </c>
      <c r="S10" s="140">
        <f t="shared" si="6"/>
        <v>3800578.8589818776</v>
      </c>
      <c r="T10" s="140">
        <f t="shared" si="6"/>
        <v>4021580.7161615151</v>
      </c>
      <c r="U10" s="140">
        <f t="shared" si="6"/>
        <v>4159285.7504847455</v>
      </c>
      <c r="V10" s="140">
        <f t="shared" si="6"/>
        <v>4295772.7654944398</v>
      </c>
      <c r="W10" s="140">
        <f t="shared" si="6"/>
        <v>4405127.5208043288</v>
      </c>
      <c r="X10" s="140">
        <f t="shared" si="6"/>
        <v>4517051.7312204158</v>
      </c>
      <c r="Y10" s="140">
        <f t="shared" si="6"/>
        <v>4621668.0658448236</v>
      </c>
      <c r="Z10" s="140">
        <f t="shared" si="6"/>
        <v>4762503.1471617203</v>
      </c>
      <c r="AA10" s="140">
        <f t="shared" si="6"/>
        <v>4882200.5501049552</v>
      </c>
      <c r="AB10" s="140">
        <f t="shared" si="6"/>
        <v>4965194.8011070536</v>
      </c>
      <c r="AC10" s="140">
        <f t="shared" si="6"/>
        <v>5098857.3771291953</v>
      </c>
      <c r="AD10" s="140">
        <f t="shared" si="6"/>
        <v>5245976.7046717787</v>
      </c>
      <c r="AE10" s="140">
        <f t="shared" si="6"/>
        <v>5394147.1587652145</v>
      </c>
      <c r="AF10" s="140">
        <f t="shared" si="6"/>
        <v>5470133.0619405191</v>
      </c>
      <c r="AG10" s="140">
        <f t="shared" si="6"/>
        <v>5611707.6831793291</v>
      </c>
      <c r="AH10" s="140">
        <f t="shared" si="6"/>
        <v>5700684.2368429154</v>
      </c>
      <c r="AI10" s="140">
        <f t="shared" si="6"/>
        <v>5836283.8815797735</v>
      </c>
      <c r="AJ10" s="140">
        <f t="shared" si="6"/>
        <v>5974421.7192113698</v>
      </c>
      <c r="AK10" s="140">
        <f t="shared" si="6"/>
        <v>6120861.7935955971</v>
      </c>
      <c r="AL10" s="140">
        <f t="shared" si="6"/>
        <v>6251506.0894675087</v>
      </c>
      <c r="AM10" s="140">
        <f t="shared" si="6"/>
        <v>6382941.5312568592</v>
      </c>
      <c r="AN10" s="140">
        <f t="shared" si="6"/>
        <v>6480088.9818819957</v>
      </c>
      <c r="AO10" s="140">
        <f t="shared" si="6"/>
        <v>6555743.2415196355</v>
      </c>
      <c r="AP10" s="140">
        <f t="shared" si="6"/>
        <v>6615352.0463500284</v>
      </c>
      <c r="AQ10" s="140">
        <f t="shared" si="6"/>
        <v>6665469.0672770292</v>
      </c>
      <c r="AR10" s="140">
        <f t="shared" si="6"/>
        <v>6650553.9086225703</v>
      </c>
      <c r="AS10" s="140">
        <f t="shared" si="6"/>
        <v>6636331.1067950213</v>
      </c>
      <c r="AT10" s="140">
        <f t="shared" si="6"/>
        <v>6628485.1289309217</v>
      </c>
      <c r="AU10" s="140">
        <f t="shared" si="6"/>
        <v>6619744.3715095399</v>
      </c>
      <c r="AV10" s="140">
        <f t="shared" si="6"/>
        <v>6608130.1589397304</v>
      </c>
      <c r="AW10" s="140">
        <f t="shared" si="6"/>
        <v>6598062.7421185253</v>
      </c>
      <c r="AX10" s="140">
        <f t="shared" si="6"/>
        <v>6588432.2969608959</v>
      </c>
      <c r="AY10" s="140">
        <f t="shared" si="6"/>
        <v>6578918.9229001142</v>
      </c>
      <c r="AZ10" s="140">
        <f t="shared" si="6"/>
        <v>6568096.6413581166</v>
      </c>
      <c r="BA10" s="140">
        <f t="shared" si="6"/>
        <v>6556277.3941852786</v>
      </c>
      <c r="BB10" s="140">
        <f t="shared" si="6"/>
        <v>6543457.0420689844</v>
      </c>
      <c r="BC10" s="140">
        <f t="shared" si="6"/>
        <v>6531369.3629103638</v>
      </c>
      <c r="BD10" s="140">
        <f t="shared" si="6"/>
        <v>6519141.0501685711</v>
      </c>
      <c r="BE10" s="140">
        <f t="shared" si="6"/>
        <v>6507399.7111719418</v>
      </c>
      <c r="BF10" s="140">
        <f t="shared" si="6"/>
        <v>6494481.8653953811</v>
      </c>
      <c r="BG10" s="140">
        <f t="shared" si="6"/>
        <v>6481962.942703289</v>
      </c>
      <c r="BH10" s="140">
        <f t="shared" si="6"/>
        <v>6467626.2815573541</v>
      </c>
      <c r="BI10" s="140">
        <f t="shared" si="6"/>
        <v>6455338.1271885019</v>
      </c>
      <c r="BJ10" s="140">
        <f t="shared" si="6"/>
        <v>6443434.6297322717</v>
      </c>
      <c r="BK10" s="140">
        <f t="shared" si="6"/>
        <v>6430646.8423269168</v>
      </c>
      <c r="BL10" s="140">
        <f t="shared" si="6"/>
        <v>6415547.7191734556</v>
      </c>
      <c r="BM10" s="140">
        <f t="shared" si="6"/>
        <v>6401055.1135569243</v>
      </c>
      <c r="BN10" s="140">
        <f t="shared" si="6"/>
        <v>6387953.7758280626</v>
      </c>
      <c r="BO10" s="140">
        <f t="shared" si="6"/>
        <v>6372367.3513446245</v>
      </c>
      <c r="BP10" s="140">
        <f t="shared" ref="BP10:CH10" si="7">BP8-BP7-(BP6*BO5)</f>
        <v>6358714.3783715162</v>
      </c>
      <c r="BQ10" s="140">
        <f t="shared" si="7"/>
        <v>6344066.2859389465</v>
      </c>
      <c r="BR10" s="140">
        <f t="shared" si="7"/>
        <v>6316251.3916577259</v>
      </c>
      <c r="BS10" s="140">
        <f t="shared" si="7"/>
        <v>6278660.8994908808</v>
      </c>
      <c r="BT10" s="140">
        <f t="shared" si="7"/>
        <v>6236660.8974806983</v>
      </c>
      <c r="BU10" s="140">
        <f t="shared" si="7"/>
        <v>6183609.3554303125</v>
      </c>
      <c r="BV10" s="140">
        <f t="shared" si="7"/>
        <v>6156235.1225389186</v>
      </c>
      <c r="BW10" s="140">
        <f t="shared" si="7"/>
        <v>6100337.9249896966</v>
      </c>
      <c r="BX10" s="140">
        <f t="shared" si="7"/>
        <v>6036056.36348949</v>
      </c>
      <c r="BY10" s="140">
        <f t="shared" si="7"/>
        <v>5906819.9107592804</v>
      </c>
      <c r="BZ10" s="140">
        <f t="shared" si="7"/>
        <v>5698401.9089744659</v>
      </c>
      <c r="CA10" s="140">
        <f t="shared" si="7"/>
        <v>5440578.5671539549</v>
      </c>
      <c r="CB10" s="140">
        <f t="shared" si="7"/>
        <v>5008364.9584970344</v>
      </c>
      <c r="CC10" s="140">
        <f t="shared" si="7"/>
        <v>4248494.017666975</v>
      </c>
      <c r="CD10" s="140">
        <f t="shared" si="7"/>
        <v>3441092.5380203142</v>
      </c>
      <c r="CE10" s="140">
        <f t="shared" si="7"/>
        <v>2482742.1687807203</v>
      </c>
      <c r="CF10" s="140">
        <f t="shared" si="7"/>
        <v>1120714.4121563348</v>
      </c>
      <c r="CG10" s="140">
        <f t="shared" si="7"/>
        <v>-95000.379600538523</v>
      </c>
      <c r="CH10" s="140">
        <f t="shared" si="7"/>
        <v>-225890.0071925493</v>
      </c>
    </row>
    <row r="11" spans="1:86" ht="17" thickBot="1" x14ac:dyDescent="0.25">
      <c r="A11" s="159"/>
      <c r="B11" s="159"/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59"/>
      <c r="BG11" s="159"/>
      <c r="BH11" s="159"/>
      <c r="BI11" s="159"/>
      <c r="BJ11" s="159"/>
      <c r="BK11" s="159"/>
      <c r="BL11" s="159"/>
      <c r="BM11" s="159"/>
      <c r="BN11" s="159"/>
      <c r="BO11" s="159"/>
      <c r="BP11" s="159"/>
      <c r="BQ11" s="159"/>
      <c r="BR11" s="159"/>
      <c r="BS11" s="159"/>
      <c r="BT11" s="159"/>
      <c r="BU11" s="159"/>
      <c r="BV11" s="159"/>
      <c r="BW11" s="159"/>
      <c r="BX11" s="159"/>
      <c r="BY11" s="159"/>
      <c r="BZ11" s="159"/>
      <c r="CA11" s="159"/>
      <c r="CB11" s="159"/>
      <c r="CC11" s="159"/>
      <c r="CD11" s="159"/>
      <c r="CE11" s="159"/>
      <c r="CF11" s="159"/>
      <c r="CG11" s="159"/>
      <c r="CH11" s="159"/>
    </row>
    <row r="12" spans="1:86" x14ac:dyDescent="0.2">
      <c r="A12" s="155" t="s">
        <v>783</v>
      </c>
      <c r="B12" s="160"/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0"/>
      <c r="CD12" s="160"/>
      <c r="CE12" s="160"/>
      <c r="CF12" s="160"/>
      <c r="CG12" s="160"/>
      <c r="CH12" s="161"/>
    </row>
    <row r="13" spans="1:86" x14ac:dyDescent="0.2">
      <c r="A13" s="10" t="s">
        <v>784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 x14ac:dyDescent="0.2">
      <c r="A14" s="10" t="s">
        <v>785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 x14ac:dyDescent="0.2">
      <c r="A15" s="10" t="s">
        <v>786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 x14ac:dyDescent="0.2">
      <c r="A16" s="10" t="s">
        <v>787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 x14ac:dyDescent="0.2">
      <c r="A17" s="10" t="s">
        <v>788</v>
      </c>
      <c r="B17" s="3">
        <v>670</v>
      </c>
      <c r="C17" s="3">
        <f ca="1">RANDBETWEEN(600, 750)</f>
        <v>704</v>
      </c>
      <c r="D17" s="3">
        <f t="shared" ref="D17:BO17" ca="1" si="8">RANDBETWEEN(600, 750)</f>
        <v>722</v>
      </c>
      <c r="E17" s="3">
        <f t="shared" ca="1" si="8"/>
        <v>723</v>
      </c>
      <c r="F17" s="3">
        <f t="shared" ca="1" si="8"/>
        <v>691</v>
      </c>
      <c r="G17" s="3">
        <f t="shared" ca="1" si="8"/>
        <v>613</v>
      </c>
      <c r="H17" s="3">
        <f t="shared" ca="1" si="8"/>
        <v>618</v>
      </c>
      <c r="I17" s="3">
        <f t="shared" ca="1" si="8"/>
        <v>622</v>
      </c>
      <c r="J17" s="3">
        <f t="shared" ca="1" si="8"/>
        <v>688</v>
      </c>
      <c r="K17" s="3">
        <f t="shared" ca="1" si="8"/>
        <v>745</v>
      </c>
      <c r="L17" s="3">
        <f t="shared" ca="1" si="8"/>
        <v>630</v>
      </c>
      <c r="M17" s="3">
        <f t="shared" ca="1" si="8"/>
        <v>711</v>
      </c>
      <c r="N17" s="3">
        <f t="shared" ca="1" si="8"/>
        <v>726</v>
      </c>
      <c r="O17" s="3">
        <f t="shared" ca="1" si="8"/>
        <v>719</v>
      </c>
      <c r="P17" s="3">
        <f t="shared" ca="1" si="8"/>
        <v>729</v>
      </c>
      <c r="Q17" s="3">
        <f t="shared" ca="1" si="8"/>
        <v>680</v>
      </c>
      <c r="R17" s="3">
        <f t="shared" ca="1" si="8"/>
        <v>710</v>
      </c>
      <c r="S17" s="3">
        <f t="shared" ca="1" si="8"/>
        <v>607</v>
      </c>
      <c r="T17" s="3">
        <f t="shared" ca="1" si="8"/>
        <v>682</v>
      </c>
      <c r="U17" s="3">
        <f t="shared" ca="1" si="8"/>
        <v>738</v>
      </c>
      <c r="V17" s="3">
        <f t="shared" ca="1" si="8"/>
        <v>636</v>
      </c>
      <c r="W17" s="3">
        <f t="shared" ca="1" si="8"/>
        <v>608</v>
      </c>
      <c r="X17" s="3">
        <f t="shared" ca="1" si="8"/>
        <v>742</v>
      </c>
      <c r="Y17" s="3">
        <f t="shared" ca="1" si="8"/>
        <v>668</v>
      </c>
      <c r="Z17" s="3">
        <f t="shared" ca="1" si="8"/>
        <v>652</v>
      </c>
      <c r="AA17" s="3">
        <f t="shared" ca="1" si="8"/>
        <v>622</v>
      </c>
      <c r="AB17" s="3">
        <f t="shared" ca="1" si="8"/>
        <v>711</v>
      </c>
      <c r="AC17" s="3">
        <f t="shared" ca="1" si="8"/>
        <v>722</v>
      </c>
      <c r="AD17" s="3">
        <f t="shared" ca="1" si="8"/>
        <v>736</v>
      </c>
      <c r="AE17" s="3">
        <f t="shared" ca="1" si="8"/>
        <v>630</v>
      </c>
      <c r="AF17" s="3">
        <f t="shared" ca="1" si="8"/>
        <v>644</v>
      </c>
      <c r="AG17" s="3">
        <f t="shared" ca="1" si="8"/>
        <v>624</v>
      </c>
      <c r="AH17" s="3">
        <f t="shared" ca="1" si="8"/>
        <v>678</v>
      </c>
      <c r="AI17" s="3">
        <f t="shared" ca="1" si="8"/>
        <v>607</v>
      </c>
      <c r="AJ17" s="3">
        <f t="shared" ca="1" si="8"/>
        <v>727</v>
      </c>
      <c r="AK17" s="3">
        <f t="shared" ca="1" si="8"/>
        <v>709</v>
      </c>
      <c r="AL17" s="3">
        <f t="shared" ca="1" si="8"/>
        <v>700</v>
      </c>
      <c r="AM17" s="3">
        <f t="shared" ca="1" si="8"/>
        <v>661</v>
      </c>
      <c r="AN17" s="3">
        <f t="shared" ca="1" si="8"/>
        <v>667</v>
      </c>
      <c r="AO17" s="3">
        <f t="shared" ca="1" si="8"/>
        <v>713</v>
      </c>
      <c r="AP17" s="3">
        <f t="shared" ca="1" si="8"/>
        <v>707</v>
      </c>
      <c r="AQ17" s="3">
        <f t="shared" ca="1" si="8"/>
        <v>604</v>
      </c>
      <c r="AR17" s="3">
        <f t="shared" ca="1" si="8"/>
        <v>613</v>
      </c>
      <c r="AS17" s="3">
        <f t="shared" ca="1" si="8"/>
        <v>742</v>
      </c>
      <c r="AT17" s="3">
        <f t="shared" ca="1" si="8"/>
        <v>742</v>
      </c>
      <c r="AU17" s="3">
        <f t="shared" ca="1" si="8"/>
        <v>712</v>
      </c>
      <c r="AV17" s="3">
        <f t="shared" ca="1" si="8"/>
        <v>677</v>
      </c>
      <c r="AW17" s="3">
        <f t="shared" ca="1" si="8"/>
        <v>610</v>
      </c>
      <c r="AX17" s="3">
        <f t="shared" ca="1" si="8"/>
        <v>727</v>
      </c>
      <c r="AY17" s="3">
        <f t="shared" ca="1" si="8"/>
        <v>686</v>
      </c>
      <c r="AZ17" s="3">
        <f t="shared" ca="1" si="8"/>
        <v>684</v>
      </c>
      <c r="BA17" s="3">
        <f t="shared" ca="1" si="8"/>
        <v>684</v>
      </c>
      <c r="BB17" s="3">
        <f t="shared" ca="1" si="8"/>
        <v>617</v>
      </c>
      <c r="BC17" s="3">
        <f t="shared" ca="1" si="8"/>
        <v>604</v>
      </c>
      <c r="BD17" s="3">
        <f t="shared" ca="1" si="8"/>
        <v>619</v>
      </c>
      <c r="BE17" s="3">
        <f t="shared" ca="1" si="8"/>
        <v>712</v>
      </c>
      <c r="BF17" s="3">
        <f t="shared" ca="1" si="8"/>
        <v>601</v>
      </c>
      <c r="BG17" s="3">
        <f t="shared" ca="1" si="8"/>
        <v>703</v>
      </c>
      <c r="BH17" s="3">
        <f t="shared" ca="1" si="8"/>
        <v>710</v>
      </c>
      <c r="BI17" s="3">
        <f t="shared" ca="1" si="8"/>
        <v>654</v>
      </c>
      <c r="BJ17" s="3">
        <f t="shared" ca="1" si="8"/>
        <v>606</v>
      </c>
      <c r="BK17" s="3">
        <f t="shared" ca="1" si="8"/>
        <v>636</v>
      </c>
      <c r="BL17" s="3">
        <f t="shared" ca="1" si="8"/>
        <v>632</v>
      </c>
      <c r="BM17" s="3">
        <f t="shared" ca="1" si="8"/>
        <v>677</v>
      </c>
      <c r="BN17" s="3">
        <f t="shared" ca="1" si="8"/>
        <v>712</v>
      </c>
      <c r="BO17" s="3">
        <f t="shared" ca="1" si="8"/>
        <v>613</v>
      </c>
      <c r="BP17" s="3">
        <f t="shared" ref="BP17:CH17" ca="1" si="9">RANDBETWEEN(600, 750)</f>
        <v>645</v>
      </c>
      <c r="BQ17" s="3">
        <f t="shared" ca="1" si="9"/>
        <v>619</v>
      </c>
      <c r="BR17" s="3">
        <f t="shared" ca="1" si="9"/>
        <v>711</v>
      </c>
      <c r="BS17" s="3">
        <f t="shared" ca="1" si="9"/>
        <v>744</v>
      </c>
      <c r="BT17" s="3">
        <f t="shared" ca="1" si="9"/>
        <v>677</v>
      </c>
      <c r="BU17" s="3">
        <f t="shared" ca="1" si="9"/>
        <v>601</v>
      </c>
      <c r="BV17" s="3">
        <f t="shared" ca="1" si="9"/>
        <v>623</v>
      </c>
      <c r="BW17" s="3">
        <f t="shared" ca="1" si="9"/>
        <v>634</v>
      </c>
      <c r="BX17" s="3">
        <f t="shared" ca="1" si="9"/>
        <v>659</v>
      </c>
      <c r="BY17" s="3">
        <f t="shared" ca="1" si="9"/>
        <v>748</v>
      </c>
      <c r="BZ17" s="3">
        <f t="shared" ca="1" si="9"/>
        <v>742</v>
      </c>
      <c r="CA17" s="3">
        <f t="shared" ca="1" si="9"/>
        <v>728</v>
      </c>
      <c r="CB17" s="3">
        <f t="shared" ca="1" si="9"/>
        <v>647</v>
      </c>
      <c r="CC17" s="3">
        <f t="shared" ca="1" si="9"/>
        <v>665</v>
      </c>
      <c r="CD17" s="3">
        <f t="shared" ca="1" si="9"/>
        <v>667</v>
      </c>
      <c r="CE17" s="3">
        <f t="shared" ca="1" si="9"/>
        <v>613</v>
      </c>
      <c r="CF17" s="3">
        <f t="shared" ca="1" si="9"/>
        <v>695</v>
      </c>
      <c r="CG17" s="3">
        <f t="shared" ca="1" si="9"/>
        <v>652</v>
      </c>
      <c r="CH17" s="11">
        <f t="shared" ca="1" si="9"/>
        <v>731</v>
      </c>
    </row>
    <row r="18" spans="1:86" x14ac:dyDescent="0.2">
      <c r="A18" s="10" t="s">
        <v>789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 x14ac:dyDescent="0.2">
      <c r="A19" s="10" t="s">
        <v>790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11"/>
    </row>
    <row r="20" spans="1:86" ht="17" thickBot="1" x14ac:dyDescent="0.25">
      <c r="A20" s="139" t="s">
        <v>791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1"/>
    </row>
    <row r="21" spans="1:86" ht="17" thickBot="1" x14ac:dyDescent="0.25">
      <c r="A21" s="159"/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59"/>
      <c r="BG21" s="159"/>
      <c r="BH21" s="159"/>
      <c r="BI21" s="159"/>
      <c r="BJ21" s="159"/>
      <c r="BK21" s="159"/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  <c r="BV21" s="159"/>
      <c r="BW21" s="159"/>
      <c r="BX21" s="159"/>
      <c r="BY21" s="159"/>
      <c r="BZ21" s="159"/>
      <c r="CA21" s="159"/>
      <c r="CB21" s="159"/>
      <c r="CC21" s="159"/>
      <c r="CD21" s="159"/>
      <c r="CE21" s="159"/>
      <c r="CF21" s="159"/>
      <c r="CG21" s="159"/>
      <c r="CH21" s="159"/>
    </row>
    <row r="22" spans="1:86" x14ac:dyDescent="0.2">
      <c r="A22" s="155" t="s">
        <v>792</v>
      </c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  <c r="BX22" s="160"/>
      <c r="BY22" s="160"/>
      <c r="BZ22" s="160"/>
      <c r="CA22" s="160"/>
      <c r="CB22" s="160"/>
      <c r="CC22" s="160"/>
      <c r="CD22" s="160"/>
      <c r="CE22" s="160"/>
      <c r="CF22" s="160"/>
      <c r="CG22" s="160"/>
      <c r="CH22" s="161"/>
    </row>
    <row r="23" spans="1:86" x14ac:dyDescent="0.2">
      <c r="A23" s="10" t="s">
        <v>793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 x14ac:dyDescent="0.2">
      <c r="A24" s="10" t="s">
        <v>794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 x14ac:dyDescent="0.2">
      <c r="A25" s="10" t="s">
        <v>795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 x14ac:dyDescent="0.2">
      <c r="A26" s="10" t="s">
        <v>796</v>
      </c>
      <c r="B26" s="3"/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 x14ac:dyDescent="0.2">
      <c r="A27" s="10" t="s">
        <v>797</v>
      </c>
      <c r="B27" s="3">
        <v>450</v>
      </c>
      <c r="C27" s="3">
        <f ca="1">RANDBETWEEN(350, 490)</f>
        <v>366</v>
      </c>
      <c r="D27" s="3">
        <f t="shared" ref="D27:BO27" ca="1" si="12">RANDBETWEEN(350, 490)</f>
        <v>414</v>
      </c>
      <c r="E27" s="3">
        <f t="shared" ca="1" si="12"/>
        <v>481</v>
      </c>
      <c r="F27" s="3">
        <f t="shared" ca="1" si="12"/>
        <v>434</v>
      </c>
      <c r="G27" s="3">
        <f t="shared" ca="1" si="12"/>
        <v>468</v>
      </c>
      <c r="H27" s="3">
        <f t="shared" ca="1" si="12"/>
        <v>453</v>
      </c>
      <c r="I27" s="3">
        <f t="shared" ca="1" si="12"/>
        <v>470</v>
      </c>
      <c r="J27" s="3">
        <f t="shared" ca="1" si="12"/>
        <v>475</v>
      </c>
      <c r="K27" s="3">
        <f t="shared" ca="1" si="12"/>
        <v>445</v>
      </c>
      <c r="L27" s="3">
        <f t="shared" ca="1" si="12"/>
        <v>439</v>
      </c>
      <c r="M27" s="3">
        <f t="shared" ca="1" si="12"/>
        <v>454</v>
      </c>
      <c r="N27" s="3">
        <f t="shared" ca="1" si="12"/>
        <v>452</v>
      </c>
      <c r="O27" s="3">
        <f t="shared" ca="1" si="12"/>
        <v>353</v>
      </c>
      <c r="P27" s="3">
        <f t="shared" ca="1" si="12"/>
        <v>410</v>
      </c>
      <c r="Q27" s="3">
        <f t="shared" ca="1" si="12"/>
        <v>480</v>
      </c>
      <c r="R27" s="3">
        <f t="shared" ca="1" si="12"/>
        <v>354</v>
      </c>
      <c r="S27" s="3">
        <f t="shared" ca="1" si="12"/>
        <v>486</v>
      </c>
      <c r="T27" s="3">
        <f t="shared" ca="1" si="12"/>
        <v>455</v>
      </c>
      <c r="U27" s="3">
        <f t="shared" ca="1" si="12"/>
        <v>451</v>
      </c>
      <c r="V27" s="3">
        <f t="shared" ca="1" si="12"/>
        <v>360</v>
      </c>
      <c r="W27" s="3">
        <f t="shared" ca="1" si="12"/>
        <v>435</v>
      </c>
      <c r="X27" s="3">
        <f t="shared" ca="1" si="12"/>
        <v>487</v>
      </c>
      <c r="Y27" s="3">
        <f t="shared" ca="1" si="12"/>
        <v>377</v>
      </c>
      <c r="Z27" s="3">
        <f t="shared" ca="1" si="12"/>
        <v>366</v>
      </c>
      <c r="AA27" s="3">
        <f t="shared" ca="1" si="12"/>
        <v>464</v>
      </c>
      <c r="AB27" s="3">
        <f t="shared" ca="1" si="12"/>
        <v>437</v>
      </c>
      <c r="AC27" s="3">
        <f t="shared" ca="1" si="12"/>
        <v>475</v>
      </c>
      <c r="AD27" s="3">
        <f t="shared" ca="1" si="12"/>
        <v>364</v>
      </c>
      <c r="AE27" s="3">
        <f t="shared" ca="1" si="12"/>
        <v>375</v>
      </c>
      <c r="AF27" s="3">
        <f t="shared" ca="1" si="12"/>
        <v>446</v>
      </c>
      <c r="AG27" s="3">
        <f t="shared" ca="1" si="12"/>
        <v>352</v>
      </c>
      <c r="AH27" s="3">
        <f t="shared" ca="1" si="12"/>
        <v>428</v>
      </c>
      <c r="AI27" s="3">
        <f t="shared" ca="1" si="12"/>
        <v>475</v>
      </c>
      <c r="AJ27" s="3">
        <f t="shared" ca="1" si="12"/>
        <v>373</v>
      </c>
      <c r="AK27" s="3">
        <f t="shared" ca="1" si="12"/>
        <v>457</v>
      </c>
      <c r="AL27" s="3">
        <f t="shared" ca="1" si="12"/>
        <v>366</v>
      </c>
      <c r="AM27" s="3">
        <f t="shared" ca="1" si="12"/>
        <v>366</v>
      </c>
      <c r="AN27" s="3">
        <f t="shared" ca="1" si="12"/>
        <v>489</v>
      </c>
      <c r="AO27" s="3">
        <f t="shared" ca="1" si="12"/>
        <v>484</v>
      </c>
      <c r="AP27" s="3">
        <f t="shared" ca="1" si="12"/>
        <v>438</v>
      </c>
      <c r="AQ27" s="3">
        <f t="shared" ca="1" si="12"/>
        <v>356</v>
      </c>
      <c r="AR27" s="3">
        <f t="shared" ca="1" si="12"/>
        <v>450</v>
      </c>
      <c r="AS27" s="3">
        <f t="shared" ca="1" si="12"/>
        <v>446</v>
      </c>
      <c r="AT27" s="3">
        <f t="shared" ca="1" si="12"/>
        <v>425</v>
      </c>
      <c r="AU27" s="3">
        <f t="shared" ca="1" si="12"/>
        <v>374</v>
      </c>
      <c r="AV27" s="3">
        <f t="shared" ca="1" si="12"/>
        <v>452</v>
      </c>
      <c r="AW27" s="3">
        <f t="shared" ca="1" si="12"/>
        <v>465</v>
      </c>
      <c r="AX27" s="3">
        <f t="shared" ca="1" si="12"/>
        <v>375</v>
      </c>
      <c r="AY27" s="3">
        <f t="shared" ca="1" si="12"/>
        <v>440</v>
      </c>
      <c r="AZ27" s="3">
        <f t="shared" ca="1" si="12"/>
        <v>435</v>
      </c>
      <c r="BA27" s="3">
        <f t="shared" ca="1" si="12"/>
        <v>433</v>
      </c>
      <c r="BB27" s="3">
        <f t="shared" ca="1" si="12"/>
        <v>446</v>
      </c>
      <c r="BC27" s="3">
        <f t="shared" ca="1" si="12"/>
        <v>383</v>
      </c>
      <c r="BD27" s="3">
        <f t="shared" ca="1" si="12"/>
        <v>358</v>
      </c>
      <c r="BE27" s="3">
        <f t="shared" ca="1" si="12"/>
        <v>458</v>
      </c>
      <c r="BF27" s="3">
        <f t="shared" ca="1" si="12"/>
        <v>469</v>
      </c>
      <c r="BG27" s="3">
        <f t="shared" ca="1" si="12"/>
        <v>404</v>
      </c>
      <c r="BH27" s="3">
        <f t="shared" ca="1" si="12"/>
        <v>356</v>
      </c>
      <c r="BI27" s="3">
        <f t="shared" ca="1" si="12"/>
        <v>350</v>
      </c>
      <c r="BJ27" s="3">
        <f t="shared" ca="1" si="12"/>
        <v>468</v>
      </c>
      <c r="BK27" s="3">
        <f t="shared" ca="1" si="12"/>
        <v>388</v>
      </c>
      <c r="BL27" s="3">
        <f t="shared" ca="1" si="12"/>
        <v>477</v>
      </c>
      <c r="BM27" s="3">
        <f t="shared" ca="1" si="12"/>
        <v>425</v>
      </c>
      <c r="BN27" s="3">
        <f t="shared" ca="1" si="12"/>
        <v>431</v>
      </c>
      <c r="BO27" s="3">
        <f t="shared" ca="1" si="12"/>
        <v>371</v>
      </c>
      <c r="BP27" s="3">
        <f t="shared" ref="BP27:CH27" ca="1" si="13">RANDBETWEEN(350, 490)</f>
        <v>396</v>
      </c>
      <c r="BQ27" s="3">
        <f t="shared" ca="1" si="13"/>
        <v>374</v>
      </c>
      <c r="BR27" s="3">
        <f t="shared" ca="1" si="13"/>
        <v>365</v>
      </c>
      <c r="BS27" s="3">
        <f t="shared" ca="1" si="13"/>
        <v>476</v>
      </c>
      <c r="BT27" s="3">
        <f t="shared" ca="1" si="13"/>
        <v>372</v>
      </c>
      <c r="BU27" s="3">
        <f t="shared" ca="1" si="13"/>
        <v>370</v>
      </c>
      <c r="BV27" s="3">
        <f t="shared" ca="1" si="13"/>
        <v>472</v>
      </c>
      <c r="BW27" s="3">
        <f t="shared" ca="1" si="13"/>
        <v>354</v>
      </c>
      <c r="BX27" s="3">
        <f t="shared" ca="1" si="13"/>
        <v>487</v>
      </c>
      <c r="BY27" s="3">
        <f t="shared" ca="1" si="13"/>
        <v>442</v>
      </c>
      <c r="BZ27" s="3">
        <f t="shared" ca="1" si="13"/>
        <v>453</v>
      </c>
      <c r="CA27" s="3">
        <f t="shared" ca="1" si="13"/>
        <v>461</v>
      </c>
      <c r="CB27" s="3">
        <f t="shared" ca="1" si="13"/>
        <v>388</v>
      </c>
      <c r="CC27" s="3">
        <f t="shared" ca="1" si="13"/>
        <v>401</v>
      </c>
      <c r="CD27" s="3">
        <f t="shared" ca="1" si="13"/>
        <v>472</v>
      </c>
      <c r="CE27" s="3">
        <f t="shared" ca="1" si="13"/>
        <v>472</v>
      </c>
      <c r="CF27" s="3">
        <f t="shared" ca="1" si="13"/>
        <v>433</v>
      </c>
      <c r="CG27" s="3">
        <f t="shared" ca="1" si="13"/>
        <v>424</v>
      </c>
      <c r="CH27" s="11">
        <f t="shared" ca="1" si="13"/>
        <v>457</v>
      </c>
    </row>
    <row r="28" spans="1:86" x14ac:dyDescent="0.2">
      <c r="A28" s="10" t="s">
        <v>798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11"/>
    </row>
    <row r="29" spans="1:86" x14ac:dyDescent="0.2">
      <c r="A29" s="10" t="s">
        <v>799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11"/>
    </row>
    <row r="30" spans="1:86" ht="17" thickBot="1" x14ac:dyDescent="0.25">
      <c r="A30" s="139" t="s">
        <v>800</v>
      </c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140"/>
      <c r="CH30" s="14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J3" sqref="J3"/>
    </sheetView>
  </sheetViews>
  <sheetFormatPr baseColWidth="10" defaultColWidth="10.83203125" defaultRowHeight="16" x14ac:dyDescent="0.2"/>
  <cols>
    <col min="1" max="1" width="22.1640625" style="99" customWidth="1"/>
    <col min="2" max="11" width="21.33203125" style="99" customWidth="1"/>
    <col min="12" max="16384" width="10.83203125" style="99"/>
  </cols>
  <sheetData>
    <row r="1" spans="1:11" x14ac:dyDescent="0.2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</row>
    <row r="2" spans="1:11" x14ac:dyDescent="0.2">
      <c r="A2" s="105"/>
      <c r="B2" s="106" t="str">
        <f>A3</f>
        <v>Style</v>
      </c>
      <c r="C2" s="106" t="str">
        <f>A4</f>
        <v>Lightweight</v>
      </c>
      <c r="D2" s="106" t="str">
        <f>A5</f>
        <v>Durable</v>
      </c>
      <c r="E2" s="106" t="str">
        <f>A6</f>
        <v>Simple locking system</v>
      </c>
      <c r="F2" s="106" t="str">
        <f>A7</f>
        <v>Short charging time</v>
      </c>
      <c r="G2" s="106" t="str">
        <f>A8</f>
        <v>Easy-to-replace parts</v>
      </c>
      <c r="H2" s="106" t="s">
        <v>704</v>
      </c>
      <c r="I2" s="106" t="s">
        <v>641</v>
      </c>
      <c r="J2" s="106" t="s">
        <v>169</v>
      </c>
      <c r="K2" s="106" t="s">
        <v>642</v>
      </c>
    </row>
    <row r="3" spans="1:11" x14ac:dyDescent="0.2">
      <c r="A3" s="106" t="s">
        <v>643</v>
      </c>
      <c r="B3" s="100"/>
      <c r="C3" s="101">
        <f t="array" ref="C3:G3">TRANSPOSE(B4:B8)*(-1)</f>
        <v>1</v>
      </c>
      <c r="D3" s="101">
        <v>0</v>
      </c>
      <c r="E3" s="101">
        <v>1</v>
      </c>
      <c r="F3" s="101">
        <v>-1</v>
      </c>
      <c r="G3" s="101">
        <v>0</v>
      </c>
      <c r="H3" s="107" t="s">
        <v>704</v>
      </c>
      <c r="I3" s="101">
        <f>SUM(B3:G3)</f>
        <v>1</v>
      </c>
      <c r="J3" s="101" cm="1">
        <f t="array" ref="J3">I3+(ROUNDUP(MAX(ABS($I$3:$I$8)), -1))</f>
        <v>11</v>
      </c>
      <c r="K3" s="102">
        <f>J3/$J$9</f>
        <v>0.18333333333333332</v>
      </c>
    </row>
    <row r="4" spans="1:11" x14ac:dyDescent="0.2">
      <c r="A4" s="106" t="s">
        <v>644</v>
      </c>
      <c r="B4" s="101">
        <v>-1</v>
      </c>
      <c r="C4" s="100"/>
      <c r="D4" s="101">
        <f t="array" ref="D4:G4">TRANSPOSE(C5:C8)*(-1)</f>
        <v>-1</v>
      </c>
      <c r="E4" s="101">
        <v>0</v>
      </c>
      <c r="F4" s="101">
        <v>-1</v>
      </c>
      <c r="G4" s="103">
        <v>0</v>
      </c>
      <c r="H4" s="108" t="s">
        <v>704</v>
      </c>
      <c r="I4" s="101">
        <f t="shared" ref="I4:I8" si="0">SUM(B4:G4)</f>
        <v>-3</v>
      </c>
      <c r="J4" s="101" cm="1">
        <f t="array" ref="J4">I4+(ROUNDUP(MAX(ABS($I$3:$I$8)), -1))</f>
        <v>7</v>
      </c>
      <c r="K4" s="102">
        <f t="shared" ref="K4:K8" si="1">J4/$J$9</f>
        <v>0.11666666666666667</v>
      </c>
    </row>
    <row r="5" spans="1:11" x14ac:dyDescent="0.2">
      <c r="A5" s="106" t="s">
        <v>645</v>
      </c>
      <c r="B5" s="101">
        <v>0</v>
      </c>
      <c r="C5" s="101">
        <v>1</v>
      </c>
      <c r="D5" s="100"/>
      <c r="E5" s="101">
        <f t="array" ref="E5:G5">TRANSPOSE(D6:D8)*(-1)</f>
        <v>1</v>
      </c>
      <c r="F5" s="101">
        <v>0</v>
      </c>
      <c r="G5" s="103">
        <v>-1</v>
      </c>
      <c r="H5" s="108" t="s">
        <v>704</v>
      </c>
      <c r="I5" s="101">
        <f t="shared" si="0"/>
        <v>1</v>
      </c>
      <c r="J5" s="101" cm="1">
        <f t="array" ref="J5">I5+(ROUNDUP(MAX(ABS($I$3:$I$8)), -1))</f>
        <v>11</v>
      </c>
      <c r="K5" s="102">
        <f t="shared" si="1"/>
        <v>0.18333333333333332</v>
      </c>
    </row>
    <row r="6" spans="1:11" x14ac:dyDescent="0.2">
      <c r="A6" s="106" t="s">
        <v>646</v>
      </c>
      <c r="B6" s="101">
        <v>-1</v>
      </c>
      <c r="C6" s="101">
        <v>0</v>
      </c>
      <c r="D6" s="101">
        <v>-1</v>
      </c>
      <c r="E6" s="100"/>
      <c r="F6" s="101">
        <f t="array" ref="F6:G6">TRANSPOSE(E7:E8)*(-1)</f>
        <v>-1</v>
      </c>
      <c r="G6" s="103">
        <v>-1</v>
      </c>
      <c r="H6" s="108" t="s">
        <v>704</v>
      </c>
      <c r="I6" s="101">
        <f t="shared" si="0"/>
        <v>-4</v>
      </c>
      <c r="J6" s="101" cm="1">
        <f t="array" ref="J6">I6+(ROUNDUP(MAX(ABS($I$3:$I$8)), -1))</f>
        <v>6</v>
      </c>
      <c r="K6" s="102">
        <f t="shared" si="1"/>
        <v>0.1</v>
      </c>
    </row>
    <row r="7" spans="1:11" x14ac:dyDescent="0.2">
      <c r="A7" s="106" t="s">
        <v>647</v>
      </c>
      <c r="B7" s="101">
        <v>1</v>
      </c>
      <c r="C7" s="101">
        <v>1</v>
      </c>
      <c r="D7" s="101">
        <v>0</v>
      </c>
      <c r="E7" s="101">
        <v>1</v>
      </c>
      <c r="F7" s="100"/>
      <c r="G7" s="103">
        <f t="array" ref="G7">TRANSPOSE(F8)*(-1)</f>
        <v>1</v>
      </c>
      <c r="H7" s="108" t="s">
        <v>704</v>
      </c>
      <c r="I7" s="101">
        <f t="shared" si="0"/>
        <v>4</v>
      </c>
      <c r="J7" s="101" cm="1">
        <f t="array" ref="J7">I7+(ROUNDUP(MAX(ABS($I$3:$I$8)), -1))</f>
        <v>14</v>
      </c>
      <c r="K7" s="102">
        <f t="shared" si="1"/>
        <v>0.23333333333333334</v>
      </c>
    </row>
    <row r="8" spans="1:11" x14ac:dyDescent="0.2">
      <c r="A8" s="106" t="s">
        <v>648</v>
      </c>
      <c r="B8" s="101">
        <v>0</v>
      </c>
      <c r="C8" s="101">
        <v>0</v>
      </c>
      <c r="D8" s="101">
        <v>1</v>
      </c>
      <c r="E8" s="101">
        <v>1</v>
      </c>
      <c r="F8" s="101">
        <v>-1</v>
      </c>
      <c r="G8" s="104"/>
      <c r="H8" s="108" t="s">
        <v>704</v>
      </c>
      <c r="I8" s="101">
        <f t="shared" si="0"/>
        <v>1</v>
      </c>
      <c r="J8" s="101" cm="1">
        <f t="array" ref="J8">I8+(ROUNDUP(MAX(ABS($I$3:$I$8)), -1))</f>
        <v>11</v>
      </c>
      <c r="K8" s="102">
        <f t="shared" si="1"/>
        <v>0.18333333333333332</v>
      </c>
    </row>
    <row r="9" spans="1:11" x14ac:dyDescent="0.2">
      <c r="A9" s="1" t="s">
        <v>692</v>
      </c>
      <c r="B9" s="107" t="s">
        <v>704</v>
      </c>
      <c r="C9" s="107" t="s">
        <v>704</v>
      </c>
      <c r="D9" s="107" t="s">
        <v>704</v>
      </c>
      <c r="E9" s="107" t="s">
        <v>704</v>
      </c>
      <c r="F9" s="107" t="s">
        <v>704</v>
      </c>
      <c r="G9" s="107" t="s">
        <v>704</v>
      </c>
      <c r="H9" s="107" t="s">
        <v>704</v>
      </c>
      <c r="J9" s="101">
        <f>SUM(J3:J8)</f>
        <v>60</v>
      </c>
      <c r="K9" s="102"/>
    </row>
    <row r="10" spans="1:11" x14ac:dyDescent="0.2">
      <c r="A10" s="1" t="s">
        <v>693</v>
      </c>
      <c r="B10" s="107" t="s">
        <v>704</v>
      </c>
      <c r="C10" s="107" t="s">
        <v>704</v>
      </c>
      <c r="D10" s="107" t="s">
        <v>704</v>
      </c>
      <c r="E10" s="107" t="s">
        <v>704</v>
      </c>
      <c r="F10" s="107" t="s">
        <v>704</v>
      </c>
      <c r="G10" s="107" t="s">
        <v>704</v>
      </c>
      <c r="H10" s="107" t="s">
        <v>704</v>
      </c>
    </row>
    <row r="11" spans="1:11" x14ac:dyDescent="0.2">
      <c r="A11" s="1" t="s">
        <v>694</v>
      </c>
      <c r="B11" s="107" t="s">
        <v>704</v>
      </c>
      <c r="C11" s="107" t="s">
        <v>704</v>
      </c>
      <c r="D11" s="107" t="s">
        <v>704</v>
      </c>
      <c r="E11" s="107" t="s">
        <v>704</v>
      </c>
      <c r="F11" s="107" t="s">
        <v>704</v>
      </c>
      <c r="G11" s="107" t="s">
        <v>704</v>
      </c>
      <c r="H11" s="107" t="s">
        <v>704</v>
      </c>
    </row>
    <row r="12" spans="1:11" x14ac:dyDescent="0.2">
      <c r="A12" s="1" t="s">
        <v>695</v>
      </c>
      <c r="B12" s="107" t="s">
        <v>704</v>
      </c>
      <c r="C12" s="107" t="s">
        <v>704</v>
      </c>
      <c r="D12" s="107" t="s">
        <v>704</v>
      </c>
      <c r="E12" s="107" t="s">
        <v>704</v>
      </c>
      <c r="F12" s="107" t="s">
        <v>704</v>
      </c>
      <c r="G12" s="107" t="s">
        <v>704</v>
      </c>
      <c r="H12" s="107" t="s">
        <v>704</v>
      </c>
    </row>
    <row r="13" spans="1:11" x14ac:dyDescent="0.2">
      <c r="A13" s="1" t="s">
        <v>696</v>
      </c>
      <c r="B13" s="107" t="s">
        <v>704</v>
      </c>
      <c r="C13" s="107" t="s">
        <v>704</v>
      </c>
      <c r="D13" s="107" t="s">
        <v>704</v>
      </c>
      <c r="E13" s="107" t="s">
        <v>704</v>
      </c>
      <c r="F13" s="107" t="s">
        <v>704</v>
      </c>
      <c r="G13" s="107" t="s">
        <v>704</v>
      </c>
      <c r="H13" s="107" t="s">
        <v>704</v>
      </c>
    </row>
    <row r="14" spans="1:11" x14ac:dyDescent="0.2">
      <c r="A14" s="1" t="s">
        <v>697</v>
      </c>
      <c r="B14" s="107" t="s">
        <v>704</v>
      </c>
      <c r="C14" s="107" t="s">
        <v>704</v>
      </c>
      <c r="D14" s="107" t="s">
        <v>704</v>
      </c>
      <c r="E14" s="107" t="s">
        <v>704</v>
      </c>
      <c r="F14" s="107" t="s">
        <v>704</v>
      </c>
      <c r="G14" s="107" t="s">
        <v>704</v>
      </c>
      <c r="H14" s="107" t="s">
        <v>704</v>
      </c>
    </row>
    <row r="15" spans="1:11" x14ac:dyDescent="0.2">
      <c r="A15" s="1" t="s">
        <v>698</v>
      </c>
      <c r="B15" s="107" t="s">
        <v>704</v>
      </c>
      <c r="C15" s="107" t="s">
        <v>704</v>
      </c>
      <c r="D15" s="107" t="s">
        <v>704</v>
      </c>
      <c r="E15" s="107" t="s">
        <v>704</v>
      </c>
      <c r="F15" s="107" t="s">
        <v>704</v>
      </c>
      <c r="G15" s="107" t="s">
        <v>704</v>
      </c>
      <c r="H15" s="107" t="s">
        <v>704</v>
      </c>
    </row>
    <row r="16" spans="1:11" x14ac:dyDescent="0.2">
      <c r="A16" s="1" t="s">
        <v>699</v>
      </c>
      <c r="B16" s="107" t="s">
        <v>704</v>
      </c>
      <c r="C16" s="107" t="s">
        <v>704</v>
      </c>
      <c r="D16" s="107" t="s">
        <v>704</v>
      </c>
      <c r="E16" s="107" t="s">
        <v>704</v>
      </c>
      <c r="F16" s="107" t="s">
        <v>704</v>
      </c>
      <c r="G16" s="107" t="s">
        <v>704</v>
      </c>
      <c r="H16" s="107" t="s">
        <v>704</v>
      </c>
    </row>
    <row r="17" spans="1:8" x14ac:dyDescent="0.2">
      <c r="A17" s="1" t="s">
        <v>700</v>
      </c>
      <c r="B17" s="107" t="s">
        <v>704</v>
      </c>
      <c r="C17" s="107" t="s">
        <v>704</v>
      </c>
      <c r="D17" s="107" t="s">
        <v>704</v>
      </c>
      <c r="E17" s="107" t="s">
        <v>704</v>
      </c>
      <c r="F17" s="107" t="s">
        <v>704</v>
      </c>
      <c r="G17" s="107" t="s">
        <v>704</v>
      </c>
      <c r="H17" s="107" t="s">
        <v>704</v>
      </c>
    </row>
    <row r="18" spans="1:8" x14ac:dyDescent="0.2">
      <c r="A18" s="1" t="s">
        <v>701</v>
      </c>
      <c r="B18" s="107" t="s">
        <v>704</v>
      </c>
      <c r="C18" s="107" t="s">
        <v>704</v>
      </c>
      <c r="D18" s="107" t="s">
        <v>704</v>
      </c>
      <c r="E18" s="107" t="s">
        <v>704</v>
      </c>
      <c r="F18" s="107" t="s">
        <v>704</v>
      </c>
      <c r="G18" s="107" t="s">
        <v>704</v>
      </c>
      <c r="H18" s="107" t="s">
        <v>704</v>
      </c>
    </row>
    <row r="22" spans="1:8" x14ac:dyDescent="0.2">
      <c r="C22" s="9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zoomScaleNormal="85" workbookViewId="0">
      <selection activeCell="BU38" sqref="BU38"/>
    </sheetView>
  </sheetViews>
  <sheetFormatPr baseColWidth="10" defaultColWidth="9.1640625" defaultRowHeight="16" x14ac:dyDescent="0.25"/>
  <cols>
    <col min="1" max="1" width="9.1640625" style="72"/>
    <col min="2" max="2" width="5" style="72" customWidth="1"/>
    <col min="3" max="3" width="14.33203125" style="72" customWidth="1"/>
    <col min="4" max="5" width="5" style="72" customWidth="1"/>
    <col min="6" max="7" width="17.83203125" style="72" customWidth="1"/>
    <col min="8" max="71" width="1.6640625" style="72" customWidth="1"/>
    <col min="72" max="74" width="5" style="72" customWidth="1"/>
    <col min="75" max="75" width="5" style="73" customWidth="1"/>
    <col min="76" max="76" width="5" style="72" customWidth="1"/>
    <col min="77" max="82" width="5.6640625" style="72" customWidth="1"/>
    <col min="83" max="83" width="5" style="72" customWidth="1"/>
    <col min="84" max="16384" width="9.1640625" style="72"/>
  </cols>
  <sheetData>
    <row r="1" spans="2:71" ht="10" customHeight="1" x14ac:dyDescent="0.25"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4"/>
      <c r="AN1" s="75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</row>
    <row r="2" spans="2:71" ht="10" customHeight="1" x14ac:dyDescent="0.25">
      <c r="H2" s="76"/>
      <c r="I2" s="76"/>
      <c r="J2" s="77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78"/>
      <c r="AM2" s="292"/>
      <c r="AN2" s="292"/>
      <c r="AO2" s="79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77"/>
      <c r="BR2" s="76"/>
      <c r="BS2" s="76"/>
    </row>
    <row r="3" spans="2:71" ht="10" customHeight="1" x14ac:dyDescent="0.25">
      <c r="H3" s="76"/>
      <c r="I3" s="76"/>
      <c r="J3" s="77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78"/>
      <c r="AL3" s="79"/>
      <c r="AM3" s="292"/>
      <c r="AN3" s="292"/>
      <c r="AO3" s="78"/>
      <c r="AP3" s="79"/>
      <c r="AQ3" s="144"/>
      <c r="AR3" s="144"/>
      <c r="AS3" s="144"/>
      <c r="AT3" s="144"/>
      <c r="AU3" s="144"/>
      <c r="AV3" s="144"/>
      <c r="AW3" s="144"/>
      <c r="AX3" s="144"/>
      <c r="AY3" s="144"/>
      <c r="AZ3" s="144"/>
      <c r="BA3" s="144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77"/>
      <c r="BR3" s="76"/>
      <c r="BS3" s="76"/>
    </row>
    <row r="4" spans="2:71" ht="10" customHeight="1" x14ac:dyDescent="0.25">
      <c r="H4" s="76"/>
      <c r="I4" s="76"/>
      <c r="J4" s="77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78"/>
      <c r="AK4" s="292"/>
      <c r="AL4" s="292"/>
      <c r="AM4" s="79"/>
      <c r="AN4" s="78"/>
      <c r="AO4" s="292"/>
      <c r="AP4" s="292"/>
      <c r="AQ4" s="79"/>
      <c r="AR4" s="144"/>
      <c r="AS4" s="144"/>
      <c r="AT4" s="144"/>
      <c r="AU4" s="144"/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44"/>
      <c r="BJ4" s="144"/>
      <c r="BK4" s="144"/>
      <c r="BL4" s="144"/>
      <c r="BM4" s="144"/>
      <c r="BN4" s="144"/>
      <c r="BO4" s="144"/>
      <c r="BP4" s="144"/>
      <c r="BQ4" s="77"/>
      <c r="BR4" s="76"/>
      <c r="BS4" s="76"/>
    </row>
    <row r="5" spans="2:71" ht="10" customHeight="1" x14ac:dyDescent="0.25">
      <c r="B5" s="299" t="s">
        <v>649</v>
      </c>
      <c r="C5" s="300"/>
      <c r="D5" s="301"/>
      <c r="H5" s="76"/>
      <c r="I5" s="76"/>
      <c r="J5" s="77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78"/>
      <c r="AJ5" s="79"/>
      <c r="AK5" s="292"/>
      <c r="AL5" s="292"/>
      <c r="AM5" s="78"/>
      <c r="AN5" s="79"/>
      <c r="AO5" s="292"/>
      <c r="AP5" s="292"/>
      <c r="AQ5" s="78"/>
      <c r="AR5" s="79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77"/>
      <c r="BR5" s="76"/>
      <c r="BS5" s="76"/>
    </row>
    <row r="6" spans="2:71" ht="10" customHeight="1" x14ac:dyDescent="0.25">
      <c r="B6" s="302"/>
      <c r="C6" s="303"/>
      <c r="D6" s="304"/>
      <c r="H6" s="76"/>
      <c r="I6" s="76"/>
      <c r="J6" s="77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78"/>
      <c r="AI6" s="292"/>
      <c r="AJ6" s="292"/>
      <c r="AK6" s="79"/>
      <c r="AL6" s="78"/>
      <c r="AM6" s="292"/>
      <c r="AN6" s="292"/>
      <c r="AO6" s="79"/>
      <c r="AP6" s="78"/>
      <c r="AQ6" s="292"/>
      <c r="AR6" s="292"/>
      <c r="AS6" s="79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77"/>
      <c r="BR6" s="76"/>
      <c r="BS6" s="76"/>
    </row>
    <row r="7" spans="2:71" ht="10" customHeight="1" x14ac:dyDescent="0.25">
      <c r="B7" s="293" t="s">
        <v>650</v>
      </c>
      <c r="C7" s="294"/>
      <c r="D7" s="305" t="s">
        <v>651</v>
      </c>
      <c r="H7" s="76"/>
      <c r="I7" s="76"/>
      <c r="J7" s="77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78"/>
      <c r="AH7" s="79"/>
      <c r="AI7" s="292"/>
      <c r="AJ7" s="292"/>
      <c r="AK7" s="78"/>
      <c r="AL7" s="79"/>
      <c r="AM7" s="292"/>
      <c r="AN7" s="292"/>
      <c r="AO7" s="78"/>
      <c r="AP7" s="79"/>
      <c r="AQ7" s="292"/>
      <c r="AR7" s="292"/>
      <c r="AS7" s="78"/>
      <c r="AT7" s="79"/>
      <c r="AU7" s="144"/>
      <c r="AV7" s="144"/>
      <c r="AW7" s="144"/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77"/>
      <c r="BR7" s="76"/>
      <c r="BS7" s="76"/>
    </row>
    <row r="8" spans="2:71" ht="10" customHeight="1" x14ac:dyDescent="0.25">
      <c r="B8" s="293"/>
      <c r="C8" s="294"/>
      <c r="D8" s="305"/>
      <c r="H8" s="76"/>
      <c r="I8" s="76"/>
      <c r="J8" s="77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78"/>
      <c r="AG8" s="292"/>
      <c r="AH8" s="292"/>
      <c r="AI8" s="79"/>
      <c r="AJ8" s="78"/>
      <c r="AK8" s="292"/>
      <c r="AL8" s="292"/>
      <c r="AM8" s="79"/>
      <c r="AN8" s="78"/>
      <c r="AO8" s="292"/>
      <c r="AP8" s="292"/>
      <c r="AQ8" s="79"/>
      <c r="AR8" s="78"/>
      <c r="AS8" s="292"/>
      <c r="AT8" s="292"/>
      <c r="AU8" s="79"/>
      <c r="AV8" s="144"/>
      <c r="AW8" s="144"/>
      <c r="AX8" s="144"/>
      <c r="AY8" s="144"/>
      <c r="AZ8" s="144"/>
      <c r="BA8" s="144"/>
      <c r="BB8" s="144"/>
      <c r="BC8" s="144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77"/>
      <c r="BR8" s="76"/>
      <c r="BS8" s="76"/>
    </row>
    <row r="9" spans="2:71" ht="10" customHeight="1" x14ac:dyDescent="0.25">
      <c r="B9" s="293" t="s">
        <v>652</v>
      </c>
      <c r="C9" s="294"/>
      <c r="D9" s="305" t="s">
        <v>653</v>
      </c>
      <c r="H9" s="76"/>
      <c r="I9" s="76"/>
      <c r="J9" s="77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78"/>
      <c r="AF9" s="79"/>
      <c r="AG9" s="292"/>
      <c r="AH9" s="292"/>
      <c r="AI9" s="78"/>
      <c r="AJ9" s="79"/>
      <c r="AK9" s="292"/>
      <c r="AL9" s="292"/>
      <c r="AM9" s="78"/>
      <c r="AN9" s="79"/>
      <c r="AO9" s="292"/>
      <c r="AP9" s="292"/>
      <c r="AQ9" s="78"/>
      <c r="AR9" s="79"/>
      <c r="AS9" s="292"/>
      <c r="AT9" s="292"/>
      <c r="AU9" s="78"/>
      <c r="AV9" s="79"/>
      <c r="AW9" s="144"/>
      <c r="AX9" s="144"/>
      <c r="AY9" s="144"/>
      <c r="AZ9" s="144"/>
      <c r="BA9" s="144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77"/>
      <c r="BR9" s="76"/>
      <c r="BS9" s="76"/>
    </row>
    <row r="10" spans="2:71" ht="10" customHeight="1" x14ac:dyDescent="0.25">
      <c r="B10" s="293"/>
      <c r="C10" s="294"/>
      <c r="D10" s="305"/>
      <c r="H10" s="76"/>
      <c r="I10" s="76"/>
      <c r="J10" s="77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78"/>
      <c r="AE10" s="292"/>
      <c r="AF10" s="292"/>
      <c r="AG10" s="79"/>
      <c r="AH10" s="78"/>
      <c r="AI10" s="292"/>
      <c r="AJ10" s="292"/>
      <c r="AK10" s="79"/>
      <c r="AL10" s="78"/>
      <c r="AM10" s="292"/>
      <c r="AN10" s="292"/>
      <c r="AO10" s="79"/>
      <c r="AP10" s="78"/>
      <c r="AQ10" s="292"/>
      <c r="AR10" s="292"/>
      <c r="AS10" s="79"/>
      <c r="AT10" s="78"/>
      <c r="AU10" s="292"/>
      <c r="AV10" s="292"/>
      <c r="AW10" s="79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77"/>
      <c r="BR10" s="76"/>
      <c r="BS10" s="76"/>
    </row>
    <row r="11" spans="2:71" ht="10" customHeight="1" x14ac:dyDescent="0.25">
      <c r="B11" s="293" t="s">
        <v>654</v>
      </c>
      <c r="C11" s="294"/>
      <c r="D11" s="305"/>
      <c r="H11" s="76"/>
      <c r="I11" s="76"/>
      <c r="J11" s="77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78"/>
      <c r="AD11" s="79"/>
      <c r="AE11" s="292"/>
      <c r="AF11" s="292"/>
      <c r="AG11" s="78"/>
      <c r="AH11" s="79"/>
      <c r="AI11" s="292"/>
      <c r="AJ11" s="292"/>
      <c r="AK11" s="78"/>
      <c r="AL11" s="79"/>
      <c r="AM11" s="292"/>
      <c r="AN11" s="292"/>
      <c r="AO11" s="78"/>
      <c r="AP11" s="79"/>
      <c r="AQ11" s="292"/>
      <c r="AR11" s="292"/>
      <c r="AS11" s="78"/>
      <c r="AT11" s="79"/>
      <c r="AU11" s="292"/>
      <c r="AV11" s="292"/>
      <c r="AW11" s="78"/>
      <c r="AX11" s="79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77"/>
      <c r="BR11" s="76"/>
      <c r="BS11" s="76"/>
    </row>
    <row r="12" spans="2:71" ht="10" customHeight="1" x14ac:dyDescent="0.25">
      <c r="B12" s="295"/>
      <c r="C12" s="296"/>
      <c r="D12" s="306"/>
      <c r="H12" s="76"/>
      <c r="I12" s="76"/>
      <c r="J12" s="77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78"/>
      <c r="AC12" s="292"/>
      <c r="AD12" s="292"/>
      <c r="AE12" s="79"/>
      <c r="AF12" s="78"/>
      <c r="AG12" s="292"/>
      <c r="AH12" s="292"/>
      <c r="AI12" s="79"/>
      <c r="AJ12" s="78"/>
      <c r="AK12" s="292"/>
      <c r="AL12" s="292"/>
      <c r="AM12" s="79"/>
      <c r="AN12" s="78"/>
      <c r="AO12" s="292"/>
      <c r="AP12" s="292"/>
      <c r="AQ12" s="79"/>
      <c r="AR12" s="78"/>
      <c r="AS12" s="292"/>
      <c r="AT12" s="292"/>
      <c r="AU12" s="79"/>
      <c r="AV12" s="78"/>
      <c r="AW12" s="292"/>
      <c r="AX12" s="292"/>
      <c r="AY12" s="79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77"/>
      <c r="BR12" s="76"/>
      <c r="BS12" s="76"/>
    </row>
    <row r="13" spans="2:71" ht="10" customHeight="1" x14ac:dyDescent="0.25">
      <c r="H13" s="76"/>
      <c r="I13" s="76"/>
      <c r="J13" s="77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78"/>
      <c r="AB13" s="79"/>
      <c r="AC13" s="292"/>
      <c r="AD13" s="292"/>
      <c r="AE13" s="78"/>
      <c r="AF13" s="79"/>
      <c r="AG13" s="292"/>
      <c r="AH13" s="292"/>
      <c r="AI13" s="78"/>
      <c r="AJ13" s="79"/>
      <c r="AK13" s="292"/>
      <c r="AL13" s="292"/>
      <c r="AM13" s="78"/>
      <c r="AN13" s="79"/>
      <c r="AO13" s="292"/>
      <c r="AP13" s="292"/>
      <c r="AQ13" s="78"/>
      <c r="AR13" s="79"/>
      <c r="AS13" s="292"/>
      <c r="AT13" s="292"/>
      <c r="AU13" s="78"/>
      <c r="AV13" s="79"/>
      <c r="AW13" s="292"/>
      <c r="AX13" s="292"/>
      <c r="AY13" s="78"/>
      <c r="AZ13" s="79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77"/>
      <c r="BR13" s="76"/>
      <c r="BS13" s="76"/>
    </row>
    <row r="14" spans="2:71" ht="10" customHeight="1" x14ac:dyDescent="0.25">
      <c r="B14" s="299" t="s">
        <v>655</v>
      </c>
      <c r="C14" s="300"/>
      <c r="D14" s="301"/>
      <c r="H14" s="76"/>
      <c r="I14" s="76"/>
      <c r="J14" s="77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78"/>
      <c r="AA14" s="292"/>
      <c r="AB14" s="292"/>
      <c r="AC14" s="79"/>
      <c r="AD14" s="78"/>
      <c r="AE14" s="292"/>
      <c r="AF14" s="292"/>
      <c r="AG14" s="79"/>
      <c r="AH14" s="78"/>
      <c r="AI14" s="292"/>
      <c r="AJ14" s="292"/>
      <c r="AK14" s="79"/>
      <c r="AL14" s="78"/>
      <c r="AM14" s="292"/>
      <c r="AN14" s="292"/>
      <c r="AO14" s="79"/>
      <c r="AP14" s="78"/>
      <c r="AQ14" s="292"/>
      <c r="AR14" s="292"/>
      <c r="AS14" s="79"/>
      <c r="AT14" s="78"/>
      <c r="AU14" s="292"/>
      <c r="AV14" s="292"/>
      <c r="AW14" s="79"/>
      <c r="AX14" s="78"/>
      <c r="AY14" s="292"/>
      <c r="AZ14" s="292"/>
      <c r="BA14" s="79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77"/>
      <c r="BR14" s="76"/>
      <c r="BS14" s="76"/>
    </row>
    <row r="15" spans="2:71" ht="10" customHeight="1" x14ac:dyDescent="0.25">
      <c r="B15" s="302"/>
      <c r="C15" s="303"/>
      <c r="D15" s="304"/>
      <c r="H15" s="76"/>
      <c r="I15" s="76"/>
      <c r="J15" s="77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78"/>
      <c r="Z15" s="79"/>
      <c r="AA15" s="292"/>
      <c r="AB15" s="292"/>
      <c r="AC15" s="78"/>
      <c r="AD15" s="79"/>
      <c r="AE15" s="292"/>
      <c r="AF15" s="292"/>
      <c r="AG15" s="78"/>
      <c r="AH15" s="79"/>
      <c r="AI15" s="292"/>
      <c r="AJ15" s="292"/>
      <c r="AK15" s="78"/>
      <c r="AL15" s="79"/>
      <c r="AM15" s="292"/>
      <c r="AN15" s="292"/>
      <c r="AO15" s="78"/>
      <c r="AP15" s="79"/>
      <c r="AQ15" s="292"/>
      <c r="AR15" s="292"/>
      <c r="AS15" s="78"/>
      <c r="AT15" s="79"/>
      <c r="AU15" s="292"/>
      <c r="AV15" s="292"/>
      <c r="AW15" s="78"/>
      <c r="AX15" s="79"/>
      <c r="AY15" s="292"/>
      <c r="AZ15" s="292"/>
      <c r="BA15" s="78"/>
      <c r="BB15" s="79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77"/>
      <c r="BR15" s="76"/>
      <c r="BS15" s="76"/>
    </row>
    <row r="16" spans="2:71" ht="10" customHeight="1" x14ac:dyDescent="0.25">
      <c r="B16" s="293" t="s">
        <v>656</v>
      </c>
      <c r="C16" s="294"/>
      <c r="D16" s="297" t="s">
        <v>657</v>
      </c>
      <c r="H16" s="76"/>
      <c r="I16" s="76"/>
      <c r="J16" s="77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78"/>
      <c r="Y16" s="292"/>
      <c r="Z16" s="292"/>
      <c r="AA16" s="79"/>
      <c r="AB16" s="78"/>
      <c r="AC16" s="292"/>
      <c r="AD16" s="292"/>
      <c r="AE16" s="79"/>
      <c r="AF16" s="78"/>
      <c r="AG16" s="292"/>
      <c r="AH16" s="292"/>
      <c r="AI16" s="79"/>
      <c r="AJ16" s="78"/>
      <c r="AK16" s="292"/>
      <c r="AL16" s="292"/>
      <c r="AM16" s="79"/>
      <c r="AN16" s="78"/>
      <c r="AO16" s="292"/>
      <c r="AP16" s="292"/>
      <c r="AQ16" s="79"/>
      <c r="AR16" s="78"/>
      <c r="AS16" s="292"/>
      <c r="AT16" s="292"/>
      <c r="AU16" s="79"/>
      <c r="AV16" s="78"/>
      <c r="AW16" s="292"/>
      <c r="AX16" s="292"/>
      <c r="AY16" s="79"/>
      <c r="AZ16" s="78"/>
      <c r="BA16" s="292"/>
      <c r="BB16" s="292"/>
      <c r="BC16" s="79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77"/>
      <c r="BR16" s="76"/>
      <c r="BS16" s="76"/>
    </row>
    <row r="17" spans="2:80" ht="10" customHeight="1" x14ac:dyDescent="0.25">
      <c r="B17" s="293"/>
      <c r="C17" s="294"/>
      <c r="D17" s="297"/>
      <c r="H17" s="76"/>
      <c r="I17" s="76"/>
      <c r="J17" s="77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78"/>
      <c r="X17" s="79"/>
      <c r="Y17" s="292"/>
      <c r="Z17" s="292"/>
      <c r="AA17" s="78"/>
      <c r="AB17" s="79"/>
      <c r="AC17" s="292"/>
      <c r="AD17" s="292"/>
      <c r="AE17" s="78"/>
      <c r="AF17" s="79"/>
      <c r="AG17" s="292"/>
      <c r="AH17" s="292"/>
      <c r="AI17" s="78"/>
      <c r="AJ17" s="79"/>
      <c r="AK17" s="292"/>
      <c r="AL17" s="292"/>
      <c r="AM17" s="78"/>
      <c r="AN17" s="79"/>
      <c r="AO17" s="292"/>
      <c r="AP17" s="292"/>
      <c r="AQ17" s="78"/>
      <c r="AR17" s="79"/>
      <c r="AS17" s="292"/>
      <c r="AT17" s="292"/>
      <c r="AU17" s="78"/>
      <c r="AV17" s="79"/>
      <c r="AW17" s="292"/>
      <c r="AX17" s="292"/>
      <c r="AY17" s="78"/>
      <c r="AZ17" s="79"/>
      <c r="BA17" s="292"/>
      <c r="BB17" s="292"/>
      <c r="BC17" s="78"/>
      <c r="BD17" s="79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77"/>
      <c r="BR17" s="76"/>
      <c r="BS17" s="76"/>
    </row>
    <row r="18" spans="2:80" ht="10" customHeight="1" x14ac:dyDescent="0.25">
      <c r="B18" s="293" t="s">
        <v>658</v>
      </c>
      <c r="C18" s="294"/>
      <c r="D18" s="297" t="s">
        <v>659</v>
      </c>
      <c r="H18" s="76"/>
      <c r="I18" s="76"/>
      <c r="J18" s="77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78"/>
      <c r="W18" s="292"/>
      <c r="X18" s="292"/>
      <c r="Y18" s="79"/>
      <c r="Z18" s="78"/>
      <c r="AA18" s="292"/>
      <c r="AB18" s="292"/>
      <c r="AC18" s="79"/>
      <c r="AD18" s="78"/>
      <c r="AE18" s="292"/>
      <c r="AF18" s="292"/>
      <c r="AG18" s="79"/>
      <c r="AH18" s="78"/>
      <c r="AI18" s="292"/>
      <c r="AJ18" s="292"/>
      <c r="AK18" s="79"/>
      <c r="AL18" s="78"/>
      <c r="AM18" s="292"/>
      <c r="AN18" s="292"/>
      <c r="AO18" s="79"/>
      <c r="AP18" s="78"/>
      <c r="AQ18" s="292"/>
      <c r="AR18" s="292"/>
      <c r="AS18" s="79"/>
      <c r="AT18" s="78"/>
      <c r="AU18" s="292"/>
      <c r="AV18" s="292"/>
      <c r="AW18" s="79"/>
      <c r="AX18" s="78"/>
      <c r="AY18" s="292"/>
      <c r="AZ18" s="292"/>
      <c r="BA18" s="79"/>
      <c r="BB18" s="78"/>
      <c r="BC18" s="292"/>
      <c r="BD18" s="292"/>
      <c r="BE18" s="79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77"/>
      <c r="BR18" s="76"/>
      <c r="BS18" s="76"/>
    </row>
    <row r="19" spans="2:80" ht="10" customHeight="1" x14ac:dyDescent="0.25">
      <c r="B19" s="293"/>
      <c r="C19" s="294"/>
      <c r="D19" s="297"/>
      <c r="H19" s="76"/>
      <c r="I19" s="76"/>
      <c r="J19" s="77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78"/>
      <c r="V19" s="79"/>
      <c r="W19" s="292"/>
      <c r="X19" s="292"/>
      <c r="Y19" s="78"/>
      <c r="Z19" s="79"/>
      <c r="AA19" s="292"/>
      <c r="AB19" s="292"/>
      <c r="AC19" s="78"/>
      <c r="AD19" s="79"/>
      <c r="AE19" s="292"/>
      <c r="AF19" s="292"/>
      <c r="AG19" s="78"/>
      <c r="AH19" s="79"/>
      <c r="AI19" s="292"/>
      <c r="AJ19" s="292"/>
      <c r="AK19" s="78"/>
      <c r="AL19" s="79"/>
      <c r="AM19" s="292"/>
      <c r="AN19" s="292"/>
      <c r="AO19" s="78"/>
      <c r="AP19" s="79"/>
      <c r="AQ19" s="292"/>
      <c r="AR19" s="292"/>
      <c r="AS19" s="78"/>
      <c r="AT19" s="79"/>
      <c r="AU19" s="292"/>
      <c r="AV19" s="292"/>
      <c r="AW19" s="78"/>
      <c r="AX19" s="79"/>
      <c r="AY19" s="292"/>
      <c r="AZ19" s="292"/>
      <c r="BA19" s="78"/>
      <c r="BB19" s="79"/>
      <c r="BC19" s="292"/>
      <c r="BD19" s="292"/>
      <c r="BE19" s="78"/>
      <c r="BF19" s="79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77"/>
      <c r="BR19" s="76"/>
      <c r="BS19" s="76"/>
    </row>
    <row r="20" spans="2:80" ht="10" customHeight="1" x14ac:dyDescent="0.25">
      <c r="B20" s="293" t="s">
        <v>660</v>
      </c>
      <c r="C20" s="294"/>
      <c r="D20" s="297" t="s">
        <v>661</v>
      </c>
      <c r="H20" s="76"/>
      <c r="I20" s="76"/>
      <c r="J20" s="77"/>
      <c r="K20" s="144"/>
      <c r="L20" s="144"/>
      <c r="M20" s="144"/>
      <c r="N20" s="144"/>
      <c r="O20" s="144"/>
      <c r="P20" s="144"/>
      <c r="Q20" s="144"/>
      <c r="R20" s="144"/>
      <c r="S20" s="144"/>
      <c r="T20" s="78"/>
      <c r="U20" s="292"/>
      <c r="V20" s="292"/>
      <c r="W20" s="79"/>
      <c r="X20" s="78"/>
      <c r="Y20" s="292"/>
      <c r="Z20" s="292"/>
      <c r="AA20" s="79"/>
      <c r="AB20" s="78"/>
      <c r="AC20" s="292"/>
      <c r="AD20" s="292"/>
      <c r="AE20" s="79"/>
      <c r="AF20" s="78"/>
      <c r="AG20" s="292"/>
      <c r="AH20" s="292"/>
      <c r="AI20" s="79"/>
      <c r="AJ20" s="78"/>
      <c r="AK20" s="292"/>
      <c r="AL20" s="292"/>
      <c r="AM20" s="79"/>
      <c r="AN20" s="78"/>
      <c r="AO20" s="292"/>
      <c r="AP20" s="292"/>
      <c r="AQ20" s="79"/>
      <c r="AR20" s="78"/>
      <c r="AS20" s="292"/>
      <c r="AT20" s="292"/>
      <c r="AU20" s="79"/>
      <c r="AV20" s="78"/>
      <c r="AW20" s="292"/>
      <c r="AX20" s="292"/>
      <c r="AY20" s="79"/>
      <c r="AZ20" s="78"/>
      <c r="BA20" s="292"/>
      <c r="BB20" s="292"/>
      <c r="BC20" s="79"/>
      <c r="BD20" s="78"/>
      <c r="BE20" s="292"/>
      <c r="BF20" s="292"/>
      <c r="BG20" s="79"/>
      <c r="BH20" s="144"/>
      <c r="BI20" s="144"/>
      <c r="BJ20" s="144"/>
      <c r="BK20" s="144"/>
      <c r="BL20" s="144"/>
      <c r="BM20" s="144"/>
      <c r="BN20" s="144"/>
      <c r="BO20" s="144"/>
      <c r="BP20" s="144"/>
      <c r="BQ20" s="77"/>
      <c r="BR20" s="76"/>
      <c r="BS20" s="76"/>
    </row>
    <row r="21" spans="2:80" ht="10" customHeight="1" x14ac:dyDescent="0.25">
      <c r="B21" s="295"/>
      <c r="C21" s="296"/>
      <c r="D21" s="298"/>
      <c r="H21" s="76"/>
      <c r="I21" s="76"/>
      <c r="J21" s="77"/>
      <c r="K21" s="144"/>
      <c r="L21" s="144"/>
      <c r="M21" s="144"/>
      <c r="N21" s="144"/>
      <c r="O21" s="144"/>
      <c r="P21" s="144"/>
      <c r="Q21" s="144"/>
      <c r="R21" s="144"/>
      <c r="S21" s="78"/>
      <c r="T21" s="79"/>
      <c r="U21" s="292"/>
      <c r="V21" s="292"/>
      <c r="W21" s="78"/>
      <c r="X21" s="79"/>
      <c r="Y21" s="292"/>
      <c r="Z21" s="292"/>
      <c r="AA21" s="78"/>
      <c r="AB21" s="79"/>
      <c r="AC21" s="292"/>
      <c r="AD21" s="292"/>
      <c r="AE21" s="78"/>
      <c r="AF21" s="79"/>
      <c r="AG21" s="292"/>
      <c r="AH21" s="292"/>
      <c r="AI21" s="78"/>
      <c r="AJ21" s="79"/>
      <c r="AK21" s="292"/>
      <c r="AL21" s="292"/>
      <c r="AM21" s="78"/>
      <c r="AN21" s="79"/>
      <c r="AO21" s="292"/>
      <c r="AP21" s="292"/>
      <c r="AQ21" s="78"/>
      <c r="AR21" s="79"/>
      <c r="AS21" s="292"/>
      <c r="AT21" s="292"/>
      <c r="AU21" s="78"/>
      <c r="AV21" s="79"/>
      <c r="AW21" s="292"/>
      <c r="AX21" s="292"/>
      <c r="AY21" s="78"/>
      <c r="AZ21" s="79"/>
      <c r="BA21" s="292"/>
      <c r="BB21" s="292"/>
      <c r="BC21" s="78"/>
      <c r="BD21" s="79"/>
      <c r="BE21" s="292"/>
      <c r="BF21" s="292"/>
      <c r="BG21" s="78"/>
      <c r="BH21" s="79"/>
      <c r="BI21" s="144"/>
      <c r="BJ21" s="144"/>
      <c r="BK21" s="144"/>
      <c r="BL21" s="144"/>
      <c r="BM21" s="144"/>
      <c r="BN21" s="144"/>
      <c r="BO21" s="144"/>
      <c r="BP21" s="144"/>
      <c r="BQ21" s="77"/>
      <c r="BR21" s="76"/>
      <c r="BS21" s="76"/>
    </row>
    <row r="22" spans="2:80" ht="10" customHeight="1" x14ac:dyDescent="0.25">
      <c r="H22" s="76"/>
      <c r="I22" s="76"/>
      <c r="J22" s="77"/>
      <c r="K22" s="144"/>
      <c r="L22" s="144"/>
      <c r="M22" s="144"/>
      <c r="N22" s="144"/>
      <c r="O22" s="144"/>
      <c r="P22" s="144"/>
      <c r="Q22" s="144"/>
      <c r="R22" s="78"/>
      <c r="S22" s="292" t="s">
        <v>653</v>
      </c>
      <c r="T22" s="292"/>
      <c r="U22" s="79"/>
      <c r="V22" s="78"/>
      <c r="W22" s="292"/>
      <c r="X22" s="292"/>
      <c r="Y22" s="79"/>
      <c r="Z22" s="78"/>
      <c r="AA22" s="292"/>
      <c r="AB22" s="292"/>
      <c r="AC22" s="79"/>
      <c r="AD22" s="78"/>
      <c r="AE22" s="292"/>
      <c r="AF22" s="292"/>
      <c r="AG22" s="79"/>
      <c r="AH22" s="78"/>
      <c r="AI22" s="292"/>
      <c r="AJ22" s="292"/>
      <c r="AK22" s="79"/>
      <c r="AL22" s="78"/>
      <c r="AM22" s="292"/>
      <c r="AN22" s="292"/>
      <c r="AO22" s="79"/>
      <c r="AP22" s="78"/>
      <c r="AQ22" s="292"/>
      <c r="AR22" s="292"/>
      <c r="AS22" s="79"/>
      <c r="AT22" s="78"/>
      <c r="AU22" s="292"/>
      <c r="AV22" s="292"/>
      <c r="AW22" s="79"/>
      <c r="AX22" s="78"/>
      <c r="AY22" s="292"/>
      <c r="AZ22" s="292"/>
      <c r="BA22" s="79"/>
      <c r="BB22" s="78"/>
      <c r="BC22" s="292"/>
      <c r="BD22" s="292"/>
      <c r="BE22" s="79"/>
      <c r="BF22" s="78"/>
      <c r="BG22" s="292"/>
      <c r="BH22" s="292"/>
      <c r="BI22" s="79"/>
      <c r="BJ22" s="144"/>
      <c r="BK22" s="144"/>
      <c r="BL22" s="144"/>
      <c r="BM22" s="144"/>
      <c r="BN22" s="144"/>
      <c r="BO22" s="144"/>
      <c r="BP22" s="144"/>
      <c r="BQ22" s="77"/>
      <c r="BR22" s="76"/>
      <c r="BS22" s="76"/>
    </row>
    <row r="23" spans="2:80" ht="10" customHeight="1" x14ac:dyDescent="0.25">
      <c r="B23" s="299" t="s">
        <v>662</v>
      </c>
      <c r="C23" s="300"/>
      <c r="D23" s="301"/>
      <c r="H23" s="76"/>
      <c r="I23" s="76"/>
      <c r="J23" s="77"/>
      <c r="K23" s="144"/>
      <c r="L23" s="144"/>
      <c r="M23" s="144"/>
      <c r="N23" s="144"/>
      <c r="O23" s="144"/>
      <c r="P23" s="144"/>
      <c r="Q23" s="78"/>
      <c r="R23" s="79"/>
      <c r="S23" s="292"/>
      <c r="T23" s="292"/>
      <c r="U23" s="78"/>
      <c r="V23" s="79"/>
      <c r="W23" s="292"/>
      <c r="X23" s="292"/>
      <c r="Y23" s="78"/>
      <c r="Z23" s="79"/>
      <c r="AA23" s="292"/>
      <c r="AB23" s="292"/>
      <c r="AC23" s="78"/>
      <c r="AD23" s="79"/>
      <c r="AE23" s="292"/>
      <c r="AF23" s="292"/>
      <c r="AG23" s="78"/>
      <c r="AH23" s="79"/>
      <c r="AI23" s="292"/>
      <c r="AJ23" s="292"/>
      <c r="AK23" s="78"/>
      <c r="AL23" s="79"/>
      <c r="AM23" s="292"/>
      <c r="AN23" s="292"/>
      <c r="AO23" s="78"/>
      <c r="AP23" s="79"/>
      <c r="AQ23" s="292"/>
      <c r="AR23" s="292"/>
      <c r="AS23" s="78"/>
      <c r="AT23" s="79"/>
      <c r="AU23" s="292"/>
      <c r="AV23" s="292"/>
      <c r="AW23" s="78"/>
      <c r="AX23" s="79"/>
      <c r="AY23" s="292"/>
      <c r="AZ23" s="292"/>
      <c r="BA23" s="78"/>
      <c r="BB23" s="79"/>
      <c r="BC23" s="292"/>
      <c r="BD23" s="292"/>
      <c r="BE23" s="78"/>
      <c r="BF23" s="79"/>
      <c r="BG23" s="292"/>
      <c r="BH23" s="292"/>
      <c r="BI23" s="78"/>
      <c r="BJ23" s="79"/>
      <c r="BK23" s="144"/>
      <c r="BL23" s="144"/>
      <c r="BM23" s="144"/>
      <c r="BN23" s="144"/>
      <c r="BO23" s="144"/>
      <c r="BP23" s="144"/>
      <c r="BQ23" s="77"/>
      <c r="BR23" s="76"/>
      <c r="BS23" s="76"/>
    </row>
    <row r="24" spans="2:80" ht="10" customHeight="1" x14ac:dyDescent="0.25">
      <c r="B24" s="302"/>
      <c r="C24" s="303"/>
      <c r="D24" s="304"/>
      <c r="H24" s="76"/>
      <c r="I24" s="76"/>
      <c r="J24" s="77"/>
      <c r="K24" s="144"/>
      <c r="L24" s="144"/>
      <c r="M24" s="144"/>
      <c r="N24" s="144"/>
      <c r="O24" s="144"/>
      <c r="P24" s="78"/>
      <c r="Q24" s="292"/>
      <c r="R24" s="292"/>
      <c r="S24" s="79"/>
      <c r="T24" s="78"/>
      <c r="U24" s="292"/>
      <c r="V24" s="292"/>
      <c r="W24" s="79"/>
      <c r="X24" s="78"/>
      <c r="Y24" s="292"/>
      <c r="Z24" s="292"/>
      <c r="AA24" s="79"/>
      <c r="AB24" s="78"/>
      <c r="AC24" s="292"/>
      <c r="AD24" s="292"/>
      <c r="AE24" s="79"/>
      <c r="AF24" s="78"/>
      <c r="AG24" s="292"/>
      <c r="AH24" s="292"/>
      <c r="AI24" s="79"/>
      <c r="AJ24" s="78"/>
      <c r="AK24" s="292"/>
      <c r="AL24" s="292"/>
      <c r="AM24" s="79"/>
      <c r="AN24" s="78"/>
      <c r="AO24" s="292"/>
      <c r="AP24" s="292"/>
      <c r="AQ24" s="79"/>
      <c r="AR24" s="78"/>
      <c r="AS24" s="292"/>
      <c r="AT24" s="292"/>
      <c r="AU24" s="79"/>
      <c r="AV24" s="78"/>
      <c r="AW24" s="292"/>
      <c r="AX24" s="292"/>
      <c r="AY24" s="79"/>
      <c r="AZ24" s="78"/>
      <c r="BA24" s="292"/>
      <c r="BB24" s="292"/>
      <c r="BC24" s="79"/>
      <c r="BD24" s="78"/>
      <c r="BE24" s="292"/>
      <c r="BF24" s="292"/>
      <c r="BG24" s="79"/>
      <c r="BH24" s="78"/>
      <c r="BI24" s="292"/>
      <c r="BJ24" s="292"/>
      <c r="BK24" s="79"/>
      <c r="BL24" s="144"/>
      <c r="BM24" s="144"/>
      <c r="BN24" s="144"/>
      <c r="BO24" s="144"/>
      <c r="BP24" s="144"/>
      <c r="BQ24" s="77"/>
      <c r="BR24" s="76"/>
      <c r="BS24" s="76"/>
    </row>
    <row r="25" spans="2:80" ht="10" customHeight="1" x14ac:dyDescent="0.25">
      <c r="B25" s="293" t="s">
        <v>663</v>
      </c>
      <c r="C25" s="294"/>
      <c r="D25" s="297" t="s">
        <v>664</v>
      </c>
      <c r="H25" s="76"/>
      <c r="I25" s="76"/>
      <c r="J25" s="77"/>
      <c r="K25" s="144"/>
      <c r="L25" s="144"/>
      <c r="M25" s="144"/>
      <c r="N25" s="144"/>
      <c r="O25" s="78"/>
      <c r="P25" s="79"/>
      <c r="Q25" s="292"/>
      <c r="R25" s="292"/>
      <c r="S25" s="78"/>
      <c r="T25" s="79"/>
      <c r="U25" s="292"/>
      <c r="V25" s="292"/>
      <c r="W25" s="78"/>
      <c r="X25" s="79"/>
      <c r="Y25" s="292"/>
      <c r="Z25" s="292"/>
      <c r="AA25" s="78"/>
      <c r="AB25" s="79"/>
      <c r="AC25" s="292"/>
      <c r="AD25" s="292"/>
      <c r="AE25" s="78"/>
      <c r="AF25" s="79"/>
      <c r="AG25" s="292"/>
      <c r="AH25" s="292"/>
      <c r="AI25" s="78"/>
      <c r="AJ25" s="79"/>
      <c r="AK25" s="292"/>
      <c r="AL25" s="292"/>
      <c r="AM25" s="78"/>
      <c r="AN25" s="79"/>
      <c r="AO25" s="292"/>
      <c r="AP25" s="292"/>
      <c r="AQ25" s="78"/>
      <c r="AR25" s="79"/>
      <c r="AS25" s="292"/>
      <c r="AT25" s="292"/>
      <c r="AU25" s="78"/>
      <c r="AV25" s="79"/>
      <c r="AW25" s="292"/>
      <c r="AX25" s="292"/>
      <c r="AY25" s="78"/>
      <c r="AZ25" s="79"/>
      <c r="BA25" s="292"/>
      <c r="BB25" s="292"/>
      <c r="BC25" s="78"/>
      <c r="BD25" s="79"/>
      <c r="BE25" s="292"/>
      <c r="BF25" s="292"/>
      <c r="BG25" s="78"/>
      <c r="BH25" s="79"/>
      <c r="BI25" s="292"/>
      <c r="BJ25" s="292"/>
      <c r="BK25" s="78"/>
      <c r="BL25" s="79"/>
      <c r="BM25" s="144"/>
      <c r="BN25" s="144"/>
      <c r="BO25" s="144"/>
      <c r="BP25" s="144"/>
      <c r="BQ25" s="77"/>
      <c r="BR25" s="76"/>
      <c r="BS25" s="76"/>
    </row>
    <row r="26" spans="2:80" ht="10" customHeight="1" x14ac:dyDescent="0.25">
      <c r="B26" s="293"/>
      <c r="C26" s="294"/>
      <c r="D26" s="297"/>
      <c r="H26" s="76"/>
      <c r="I26" s="76"/>
      <c r="J26" s="77"/>
      <c r="K26" s="144"/>
      <c r="L26" s="144"/>
      <c r="M26" s="144"/>
      <c r="N26" s="78"/>
      <c r="O26" s="292"/>
      <c r="P26" s="292"/>
      <c r="Q26" s="79"/>
      <c r="R26" s="78"/>
      <c r="S26" s="292"/>
      <c r="T26" s="292"/>
      <c r="U26" s="79"/>
      <c r="V26" s="78"/>
      <c r="W26" s="292"/>
      <c r="X26" s="292"/>
      <c r="Y26" s="79"/>
      <c r="Z26" s="78"/>
      <c r="AA26" s="292"/>
      <c r="AB26" s="292"/>
      <c r="AC26" s="79"/>
      <c r="AD26" s="78"/>
      <c r="AE26" s="292"/>
      <c r="AF26" s="292"/>
      <c r="AG26" s="79"/>
      <c r="AH26" s="78"/>
      <c r="AI26" s="292"/>
      <c r="AJ26" s="292"/>
      <c r="AK26" s="79"/>
      <c r="AL26" s="78"/>
      <c r="AM26" s="292"/>
      <c r="AN26" s="292"/>
      <c r="AO26" s="79"/>
      <c r="AP26" s="78"/>
      <c r="AQ26" s="292"/>
      <c r="AR26" s="292"/>
      <c r="AS26" s="79"/>
      <c r="AT26" s="78"/>
      <c r="AU26" s="292"/>
      <c r="AV26" s="292"/>
      <c r="AW26" s="79"/>
      <c r="AX26" s="78"/>
      <c r="AY26" s="292"/>
      <c r="AZ26" s="292"/>
      <c r="BA26" s="79"/>
      <c r="BB26" s="78"/>
      <c r="BC26" s="292"/>
      <c r="BD26" s="292"/>
      <c r="BE26" s="79"/>
      <c r="BF26" s="78"/>
      <c r="BG26" s="292"/>
      <c r="BH26" s="292"/>
      <c r="BI26" s="79"/>
      <c r="BJ26" s="78"/>
      <c r="BK26" s="292"/>
      <c r="BL26" s="292"/>
      <c r="BM26" s="79"/>
      <c r="BN26" s="144"/>
      <c r="BO26" s="144"/>
      <c r="BP26" s="144"/>
      <c r="BQ26" s="77"/>
      <c r="BR26" s="76"/>
      <c r="BS26" s="76"/>
    </row>
    <row r="27" spans="2:80" ht="10" customHeight="1" x14ac:dyDescent="0.25">
      <c r="B27" s="293" t="s">
        <v>665</v>
      </c>
      <c r="C27" s="294"/>
      <c r="D27" s="297" t="s">
        <v>666</v>
      </c>
      <c r="H27" s="76"/>
      <c r="I27" s="76"/>
      <c r="J27" s="77"/>
      <c r="K27" s="144"/>
      <c r="L27" s="144"/>
      <c r="M27" s="78"/>
      <c r="N27" s="79"/>
      <c r="O27" s="292"/>
      <c r="P27" s="292"/>
      <c r="Q27" s="78"/>
      <c r="R27" s="79"/>
      <c r="S27" s="292"/>
      <c r="T27" s="292"/>
      <c r="U27" s="78"/>
      <c r="V27" s="79"/>
      <c r="W27" s="292"/>
      <c r="X27" s="292"/>
      <c r="Y27" s="78"/>
      <c r="Z27" s="79"/>
      <c r="AA27" s="292"/>
      <c r="AB27" s="292"/>
      <c r="AC27" s="78"/>
      <c r="AD27" s="79"/>
      <c r="AE27" s="292"/>
      <c r="AF27" s="292"/>
      <c r="AG27" s="78"/>
      <c r="AH27" s="79"/>
      <c r="AI27" s="292"/>
      <c r="AJ27" s="292"/>
      <c r="AK27" s="78"/>
      <c r="AL27" s="79"/>
      <c r="AM27" s="292"/>
      <c r="AN27" s="292"/>
      <c r="AO27" s="78"/>
      <c r="AP27" s="79"/>
      <c r="AQ27" s="292"/>
      <c r="AR27" s="292"/>
      <c r="AS27" s="78"/>
      <c r="AT27" s="79"/>
      <c r="AU27" s="292"/>
      <c r="AV27" s="292"/>
      <c r="AW27" s="78"/>
      <c r="AX27" s="79"/>
      <c r="AY27" s="292"/>
      <c r="AZ27" s="292"/>
      <c r="BA27" s="78"/>
      <c r="BB27" s="79"/>
      <c r="BC27" s="292"/>
      <c r="BD27" s="292"/>
      <c r="BE27" s="78"/>
      <c r="BF27" s="79"/>
      <c r="BG27" s="292"/>
      <c r="BH27" s="292"/>
      <c r="BI27" s="78"/>
      <c r="BJ27" s="79"/>
      <c r="BK27" s="292"/>
      <c r="BL27" s="292"/>
      <c r="BM27" s="78"/>
      <c r="BN27" s="79"/>
      <c r="BO27" s="144"/>
      <c r="BP27" s="144"/>
      <c r="BQ27" s="77"/>
      <c r="BR27" s="76"/>
      <c r="BS27" s="76"/>
    </row>
    <row r="28" spans="2:80" ht="10" customHeight="1" x14ac:dyDescent="0.25">
      <c r="B28" s="293"/>
      <c r="C28" s="294"/>
      <c r="D28" s="297"/>
      <c r="H28" s="76"/>
      <c r="I28" s="76"/>
      <c r="J28" s="77"/>
      <c r="K28" s="144"/>
      <c r="L28" s="78"/>
      <c r="M28" s="292" t="s">
        <v>651</v>
      </c>
      <c r="N28" s="292"/>
      <c r="O28" s="79"/>
      <c r="P28" s="78"/>
      <c r="Q28" s="292"/>
      <c r="R28" s="292"/>
      <c r="S28" s="79"/>
      <c r="T28" s="78"/>
      <c r="U28" s="292"/>
      <c r="V28" s="292"/>
      <c r="W28" s="79"/>
      <c r="X28" s="78"/>
      <c r="Y28" s="292"/>
      <c r="Z28" s="292"/>
      <c r="AA28" s="79"/>
      <c r="AB28" s="78"/>
      <c r="AC28" s="292"/>
      <c r="AD28" s="292"/>
      <c r="AE28" s="79"/>
      <c r="AF28" s="78"/>
      <c r="AG28" s="292"/>
      <c r="AH28" s="292"/>
      <c r="AI28" s="79"/>
      <c r="AJ28" s="78"/>
      <c r="AK28" s="292"/>
      <c r="AL28" s="292"/>
      <c r="AM28" s="79"/>
      <c r="AN28" s="78"/>
      <c r="AO28" s="292"/>
      <c r="AP28" s="292"/>
      <c r="AQ28" s="79"/>
      <c r="AR28" s="78"/>
      <c r="AS28" s="292"/>
      <c r="AT28" s="292"/>
      <c r="AU28" s="79"/>
      <c r="AV28" s="78"/>
      <c r="AW28" s="292"/>
      <c r="AX28" s="292"/>
      <c r="AY28" s="79"/>
      <c r="AZ28" s="78"/>
      <c r="BA28" s="292"/>
      <c r="BB28" s="292"/>
      <c r="BC28" s="79"/>
      <c r="BD28" s="78"/>
      <c r="BE28" s="292"/>
      <c r="BF28" s="292"/>
      <c r="BG28" s="79"/>
      <c r="BH28" s="78"/>
      <c r="BI28" s="292"/>
      <c r="BJ28" s="292"/>
      <c r="BK28" s="79"/>
      <c r="BL28" s="78"/>
      <c r="BM28" s="292"/>
      <c r="BN28" s="292"/>
      <c r="BO28" s="79"/>
      <c r="BP28" s="144"/>
      <c r="BQ28" s="80"/>
      <c r="BR28" s="81"/>
      <c r="BS28" s="76"/>
      <c r="BU28" s="82"/>
      <c r="BV28" s="82"/>
      <c r="BY28" s="82"/>
      <c r="BZ28" s="82"/>
    </row>
    <row r="29" spans="2:80" ht="10" customHeight="1" x14ac:dyDescent="0.25">
      <c r="B29" s="293" t="s">
        <v>667</v>
      </c>
      <c r="C29" s="294"/>
      <c r="D29" s="297" t="s">
        <v>668</v>
      </c>
      <c r="H29" s="76"/>
      <c r="I29" s="76"/>
      <c r="J29" s="77"/>
      <c r="K29" s="78"/>
      <c r="L29" s="79"/>
      <c r="M29" s="292"/>
      <c r="N29" s="292"/>
      <c r="O29" s="78"/>
      <c r="P29" s="79"/>
      <c r="Q29" s="292"/>
      <c r="R29" s="292"/>
      <c r="S29" s="78"/>
      <c r="T29" s="79"/>
      <c r="U29" s="292"/>
      <c r="V29" s="292"/>
      <c r="W29" s="78"/>
      <c r="X29" s="79"/>
      <c r="Y29" s="292"/>
      <c r="Z29" s="292"/>
      <c r="AA29" s="78"/>
      <c r="AB29" s="79"/>
      <c r="AC29" s="292"/>
      <c r="AD29" s="292"/>
      <c r="AE29" s="78"/>
      <c r="AF29" s="79"/>
      <c r="AG29" s="292"/>
      <c r="AH29" s="292"/>
      <c r="AI29" s="78"/>
      <c r="AJ29" s="79"/>
      <c r="AK29" s="292"/>
      <c r="AL29" s="292"/>
      <c r="AM29" s="78"/>
      <c r="AN29" s="79"/>
      <c r="AO29" s="292"/>
      <c r="AP29" s="292"/>
      <c r="AQ29" s="78"/>
      <c r="AR29" s="79"/>
      <c r="AS29" s="292"/>
      <c r="AT29" s="292"/>
      <c r="AU29" s="78"/>
      <c r="AV29" s="79"/>
      <c r="AW29" s="292"/>
      <c r="AX29" s="292"/>
      <c r="AY29" s="78"/>
      <c r="AZ29" s="79"/>
      <c r="BA29" s="292"/>
      <c r="BB29" s="292"/>
      <c r="BC29" s="78"/>
      <c r="BD29" s="79"/>
      <c r="BE29" s="292"/>
      <c r="BF29" s="292"/>
      <c r="BG29" s="78"/>
      <c r="BH29" s="79"/>
      <c r="BI29" s="292"/>
      <c r="BJ29" s="292"/>
      <c r="BK29" s="78"/>
      <c r="BL29" s="79"/>
      <c r="BM29" s="292"/>
      <c r="BN29" s="292"/>
      <c r="BO29" s="78"/>
      <c r="BP29" s="79"/>
      <c r="BQ29" s="80"/>
      <c r="BR29" s="81"/>
      <c r="BS29" s="76"/>
      <c r="BU29" s="82"/>
      <c r="BV29" s="82"/>
      <c r="BY29" s="82"/>
      <c r="BZ29" s="82"/>
    </row>
    <row r="30" spans="2:80" ht="10" customHeight="1" x14ac:dyDescent="0.2">
      <c r="B30" s="295"/>
      <c r="C30" s="296"/>
      <c r="D30" s="298"/>
      <c r="H30" s="76"/>
      <c r="I30" s="76"/>
      <c r="J30" s="83"/>
      <c r="K30" s="292" t="s">
        <v>651</v>
      </c>
      <c r="L30" s="292"/>
      <c r="M30" s="79"/>
      <c r="N30" s="78"/>
      <c r="O30" s="292"/>
      <c r="P30" s="292"/>
      <c r="Q30" s="79"/>
      <c r="R30" s="78"/>
      <c r="S30" s="292"/>
      <c r="T30" s="292"/>
      <c r="U30" s="79"/>
      <c r="V30" s="78"/>
      <c r="W30" s="292"/>
      <c r="X30" s="292"/>
      <c r="Y30" s="79"/>
      <c r="Z30" s="78"/>
      <c r="AA30" s="292"/>
      <c r="AB30" s="292"/>
      <c r="AC30" s="79"/>
      <c r="AD30" s="78"/>
      <c r="AE30" s="292"/>
      <c r="AF30" s="292"/>
      <c r="AG30" s="79"/>
      <c r="AH30" s="78"/>
      <c r="AI30" s="292"/>
      <c r="AJ30" s="292"/>
      <c r="AK30" s="79"/>
      <c r="AL30" s="78"/>
      <c r="AM30" s="292"/>
      <c r="AN30" s="292"/>
      <c r="AO30" s="79"/>
      <c r="AP30" s="78"/>
      <c r="AQ30" s="292"/>
      <c r="AR30" s="292"/>
      <c r="AS30" s="79"/>
      <c r="AT30" s="78"/>
      <c r="AU30" s="292"/>
      <c r="AV30" s="292"/>
      <c r="AW30" s="79"/>
      <c r="AX30" s="78"/>
      <c r="AY30" s="292"/>
      <c r="AZ30" s="292"/>
      <c r="BA30" s="79"/>
      <c r="BB30" s="78"/>
      <c r="BC30" s="292"/>
      <c r="BD30" s="292"/>
      <c r="BE30" s="79"/>
      <c r="BF30" s="78"/>
      <c r="BG30" s="292"/>
      <c r="BH30" s="292"/>
      <c r="BI30" s="79"/>
      <c r="BJ30" s="78"/>
      <c r="BK30" s="292"/>
      <c r="BL30" s="292"/>
      <c r="BM30" s="79"/>
      <c r="BN30" s="78"/>
      <c r="BO30" s="292"/>
      <c r="BP30" s="292"/>
      <c r="BQ30" s="84"/>
      <c r="BR30" s="76"/>
      <c r="BS30" s="85"/>
      <c r="BT30" s="82"/>
      <c r="BW30" s="86"/>
      <c r="BX30" s="82"/>
      <c r="CA30" s="82"/>
      <c r="CB30" s="82"/>
    </row>
    <row r="31" spans="2:80" ht="10" customHeight="1" x14ac:dyDescent="0.2">
      <c r="H31" s="76"/>
      <c r="I31" s="87"/>
      <c r="J31" s="84"/>
      <c r="K31" s="292"/>
      <c r="L31" s="292"/>
      <c r="M31" s="78"/>
      <c r="N31" s="79"/>
      <c r="O31" s="292"/>
      <c r="P31" s="292"/>
      <c r="Q31" s="78"/>
      <c r="R31" s="79"/>
      <c r="S31" s="292"/>
      <c r="T31" s="292"/>
      <c r="U31" s="78"/>
      <c r="V31" s="79"/>
      <c r="W31" s="292"/>
      <c r="X31" s="292"/>
      <c r="Y31" s="78"/>
      <c r="Z31" s="79"/>
      <c r="AA31" s="292"/>
      <c r="AB31" s="292"/>
      <c r="AC31" s="78"/>
      <c r="AD31" s="79"/>
      <c r="AE31" s="292"/>
      <c r="AF31" s="292"/>
      <c r="AG31" s="78"/>
      <c r="AH31" s="79"/>
      <c r="AI31" s="292"/>
      <c r="AJ31" s="292"/>
      <c r="AK31" s="78"/>
      <c r="AL31" s="79"/>
      <c r="AM31" s="292"/>
      <c r="AN31" s="292"/>
      <c r="AO31" s="78"/>
      <c r="AP31" s="79"/>
      <c r="AQ31" s="292"/>
      <c r="AR31" s="292"/>
      <c r="AS31" s="78"/>
      <c r="AT31" s="79"/>
      <c r="AU31" s="292"/>
      <c r="AV31" s="292"/>
      <c r="AW31" s="78"/>
      <c r="AX31" s="79"/>
      <c r="AY31" s="292"/>
      <c r="AZ31" s="292"/>
      <c r="BA31" s="78"/>
      <c r="BB31" s="79"/>
      <c r="BC31" s="292"/>
      <c r="BD31" s="292"/>
      <c r="BE31" s="78"/>
      <c r="BF31" s="79"/>
      <c r="BG31" s="292"/>
      <c r="BH31" s="292"/>
      <c r="BI31" s="78"/>
      <c r="BJ31" s="79"/>
      <c r="BK31" s="292"/>
      <c r="BL31" s="292"/>
      <c r="BM31" s="78"/>
      <c r="BN31" s="79"/>
      <c r="BO31" s="292"/>
      <c r="BP31" s="292"/>
      <c r="BQ31" s="83"/>
      <c r="BR31" s="88"/>
      <c r="BS31" s="85"/>
      <c r="BT31" s="82"/>
      <c r="BW31" s="86"/>
      <c r="BX31" s="82"/>
      <c r="CA31" s="82"/>
      <c r="CB31" s="82"/>
    </row>
    <row r="32" spans="2:80" ht="10" customHeight="1" x14ac:dyDescent="0.25">
      <c r="H32" s="87"/>
      <c r="I32" s="76"/>
      <c r="J32" s="77"/>
      <c r="K32" s="84"/>
      <c r="L32" s="83"/>
      <c r="M32" s="77"/>
      <c r="N32" s="77"/>
      <c r="O32" s="84"/>
      <c r="P32" s="83"/>
      <c r="Q32" s="77"/>
      <c r="R32" s="77"/>
      <c r="S32" s="84"/>
      <c r="T32" s="83"/>
      <c r="U32" s="77"/>
      <c r="V32" s="77"/>
      <c r="W32" s="84"/>
      <c r="X32" s="83"/>
      <c r="Y32" s="77"/>
      <c r="Z32" s="77"/>
      <c r="AA32" s="84"/>
      <c r="AB32" s="83"/>
      <c r="AC32" s="77"/>
      <c r="AD32" s="77"/>
      <c r="AE32" s="84"/>
      <c r="AF32" s="83"/>
      <c r="AG32" s="77"/>
      <c r="AH32" s="77"/>
      <c r="AI32" s="84"/>
      <c r="AJ32" s="83"/>
      <c r="AK32" s="77"/>
      <c r="AL32" s="77"/>
      <c r="AM32" s="84"/>
      <c r="AN32" s="83"/>
      <c r="AO32" s="77"/>
      <c r="AP32" s="77"/>
      <c r="AQ32" s="84"/>
      <c r="AR32" s="83"/>
      <c r="AS32" s="77"/>
      <c r="AT32" s="77"/>
      <c r="AU32" s="84"/>
      <c r="AV32" s="83"/>
      <c r="AW32" s="77"/>
      <c r="AX32" s="77"/>
      <c r="AY32" s="84"/>
      <c r="AZ32" s="83"/>
      <c r="BA32" s="77"/>
      <c r="BB32" s="77"/>
      <c r="BC32" s="84"/>
      <c r="BD32" s="83"/>
      <c r="BE32" s="77"/>
      <c r="BF32" s="77"/>
      <c r="BG32" s="84"/>
      <c r="BH32" s="83"/>
      <c r="BI32" s="77"/>
      <c r="BJ32" s="77"/>
      <c r="BK32" s="84"/>
      <c r="BL32" s="83"/>
      <c r="BM32" s="77"/>
      <c r="BN32" s="77"/>
      <c r="BO32" s="84"/>
      <c r="BP32" s="83"/>
      <c r="BQ32" s="77"/>
      <c r="BR32" s="76"/>
      <c r="BS32" s="88"/>
    </row>
    <row r="33" spans="2:83" ht="19.5" customHeight="1" x14ac:dyDescent="0.25">
      <c r="F33" s="253" t="s">
        <v>669</v>
      </c>
      <c r="G33" s="253"/>
      <c r="H33" s="289">
        <v>1</v>
      </c>
      <c r="I33" s="290"/>
      <c r="J33" s="290"/>
      <c r="K33" s="291"/>
      <c r="L33" s="289">
        <v>2</v>
      </c>
      <c r="M33" s="290"/>
      <c r="N33" s="290"/>
      <c r="O33" s="291"/>
      <c r="P33" s="289">
        <v>3</v>
      </c>
      <c r="Q33" s="290"/>
      <c r="R33" s="290"/>
      <c r="S33" s="291"/>
      <c r="T33" s="289">
        <v>4</v>
      </c>
      <c r="U33" s="290"/>
      <c r="V33" s="290"/>
      <c r="W33" s="291"/>
      <c r="X33" s="289">
        <v>5</v>
      </c>
      <c r="Y33" s="290"/>
      <c r="Z33" s="290"/>
      <c r="AA33" s="291"/>
      <c r="AB33" s="289">
        <v>6</v>
      </c>
      <c r="AC33" s="290"/>
      <c r="AD33" s="290"/>
      <c r="AE33" s="291"/>
      <c r="AF33" s="289">
        <v>7</v>
      </c>
      <c r="AG33" s="290"/>
      <c r="AH33" s="290"/>
      <c r="AI33" s="291"/>
      <c r="AJ33" s="289">
        <v>8</v>
      </c>
      <c r="AK33" s="290"/>
      <c r="AL33" s="290"/>
      <c r="AM33" s="291"/>
      <c r="AN33" s="289">
        <v>9</v>
      </c>
      <c r="AO33" s="290"/>
      <c r="AP33" s="290"/>
      <c r="AQ33" s="291"/>
      <c r="AR33" s="289">
        <v>10</v>
      </c>
      <c r="AS33" s="290"/>
      <c r="AT33" s="290"/>
      <c r="AU33" s="291"/>
      <c r="AV33" s="289">
        <v>11</v>
      </c>
      <c r="AW33" s="290"/>
      <c r="AX33" s="290"/>
      <c r="AY33" s="291"/>
      <c r="AZ33" s="289">
        <v>12</v>
      </c>
      <c r="BA33" s="290"/>
      <c r="BB33" s="290"/>
      <c r="BC33" s="291"/>
      <c r="BD33" s="289">
        <v>13</v>
      </c>
      <c r="BE33" s="290"/>
      <c r="BF33" s="290"/>
      <c r="BG33" s="291"/>
      <c r="BH33" s="289">
        <v>14</v>
      </c>
      <c r="BI33" s="290"/>
      <c r="BJ33" s="290"/>
      <c r="BK33" s="291"/>
      <c r="BL33" s="289">
        <v>15</v>
      </c>
      <c r="BM33" s="290"/>
      <c r="BN33" s="290"/>
      <c r="BO33" s="291"/>
      <c r="BP33" s="289">
        <v>16</v>
      </c>
      <c r="BQ33" s="290"/>
      <c r="BR33" s="290"/>
      <c r="BS33" s="291"/>
    </row>
    <row r="34" spans="2:83" ht="19.5" customHeight="1" x14ac:dyDescent="0.15">
      <c r="F34" s="253" t="s">
        <v>670</v>
      </c>
      <c r="G34" s="253"/>
      <c r="H34" s="281"/>
      <c r="I34" s="282"/>
      <c r="J34" s="282"/>
      <c r="K34" s="283"/>
      <c r="L34" s="281"/>
      <c r="M34" s="282"/>
      <c r="N34" s="282"/>
      <c r="O34" s="283"/>
      <c r="P34" s="281"/>
      <c r="Q34" s="282"/>
      <c r="R34" s="282"/>
      <c r="S34" s="283"/>
      <c r="T34" s="281"/>
      <c r="U34" s="282"/>
      <c r="V34" s="282"/>
      <c r="W34" s="283"/>
      <c r="X34" s="281"/>
      <c r="Y34" s="282"/>
      <c r="Z34" s="282"/>
      <c r="AA34" s="283"/>
      <c r="AB34" s="281"/>
      <c r="AC34" s="282"/>
      <c r="AD34" s="282"/>
      <c r="AE34" s="283"/>
      <c r="AF34" s="281"/>
      <c r="AG34" s="282"/>
      <c r="AH34" s="282"/>
      <c r="AI34" s="283"/>
      <c r="AJ34" s="281"/>
      <c r="AK34" s="282"/>
      <c r="AL34" s="282"/>
      <c r="AM34" s="283"/>
      <c r="AN34" s="281"/>
      <c r="AO34" s="282"/>
      <c r="AP34" s="282"/>
      <c r="AQ34" s="283"/>
      <c r="AR34" s="281"/>
      <c r="AS34" s="282"/>
      <c r="AT34" s="282"/>
      <c r="AU34" s="283"/>
      <c r="AV34" s="281"/>
      <c r="AW34" s="282"/>
      <c r="AX34" s="282"/>
      <c r="AY34" s="283"/>
      <c r="AZ34" s="281"/>
      <c r="BA34" s="282"/>
      <c r="BB34" s="282"/>
      <c r="BC34" s="283"/>
      <c r="BD34" s="281"/>
      <c r="BE34" s="282"/>
      <c r="BF34" s="282"/>
      <c r="BG34" s="283"/>
      <c r="BH34" s="281"/>
      <c r="BI34" s="282"/>
      <c r="BJ34" s="282"/>
      <c r="BK34" s="283"/>
      <c r="BL34" s="281"/>
      <c r="BM34" s="282"/>
      <c r="BN34" s="282"/>
      <c r="BO34" s="283"/>
      <c r="BP34" s="281"/>
      <c r="BQ34" s="282"/>
      <c r="BR34" s="282"/>
      <c r="BS34" s="283"/>
      <c r="BT34" s="284" t="s">
        <v>671</v>
      </c>
      <c r="BU34" s="285"/>
      <c r="BV34" s="285"/>
      <c r="BW34" s="285"/>
      <c r="BX34" s="285"/>
      <c r="BY34" s="285"/>
      <c r="BZ34" s="285"/>
      <c r="CA34" s="285"/>
      <c r="CB34" s="285"/>
      <c r="CC34" s="285"/>
      <c r="CD34" s="286"/>
    </row>
    <row r="35" spans="2:83" ht="90" customHeight="1" x14ac:dyDescent="0.15">
      <c r="B35" s="287" t="s">
        <v>672</v>
      </c>
      <c r="C35" s="288" t="s">
        <v>673</v>
      </c>
      <c r="D35" s="287" t="s">
        <v>674</v>
      </c>
      <c r="E35" s="287" t="s">
        <v>675</v>
      </c>
      <c r="F35" s="89"/>
      <c r="G35" s="90" t="s">
        <v>703</v>
      </c>
      <c r="H35" s="265" t="s">
        <v>801</v>
      </c>
      <c r="I35" s="266"/>
      <c r="J35" s="266"/>
      <c r="K35" s="267"/>
      <c r="L35" s="265" t="s">
        <v>802</v>
      </c>
      <c r="M35" s="266"/>
      <c r="N35" s="266"/>
      <c r="O35" s="267"/>
      <c r="P35" s="265" t="s">
        <v>705</v>
      </c>
      <c r="Q35" s="266"/>
      <c r="R35" s="266"/>
      <c r="S35" s="267"/>
      <c r="T35" s="265" t="s">
        <v>706</v>
      </c>
      <c r="U35" s="266"/>
      <c r="V35" s="266"/>
      <c r="W35" s="267"/>
      <c r="X35" s="265" t="s">
        <v>707</v>
      </c>
      <c r="Y35" s="266"/>
      <c r="Z35" s="266"/>
      <c r="AA35" s="267"/>
      <c r="AB35" s="265" t="s">
        <v>708</v>
      </c>
      <c r="AC35" s="266"/>
      <c r="AD35" s="266"/>
      <c r="AE35" s="267"/>
      <c r="AF35" s="265"/>
      <c r="AG35" s="266"/>
      <c r="AH35" s="266"/>
      <c r="AI35" s="267"/>
      <c r="AJ35" s="265"/>
      <c r="AK35" s="266"/>
      <c r="AL35" s="266"/>
      <c r="AM35" s="267"/>
      <c r="AN35" s="265"/>
      <c r="AO35" s="266"/>
      <c r="AP35" s="266"/>
      <c r="AQ35" s="267"/>
      <c r="AR35" s="265"/>
      <c r="AS35" s="266"/>
      <c r="AT35" s="266"/>
      <c r="AU35" s="267"/>
      <c r="AV35" s="265"/>
      <c r="AW35" s="266"/>
      <c r="AX35" s="266"/>
      <c r="AY35" s="267"/>
      <c r="AZ35" s="265"/>
      <c r="BA35" s="266"/>
      <c r="BB35" s="266"/>
      <c r="BC35" s="267"/>
      <c r="BD35" s="265"/>
      <c r="BE35" s="266"/>
      <c r="BF35" s="266"/>
      <c r="BG35" s="267"/>
      <c r="BH35" s="265"/>
      <c r="BI35" s="266"/>
      <c r="BJ35" s="266"/>
      <c r="BK35" s="267"/>
      <c r="BL35" s="265"/>
      <c r="BM35" s="266"/>
      <c r="BN35" s="266"/>
      <c r="BO35" s="267"/>
      <c r="BP35" s="265"/>
      <c r="BQ35" s="266"/>
      <c r="BR35" s="266"/>
      <c r="BS35" s="267"/>
      <c r="BT35" s="278" t="s">
        <v>676</v>
      </c>
      <c r="BU35" s="278" t="s">
        <v>677</v>
      </c>
      <c r="BV35" s="278" t="s">
        <v>678</v>
      </c>
      <c r="BW35" s="278" t="s">
        <v>679</v>
      </c>
      <c r="BX35" s="278" t="s">
        <v>680</v>
      </c>
      <c r="BY35" s="279" t="s">
        <v>681</v>
      </c>
      <c r="BZ35" s="272" t="s">
        <v>682</v>
      </c>
      <c r="CA35" s="272" t="s">
        <v>683</v>
      </c>
      <c r="CB35" s="272" t="s">
        <v>684</v>
      </c>
      <c r="CC35" s="272" t="s">
        <v>685</v>
      </c>
      <c r="CD35" s="274" t="s">
        <v>686</v>
      </c>
      <c r="CE35" s="276" t="s">
        <v>672</v>
      </c>
    </row>
    <row r="36" spans="2:83" ht="90" customHeight="1" x14ac:dyDescent="0.15">
      <c r="B36" s="287"/>
      <c r="C36" s="287"/>
      <c r="D36" s="287"/>
      <c r="E36" s="287"/>
      <c r="F36" s="91" t="s">
        <v>702</v>
      </c>
      <c r="G36" s="92"/>
      <c r="H36" s="268"/>
      <c r="I36" s="269"/>
      <c r="J36" s="269"/>
      <c r="K36" s="270"/>
      <c r="L36" s="268"/>
      <c r="M36" s="269"/>
      <c r="N36" s="269"/>
      <c r="O36" s="270"/>
      <c r="P36" s="268"/>
      <c r="Q36" s="269"/>
      <c r="R36" s="269"/>
      <c r="S36" s="270"/>
      <c r="T36" s="268"/>
      <c r="U36" s="269"/>
      <c r="V36" s="269"/>
      <c r="W36" s="270"/>
      <c r="X36" s="268"/>
      <c r="Y36" s="269"/>
      <c r="Z36" s="269"/>
      <c r="AA36" s="270"/>
      <c r="AB36" s="268"/>
      <c r="AC36" s="269"/>
      <c r="AD36" s="269"/>
      <c r="AE36" s="270"/>
      <c r="AF36" s="268"/>
      <c r="AG36" s="269"/>
      <c r="AH36" s="269"/>
      <c r="AI36" s="270"/>
      <c r="AJ36" s="268"/>
      <c r="AK36" s="269"/>
      <c r="AL36" s="269"/>
      <c r="AM36" s="270"/>
      <c r="AN36" s="268"/>
      <c r="AO36" s="269"/>
      <c r="AP36" s="269"/>
      <c r="AQ36" s="270"/>
      <c r="AR36" s="268"/>
      <c r="AS36" s="269"/>
      <c r="AT36" s="269"/>
      <c r="AU36" s="270"/>
      <c r="AV36" s="268"/>
      <c r="AW36" s="269"/>
      <c r="AX36" s="269"/>
      <c r="AY36" s="270"/>
      <c r="AZ36" s="268"/>
      <c r="BA36" s="269"/>
      <c r="BB36" s="269"/>
      <c r="BC36" s="270"/>
      <c r="BD36" s="268"/>
      <c r="BE36" s="269"/>
      <c r="BF36" s="269"/>
      <c r="BG36" s="270"/>
      <c r="BH36" s="268"/>
      <c r="BI36" s="269"/>
      <c r="BJ36" s="269"/>
      <c r="BK36" s="270"/>
      <c r="BL36" s="268"/>
      <c r="BM36" s="269"/>
      <c r="BN36" s="269"/>
      <c r="BO36" s="270"/>
      <c r="BP36" s="268"/>
      <c r="BQ36" s="269"/>
      <c r="BR36" s="269"/>
      <c r="BS36" s="270"/>
      <c r="BT36" s="278"/>
      <c r="BU36" s="278"/>
      <c r="BV36" s="278"/>
      <c r="BW36" s="278"/>
      <c r="BX36" s="278"/>
      <c r="BY36" s="280"/>
      <c r="BZ36" s="273"/>
      <c r="CA36" s="273"/>
      <c r="CB36" s="273"/>
      <c r="CC36" s="273"/>
      <c r="CD36" s="275"/>
      <c r="CE36" s="277"/>
    </row>
    <row r="37" spans="2:83" ht="30" customHeight="1" x14ac:dyDescent="0.15">
      <c r="B37" s="93">
        <v>1</v>
      </c>
      <c r="C37" s="94" t="str">
        <f>REPT("|", (D37*100))</f>
        <v>||||||||||||||||||</v>
      </c>
      <c r="D37" s="109">
        <f>'S05 Req Weights'!K3</f>
        <v>0.18333333333333332</v>
      </c>
      <c r="E37" s="145">
        <f>IF(COUNTIF(H37:BP37,"●"),9,IF(COUNTIF(H37:BP37,"○"),3,IF(COUNTIF(H37:BP37,"▽"),1,"")))</f>
        <v>9</v>
      </c>
      <c r="F37" s="264" t="str">
        <f>'S05 Req Weights'!A3</f>
        <v>Style</v>
      </c>
      <c r="G37" s="264"/>
      <c r="H37" s="261" t="s">
        <v>657</v>
      </c>
      <c r="I37" s="262"/>
      <c r="J37" s="262"/>
      <c r="K37" s="263"/>
      <c r="L37" s="261" t="s">
        <v>657</v>
      </c>
      <c r="M37" s="262"/>
      <c r="N37" s="262"/>
      <c r="O37" s="263"/>
      <c r="P37" s="261" t="s">
        <v>659</v>
      </c>
      <c r="Q37" s="262"/>
      <c r="R37" s="262"/>
      <c r="S37" s="263"/>
      <c r="T37" s="261"/>
      <c r="U37" s="262"/>
      <c r="V37" s="262"/>
      <c r="W37" s="263"/>
      <c r="X37" s="261"/>
      <c r="Y37" s="262"/>
      <c r="Z37" s="262"/>
      <c r="AA37" s="263"/>
      <c r="AB37" s="261" t="s">
        <v>661</v>
      </c>
      <c r="AC37" s="262"/>
      <c r="AD37" s="262"/>
      <c r="AE37" s="263"/>
      <c r="AF37" s="261"/>
      <c r="AG37" s="262"/>
      <c r="AH37" s="262"/>
      <c r="AI37" s="263"/>
      <c r="AJ37" s="261"/>
      <c r="AK37" s="262"/>
      <c r="AL37" s="262"/>
      <c r="AM37" s="263"/>
      <c r="AN37" s="261"/>
      <c r="AO37" s="262"/>
      <c r="AP37" s="262"/>
      <c r="AQ37" s="263"/>
      <c r="AR37" s="261"/>
      <c r="AS37" s="262"/>
      <c r="AT37" s="262"/>
      <c r="AU37" s="263"/>
      <c r="AV37" s="261"/>
      <c r="AW37" s="262"/>
      <c r="AX37" s="262"/>
      <c r="AY37" s="263"/>
      <c r="AZ37" s="261"/>
      <c r="BA37" s="262"/>
      <c r="BB37" s="262"/>
      <c r="BC37" s="263"/>
      <c r="BD37" s="261"/>
      <c r="BE37" s="262"/>
      <c r="BF37" s="262"/>
      <c r="BG37" s="263"/>
      <c r="BH37" s="261"/>
      <c r="BI37" s="262"/>
      <c r="BJ37" s="262"/>
      <c r="BK37" s="263"/>
      <c r="BL37" s="261"/>
      <c r="BM37" s="262"/>
      <c r="BN37" s="262"/>
      <c r="BO37" s="263"/>
      <c r="BP37" s="261"/>
      <c r="BQ37" s="262"/>
      <c r="BR37" s="262"/>
      <c r="BS37" s="263"/>
      <c r="BT37" s="95">
        <v>5</v>
      </c>
      <c r="BU37" s="95">
        <v>1</v>
      </c>
      <c r="BV37" s="95">
        <v>3</v>
      </c>
      <c r="BW37" s="95">
        <v>4</v>
      </c>
      <c r="BX37" s="95">
        <v>5</v>
      </c>
      <c r="BY37" s="271"/>
      <c r="CE37" s="93">
        <v>1</v>
      </c>
    </row>
    <row r="38" spans="2:83" ht="30" customHeight="1" x14ac:dyDescent="0.15">
      <c r="B38" s="93">
        <v>2</v>
      </c>
      <c r="C38" s="94" t="str">
        <f t="shared" ref="C38:C42" si="0">REPT("|", (D38*100))</f>
        <v>|||||||||||</v>
      </c>
      <c r="D38" s="109">
        <f>'S05 Req Weights'!K4</f>
        <v>0.11666666666666667</v>
      </c>
      <c r="E38" s="145">
        <f t="shared" ref="E38:E52" si="1">IF(COUNTIF(H38:BP38,"●"),9,IF(COUNTIF(H38:BP38,"○"),3,IF(COUNTIF(H38:BP38,"▽"),1,"")))</f>
        <v>9</v>
      </c>
      <c r="F38" s="264" t="str">
        <f>'S05 Req Weights'!A4</f>
        <v>Lightweight</v>
      </c>
      <c r="G38" s="264"/>
      <c r="H38" s="261" t="s">
        <v>657</v>
      </c>
      <c r="I38" s="262"/>
      <c r="J38" s="262"/>
      <c r="K38" s="263"/>
      <c r="L38" s="261" t="s">
        <v>657</v>
      </c>
      <c r="M38" s="262"/>
      <c r="N38" s="262"/>
      <c r="O38" s="263"/>
      <c r="P38" s="261"/>
      <c r="Q38" s="262"/>
      <c r="R38" s="262"/>
      <c r="S38" s="263"/>
      <c r="T38" s="261" t="s">
        <v>661</v>
      </c>
      <c r="U38" s="262"/>
      <c r="V38" s="262"/>
      <c r="W38" s="263"/>
      <c r="X38" s="261"/>
      <c r="Y38" s="262"/>
      <c r="Z38" s="262"/>
      <c r="AA38" s="263"/>
      <c r="AB38" s="261"/>
      <c r="AC38" s="262"/>
      <c r="AD38" s="262"/>
      <c r="AE38" s="263"/>
      <c r="AF38" s="261"/>
      <c r="AG38" s="262"/>
      <c r="AH38" s="262"/>
      <c r="AI38" s="263"/>
      <c r="AJ38" s="261"/>
      <c r="AK38" s="262"/>
      <c r="AL38" s="262"/>
      <c r="AM38" s="263"/>
      <c r="AN38" s="261"/>
      <c r="AO38" s="262"/>
      <c r="AP38" s="262"/>
      <c r="AQ38" s="263"/>
      <c r="AR38" s="261"/>
      <c r="AS38" s="262"/>
      <c r="AT38" s="262"/>
      <c r="AU38" s="263"/>
      <c r="AV38" s="261"/>
      <c r="AW38" s="262"/>
      <c r="AX38" s="262"/>
      <c r="AY38" s="263"/>
      <c r="AZ38" s="261"/>
      <c r="BA38" s="262"/>
      <c r="BB38" s="262"/>
      <c r="BC38" s="263"/>
      <c r="BD38" s="261"/>
      <c r="BE38" s="262"/>
      <c r="BF38" s="262"/>
      <c r="BG38" s="263"/>
      <c r="BH38" s="261"/>
      <c r="BI38" s="262"/>
      <c r="BJ38" s="262"/>
      <c r="BK38" s="263"/>
      <c r="BL38" s="261"/>
      <c r="BM38" s="262"/>
      <c r="BN38" s="262"/>
      <c r="BO38" s="263"/>
      <c r="BP38" s="261"/>
      <c r="BQ38" s="262"/>
      <c r="BR38" s="262"/>
      <c r="BS38" s="263"/>
      <c r="BT38" s="95">
        <v>3</v>
      </c>
      <c r="BU38" s="95">
        <v>4</v>
      </c>
      <c r="BV38" s="95">
        <v>5</v>
      </c>
      <c r="BW38" s="95">
        <v>6</v>
      </c>
      <c r="BX38" s="95">
        <v>7</v>
      </c>
      <c r="BY38" s="271"/>
      <c r="CE38" s="93">
        <v>2</v>
      </c>
    </row>
    <row r="39" spans="2:83" ht="30" customHeight="1" x14ac:dyDescent="0.15">
      <c r="B39" s="93">
        <v>3</v>
      </c>
      <c r="C39" s="94" t="str">
        <f t="shared" si="0"/>
        <v>||||||||||||||||||</v>
      </c>
      <c r="D39" s="109">
        <f>'S05 Req Weights'!K5</f>
        <v>0.18333333333333332</v>
      </c>
      <c r="E39" s="145">
        <f t="shared" si="1"/>
        <v>3</v>
      </c>
      <c r="F39" s="264" t="str">
        <f>'S05 Req Weights'!A5</f>
        <v>Durable</v>
      </c>
      <c r="G39" s="264"/>
      <c r="H39" s="261"/>
      <c r="I39" s="262"/>
      <c r="J39" s="262"/>
      <c r="K39" s="263"/>
      <c r="L39" s="261" t="s">
        <v>659</v>
      </c>
      <c r="M39" s="262"/>
      <c r="N39" s="262"/>
      <c r="O39" s="263"/>
      <c r="P39" s="261"/>
      <c r="Q39" s="262"/>
      <c r="R39" s="262"/>
      <c r="S39" s="263"/>
      <c r="T39" s="261"/>
      <c r="U39" s="262"/>
      <c r="V39" s="262"/>
      <c r="W39" s="263"/>
      <c r="X39" s="261"/>
      <c r="Y39" s="262"/>
      <c r="Z39" s="262"/>
      <c r="AA39" s="263"/>
      <c r="AB39" s="261"/>
      <c r="AC39" s="262"/>
      <c r="AD39" s="262"/>
      <c r="AE39" s="263"/>
      <c r="AF39" s="261"/>
      <c r="AG39" s="262"/>
      <c r="AH39" s="262"/>
      <c r="AI39" s="263"/>
      <c r="AJ39" s="261"/>
      <c r="AK39" s="262"/>
      <c r="AL39" s="262"/>
      <c r="AM39" s="263"/>
      <c r="AN39" s="261"/>
      <c r="AO39" s="262"/>
      <c r="AP39" s="262"/>
      <c r="AQ39" s="263"/>
      <c r="AR39" s="261"/>
      <c r="AS39" s="262"/>
      <c r="AT39" s="262"/>
      <c r="AU39" s="263"/>
      <c r="AV39" s="261"/>
      <c r="AW39" s="262"/>
      <c r="AX39" s="262"/>
      <c r="AY39" s="263"/>
      <c r="AZ39" s="261"/>
      <c r="BA39" s="262"/>
      <c r="BB39" s="262"/>
      <c r="BC39" s="263"/>
      <c r="BD39" s="261"/>
      <c r="BE39" s="262"/>
      <c r="BF39" s="262"/>
      <c r="BG39" s="263"/>
      <c r="BH39" s="261"/>
      <c r="BI39" s="262"/>
      <c r="BJ39" s="262"/>
      <c r="BK39" s="263"/>
      <c r="BL39" s="261"/>
      <c r="BM39" s="262"/>
      <c r="BN39" s="262"/>
      <c r="BO39" s="263"/>
      <c r="BP39" s="261"/>
      <c r="BQ39" s="262"/>
      <c r="BR39" s="262"/>
      <c r="BS39" s="263"/>
      <c r="BT39" s="95">
        <v>2</v>
      </c>
      <c r="BU39" s="95">
        <v>3</v>
      </c>
      <c r="BV39" s="95">
        <v>3</v>
      </c>
      <c r="BW39" s="95">
        <v>3</v>
      </c>
      <c r="BX39" s="95">
        <v>3</v>
      </c>
      <c r="BY39" s="271"/>
      <c r="CE39" s="93">
        <v>3</v>
      </c>
    </row>
    <row r="40" spans="2:83" ht="30" customHeight="1" x14ac:dyDescent="0.15">
      <c r="B40" s="93">
        <v>4</v>
      </c>
      <c r="C40" s="94" t="str">
        <f t="shared" si="0"/>
        <v>||||||||||</v>
      </c>
      <c r="D40" s="109">
        <f>'S05 Req Weights'!K6</f>
        <v>0.1</v>
      </c>
      <c r="E40" s="145">
        <f t="shared" si="1"/>
        <v>9</v>
      </c>
      <c r="F40" s="264" t="str">
        <f>'S05 Req Weights'!A6</f>
        <v>Simple locking system</v>
      </c>
      <c r="G40" s="264"/>
      <c r="H40" s="261"/>
      <c r="I40" s="262"/>
      <c r="J40" s="262"/>
      <c r="K40" s="263"/>
      <c r="L40" s="261"/>
      <c r="M40" s="262"/>
      <c r="N40" s="262"/>
      <c r="O40" s="263"/>
      <c r="P40" s="261"/>
      <c r="Q40" s="262"/>
      <c r="R40" s="262"/>
      <c r="S40" s="263"/>
      <c r="T40" s="261" t="s">
        <v>657</v>
      </c>
      <c r="U40" s="262"/>
      <c r="V40" s="262"/>
      <c r="W40" s="263"/>
      <c r="X40" s="261"/>
      <c r="Y40" s="262"/>
      <c r="Z40" s="262"/>
      <c r="AA40" s="263"/>
      <c r="AB40" s="261" t="s">
        <v>657</v>
      </c>
      <c r="AC40" s="262"/>
      <c r="AD40" s="262"/>
      <c r="AE40" s="263"/>
      <c r="AF40" s="261"/>
      <c r="AG40" s="262"/>
      <c r="AH40" s="262"/>
      <c r="AI40" s="263"/>
      <c r="AJ40" s="261"/>
      <c r="AK40" s="262"/>
      <c r="AL40" s="262"/>
      <c r="AM40" s="263"/>
      <c r="AN40" s="261"/>
      <c r="AO40" s="262"/>
      <c r="AP40" s="262"/>
      <c r="AQ40" s="263"/>
      <c r="AR40" s="261"/>
      <c r="AS40" s="262"/>
      <c r="AT40" s="262"/>
      <c r="AU40" s="263"/>
      <c r="AV40" s="261"/>
      <c r="AW40" s="262"/>
      <c r="AX40" s="262"/>
      <c r="AY40" s="263"/>
      <c r="AZ40" s="261"/>
      <c r="BA40" s="262"/>
      <c r="BB40" s="262"/>
      <c r="BC40" s="263"/>
      <c r="BD40" s="261"/>
      <c r="BE40" s="262"/>
      <c r="BF40" s="262"/>
      <c r="BG40" s="263"/>
      <c r="BH40" s="261"/>
      <c r="BI40" s="262"/>
      <c r="BJ40" s="262"/>
      <c r="BK40" s="263"/>
      <c r="BL40" s="261"/>
      <c r="BM40" s="262"/>
      <c r="BN40" s="262"/>
      <c r="BO40" s="263"/>
      <c r="BP40" s="261"/>
      <c r="BQ40" s="262"/>
      <c r="BR40" s="262"/>
      <c r="BS40" s="263"/>
      <c r="BT40" s="95">
        <v>5</v>
      </c>
      <c r="BU40" s="95">
        <v>6</v>
      </c>
      <c r="BV40" s="95">
        <v>7</v>
      </c>
      <c r="BW40" s="95">
        <v>8</v>
      </c>
      <c r="BX40" s="95">
        <v>9</v>
      </c>
      <c r="BY40" s="271"/>
      <c r="CE40" s="93">
        <v>4</v>
      </c>
    </row>
    <row r="41" spans="2:83" ht="30" customHeight="1" x14ac:dyDescent="0.15">
      <c r="B41" s="93">
        <v>5</v>
      </c>
      <c r="C41" s="94" t="str">
        <f t="shared" si="0"/>
        <v>|||||||||||||||||||||||</v>
      </c>
      <c r="D41" s="109">
        <f>'S05 Req Weights'!K7</f>
        <v>0.23333333333333334</v>
      </c>
      <c r="E41" s="145">
        <f t="shared" si="1"/>
        <v>9</v>
      </c>
      <c r="F41" s="264" t="str">
        <f>'S05 Req Weights'!A7</f>
        <v>Short charging time</v>
      </c>
      <c r="G41" s="264"/>
      <c r="H41" s="261"/>
      <c r="I41" s="262"/>
      <c r="J41" s="262"/>
      <c r="K41" s="263"/>
      <c r="L41" s="261"/>
      <c r="M41" s="262"/>
      <c r="N41" s="262"/>
      <c r="O41" s="263"/>
      <c r="P41" s="261"/>
      <c r="Q41" s="262"/>
      <c r="R41" s="262"/>
      <c r="S41" s="263"/>
      <c r="T41" s="261"/>
      <c r="U41" s="262"/>
      <c r="V41" s="262"/>
      <c r="W41" s="263"/>
      <c r="X41" s="261" t="s">
        <v>657</v>
      </c>
      <c r="Y41" s="262"/>
      <c r="Z41" s="262"/>
      <c r="AA41" s="263"/>
      <c r="AB41" s="261"/>
      <c r="AC41" s="262"/>
      <c r="AD41" s="262"/>
      <c r="AE41" s="263"/>
      <c r="AF41" s="261"/>
      <c r="AG41" s="262"/>
      <c r="AH41" s="262"/>
      <c r="AI41" s="263"/>
      <c r="AJ41" s="261"/>
      <c r="AK41" s="262"/>
      <c r="AL41" s="262"/>
      <c r="AM41" s="263"/>
      <c r="AN41" s="261"/>
      <c r="AO41" s="262"/>
      <c r="AP41" s="262"/>
      <c r="AQ41" s="263"/>
      <c r="AR41" s="261"/>
      <c r="AS41" s="262"/>
      <c r="AT41" s="262"/>
      <c r="AU41" s="263"/>
      <c r="AV41" s="261"/>
      <c r="AW41" s="262"/>
      <c r="AX41" s="262"/>
      <c r="AY41" s="263"/>
      <c r="AZ41" s="261"/>
      <c r="BA41" s="262"/>
      <c r="BB41" s="262"/>
      <c r="BC41" s="263"/>
      <c r="BD41" s="261"/>
      <c r="BE41" s="262"/>
      <c r="BF41" s="262"/>
      <c r="BG41" s="263"/>
      <c r="BH41" s="261"/>
      <c r="BI41" s="262"/>
      <c r="BJ41" s="262"/>
      <c r="BK41" s="263"/>
      <c r="BL41" s="261"/>
      <c r="BM41" s="262"/>
      <c r="BN41" s="262"/>
      <c r="BO41" s="263"/>
      <c r="BP41" s="261"/>
      <c r="BQ41" s="262"/>
      <c r="BR41" s="262"/>
      <c r="BS41" s="263"/>
      <c r="BT41" s="95">
        <v>2</v>
      </c>
      <c r="BU41" s="95">
        <v>3</v>
      </c>
      <c r="BV41" s="95">
        <v>4</v>
      </c>
      <c r="BW41" s="95">
        <v>56</v>
      </c>
      <c r="BX41" s="95">
        <v>7</v>
      </c>
      <c r="BY41" s="271"/>
      <c r="CE41" s="93">
        <v>5</v>
      </c>
    </row>
    <row r="42" spans="2:83" ht="30" customHeight="1" x14ac:dyDescent="0.15">
      <c r="B42" s="93">
        <v>6</v>
      </c>
      <c r="C42" s="94" t="str">
        <f t="shared" si="0"/>
        <v>||||||||||||||||||</v>
      </c>
      <c r="D42" s="109">
        <f>'S05 Req Weights'!K8</f>
        <v>0.18333333333333332</v>
      </c>
      <c r="E42" s="145">
        <f t="shared" si="1"/>
        <v>9</v>
      </c>
      <c r="F42" s="264" t="str">
        <f>'S05 Req Weights'!A8</f>
        <v>Easy-to-replace parts</v>
      </c>
      <c r="G42" s="264"/>
      <c r="H42" s="261" t="s">
        <v>659</v>
      </c>
      <c r="I42" s="262"/>
      <c r="J42" s="262"/>
      <c r="K42" s="263"/>
      <c r="L42" s="261"/>
      <c r="M42" s="262"/>
      <c r="N42" s="262"/>
      <c r="O42" s="263"/>
      <c r="P42" s="261" t="s">
        <v>659</v>
      </c>
      <c r="Q42" s="262"/>
      <c r="R42" s="262"/>
      <c r="S42" s="263"/>
      <c r="T42" s="261"/>
      <c r="U42" s="262"/>
      <c r="V42" s="262"/>
      <c r="W42" s="263"/>
      <c r="X42" s="261"/>
      <c r="Y42" s="262"/>
      <c r="Z42" s="262"/>
      <c r="AA42" s="263"/>
      <c r="AB42" s="261" t="s">
        <v>657</v>
      </c>
      <c r="AC42" s="262"/>
      <c r="AD42" s="262"/>
      <c r="AE42" s="263"/>
      <c r="AF42" s="261"/>
      <c r="AG42" s="262"/>
      <c r="AH42" s="262"/>
      <c r="AI42" s="263"/>
      <c r="AJ42" s="261"/>
      <c r="AK42" s="262"/>
      <c r="AL42" s="262"/>
      <c r="AM42" s="263"/>
      <c r="AN42" s="261"/>
      <c r="AO42" s="262"/>
      <c r="AP42" s="262"/>
      <c r="AQ42" s="263"/>
      <c r="AR42" s="261"/>
      <c r="AS42" s="262"/>
      <c r="AT42" s="262"/>
      <c r="AU42" s="263"/>
      <c r="AV42" s="261"/>
      <c r="AW42" s="262"/>
      <c r="AX42" s="262"/>
      <c r="AY42" s="263"/>
      <c r="AZ42" s="261"/>
      <c r="BA42" s="262"/>
      <c r="BB42" s="262"/>
      <c r="BC42" s="263"/>
      <c r="BD42" s="261"/>
      <c r="BE42" s="262"/>
      <c r="BF42" s="262"/>
      <c r="BG42" s="263"/>
      <c r="BH42" s="261"/>
      <c r="BI42" s="262"/>
      <c r="BJ42" s="262"/>
      <c r="BK42" s="263"/>
      <c r="BL42" s="261"/>
      <c r="BM42" s="262"/>
      <c r="BN42" s="262"/>
      <c r="BO42" s="263"/>
      <c r="BP42" s="261"/>
      <c r="BQ42" s="262"/>
      <c r="BR42" s="262"/>
      <c r="BS42" s="263"/>
      <c r="BT42" s="95"/>
      <c r="BU42" s="95"/>
      <c r="BV42" s="95"/>
      <c r="BW42" s="95"/>
      <c r="BX42" s="95"/>
      <c r="BY42" s="271"/>
      <c r="CE42" s="93">
        <v>6</v>
      </c>
    </row>
    <row r="43" spans="2:83" ht="30" customHeight="1" x14ac:dyDescent="0.15">
      <c r="B43" s="93">
        <v>7</v>
      </c>
      <c r="C43" s="94"/>
      <c r="D43" s="145"/>
      <c r="E43" s="145" t="str">
        <f t="shared" si="1"/>
        <v/>
      </c>
      <c r="F43" s="264" t="str">
        <f>'S05 Req Weights'!A9</f>
        <v>Different sizes</v>
      </c>
      <c r="G43" s="264"/>
      <c r="H43" s="261"/>
      <c r="I43" s="262"/>
      <c r="J43" s="262"/>
      <c r="K43" s="263"/>
      <c r="L43" s="261"/>
      <c r="M43" s="262"/>
      <c r="N43" s="262"/>
      <c r="O43" s="263"/>
      <c r="P43" s="261"/>
      <c r="Q43" s="262"/>
      <c r="R43" s="262"/>
      <c r="S43" s="263"/>
      <c r="T43" s="261"/>
      <c r="U43" s="262"/>
      <c r="V43" s="262"/>
      <c r="W43" s="263"/>
      <c r="X43" s="261"/>
      <c r="Y43" s="262"/>
      <c r="Z43" s="262"/>
      <c r="AA43" s="263"/>
      <c r="AB43" s="261"/>
      <c r="AC43" s="262"/>
      <c r="AD43" s="262"/>
      <c r="AE43" s="263"/>
      <c r="AF43" s="261"/>
      <c r="AG43" s="262"/>
      <c r="AH43" s="262"/>
      <c r="AI43" s="263"/>
      <c r="AJ43" s="261"/>
      <c r="AK43" s="262"/>
      <c r="AL43" s="262"/>
      <c r="AM43" s="263"/>
      <c r="AN43" s="261"/>
      <c r="AO43" s="262"/>
      <c r="AP43" s="262"/>
      <c r="AQ43" s="263"/>
      <c r="AR43" s="261"/>
      <c r="AS43" s="262"/>
      <c r="AT43" s="262"/>
      <c r="AU43" s="263"/>
      <c r="AV43" s="261"/>
      <c r="AW43" s="262"/>
      <c r="AX43" s="262"/>
      <c r="AY43" s="263"/>
      <c r="AZ43" s="261"/>
      <c r="BA43" s="262"/>
      <c r="BB43" s="262"/>
      <c r="BC43" s="263"/>
      <c r="BD43" s="261"/>
      <c r="BE43" s="262"/>
      <c r="BF43" s="262"/>
      <c r="BG43" s="263"/>
      <c r="BH43" s="261"/>
      <c r="BI43" s="262"/>
      <c r="BJ43" s="262"/>
      <c r="BK43" s="263"/>
      <c r="BL43" s="261"/>
      <c r="BM43" s="262"/>
      <c r="BN43" s="262"/>
      <c r="BO43" s="263"/>
      <c r="BP43" s="261"/>
      <c r="BQ43" s="262"/>
      <c r="BR43" s="262"/>
      <c r="BS43" s="263"/>
      <c r="BT43" s="95"/>
      <c r="BU43" s="95"/>
      <c r="BV43" s="95"/>
      <c r="BW43" s="95"/>
      <c r="BX43" s="95"/>
      <c r="BY43" s="271"/>
      <c r="CE43" s="93">
        <v>7</v>
      </c>
    </row>
    <row r="44" spans="2:83" ht="30" customHeight="1" x14ac:dyDescent="0.15">
      <c r="B44" s="93">
        <v>8</v>
      </c>
      <c r="C44" s="94"/>
      <c r="D44" s="145"/>
      <c r="E44" s="145" t="str">
        <f t="shared" si="1"/>
        <v/>
      </c>
      <c r="F44" s="264" t="str">
        <f>'S05 Req Weights'!A10</f>
        <v>Long-lasting battery</v>
      </c>
      <c r="G44" s="264"/>
      <c r="H44" s="261"/>
      <c r="I44" s="262"/>
      <c r="J44" s="262"/>
      <c r="K44" s="263"/>
      <c r="L44" s="261"/>
      <c r="M44" s="262"/>
      <c r="N44" s="262"/>
      <c r="O44" s="263"/>
      <c r="P44" s="261"/>
      <c r="Q44" s="262"/>
      <c r="R44" s="262"/>
      <c r="S44" s="263"/>
      <c r="T44" s="261"/>
      <c r="U44" s="262"/>
      <c r="V44" s="262"/>
      <c r="W44" s="263"/>
      <c r="X44" s="261"/>
      <c r="Y44" s="262"/>
      <c r="Z44" s="262"/>
      <c r="AA44" s="263"/>
      <c r="AB44" s="261"/>
      <c r="AC44" s="262"/>
      <c r="AD44" s="262"/>
      <c r="AE44" s="263"/>
      <c r="AF44" s="261"/>
      <c r="AG44" s="262"/>
      <c r="AH44" s="262"/>
      <c r="AI44" s="263"/>
      <c r="AJ44" s="261"/>
      <c r="AK44" s="262"/>
      <c r="AL44" s="262"/>
      <c r="AM44" s="263"/>
      <c r="AN44" s="261"/>
      <c r="AO44" s="262"/>
      <c r="AP44" s="262"/>
      <c r="AQ44" s="263"/>
      <c r="AR44" s="261"/>
      <c r="AS44" s="262"/>
      <c r="AT44" s="262"/>
      <c r="AU44" s="263"/>
      <c r="AV44" s="261"/>
      <c r="AW44" s="262"/>
      <c r="AX44" s="262"/>
      <c r="AY44" s="263"/>
      <c r="AZ44" s="261"/>
      <c r="BA44" s="262"/>
      <c r="BB44" s="262"/>
      <c r="BC44" s="263"/>
      <c r="BD44" s="261"/>
      <c r="BE44" s="262"/>
      <c r="BF44" s="262"/>
      <c r="BG44" s="263"/>
      <c r="BH44" s="261"/>
      <c r="BI44" s="262"/>
      <c r="BJ44" s="262"/>
      <c r="BK44" s="263"/>
      <c r="BL44" s="261"/>
      <c r="BM44" s="262"/>
      <c r="BN44" s="262"/>
      <c r="BO44" s="263"/>
      <c r="BP44" s="261"/>
      <c r="BQ44" s="262"/>
      <c r="BR44" s="262"/>
      <c r="BS44" s="263"/>
      <c r="BT44" s="95"/>
      <c r="BU44" s="95"/>
      <c r="BV44" s="95"/>
      <c r="BW44" s="95"/>
      <c r="BX44" s="95"/>
      <c r="BY44" s="271"/>
      <c r="CE44" s="93">
        <v>8</v>
      </c>
    </row>
    <row r="45" spans="2:83" ht="30" customHeight="1" x14ac:dyDescent="0.15">
      <c r="B45" s="93">
        <v>9</v>
      </c>
      <c r="C45" s="94"/>
      <c r="D45" s="145"/>
      <c r="E45" s="145" t="str">
        <f t="shared" si="1"/>
        <v/>
      </c>
      <c r="F45" s="264" t="str">
        <f>'S05 Req Weights'!A11</f>
        <v>Display</v>
      </c>
      <c r="G45" s="264"/>
      <c r="H45" s="261"/>
      <c r="I45" s="262"/>
      <c r="J45" s="262"/>
      <c r="K45" s="263"/>
      <c r="L45" s="261"/>
      <c r="M45" s="262"/>
      <c r="N45" s="262"/>
      <c r="O45" s="263"/>
      <c r="P45" s="261"/>
      <c r="Q45" s="262"/>
      <c r="R45" s="262"/>
      <c r="S45" s="263"/>
      <c r="T45" s="261"/>
      <c r="U45" s="262"/>
      <c r="V45" s="262"/>
      <c r="W45" s="263"/>
      <c r="X45" s="261"/>
      <c r="Y45" s="262"/>
      <c r="Z45" s="262"/>
      <c r="AA45" s="263"/>
      <c r="AB45" s="261"/>
      <c r="AC45" s="262"/>
      <c r="AD45" s="262"/>
      <c r="AE45" s="263"/>
      <c r="AF45" s="261"/>
      <c r="AG45" s="262"/>
      <c r="AH45" s="262"/>
      <c r="AI45" s="263"/>
      <c r="AJ45" s="261"/>
      <c r="AK45" s="262"/>
      <c r="AL45" s="262"/>
      <c r="AM45" s="263"/>
      <c r="AN45" s="261"/>
      <c r="AO45" s="262"/>
      <c r="AP45" s="262"/>
      <c r="AQ45" s="263"/>
      <c r="AR45" s="261"/>
      <c r="AS45" s="262"/>
      <c r="AT45" s="262"/>
      <c r="AU45" s="263"/>
      <c r="AV45" s="261"/>
      <c r="AW45" s="262"/>
      <c r="AX45" s="262"/>
      <c r="AY45" s="263"/>
      <c r="AZ45" s="261"/>
      <c r="BA45" s="262"/>
      <c r="BB45" s="262"/>
      <c r="BC45" s="263"/>
      <c r="BD45" s="261"/>
      <c r="BE45" s="262"/>
      <c r="BF45" s="262"/>
      <c r="BG45" s="263"/>
      <c r="BH45" s="261"/>
      <c r="BI45" s="262"/>
      <c r="BJ45" s="262"/>
      <c r="BK45" s="263"/>
      <c r="BL45" s="261"/>
      <c r="BM45" s="262"/>
      <c r="BN45" s="262"/>
      <c r="BO45" s="263"/>
      <c r="BP45" s="261"/>
      <c r="BQ45" s="262"/>
      <c r="BR45" s="262"/>
      <c r="BS45" s="263"/>
      <c r="BT45" s="95"/>
      <c r="BU45" s="95"/>
      <c r="BV45" s="95"/>
      <c r="BW45" s="95"/>
      <c r="BX45" s="95"/>
      <c r="BY45" s="271"/>
      <c r="CE45" s="93">
        <v>9</v>
      </c>
    </row>
    <row r="46" spans="2:83" ht="30" customHeight="1" x14ac:dyDescent="0.15">
      <c r="B46" s="93">
        <v>10</v>
      </c>
      <c r="C46" s="94"/>
      <c r="D46" s="145"/>
      <c r="E46" s="145" t="str">
        <f t="shared" si="1"/>
        <v/>
      </c>
      <c r="F46" s="264" t="str">
        <f>'S05 Req Weights'!A12</f>
        <v>Smartphone connectivity</v>
      </c>
      <c r="G46" s="264"/>
      <c r="H46" s="261"/>
      <c r="I46" s="262"/>
      <c r="J46" s="262"/>
      <c r="K46" s="263"/>
      <c r="L46" s="261"/>
      <c r="M46" s="262"/>
      <c r="N46" s="262"/>
      <c r="O46" s="263"/>
      <c r="P46" s="261"/>
      <c r="Q46" s="262"/>
      <c r="R46" s="262"/>
      <c r="S46" s="263"/>
      <c r="T46" s="261"/>
      <c r="U46" s="262"/>
      <c r="V46" s="262"/>
      <c r="W46" s="263"/>
      <c r="X46" s="261"/>
      <c r="Y46" s="262"/>
      <c r="Z46" s="262"/>
      <c r="AA46" s="263"/>
      <c r="AB46" s="261"/>
      <c r="AC46" s="262"/>
      <c r="AD46" s="262"/>
      <c r="AE46" s="263"/>
      <c r="AF46" s="261"/>
      <c r="AG46" s="262"/>
      <c r="AH46" s="262"/>
      <c r="AI46" s="263"/>
      <c r="AJ46" s="261"/>
      <c r="AK46" s="262"/>
      <c r="AL46" s="262"/>
      <c r="AM46" s="263"/>
      <c r="AN46" s="261"/>
      <c r="AO46" s="262"/>
      <c r="AP46" s="262"/>
      <c r="AQ46" s="263"/>
      <c r="AR46" s="261"/>
      <c r="AS46" s="262"/>
      <c r="AT46" s="262"/>
      <c r="AU46" s="263"/>
      <c r="AV46" s="261"/>
      <c r="AW46" s="262"/>
      <c r="AX46" s="262"/>
      <c r="AY46" s="263"/>
      <c r="AZ46" s="261"/>
      <c r="BA46" s="262"/>
      <c r="BB46" s="262"/>
      <c r="BC46" s="263"/>
      <c r="BD46" s="261"/>
      <c r="BE46" s="262"/>
      <c r="BF46" s="262"/>
      <c r="BG46" s="263"/>
      <c r="BH46" s="261"/>
      <c r="BI46" s="262"/>
      <c r="BJ46" s="262"/>
      <c r="BK46" s="263"/>
      <c r="BL46" s="261"/>
      <c r="BM46" s="262"/>
      <c r="BN46" s="262"/>
      <c r="BO46" s="263"/>
      <c r="BP46" s="261"/>
      <c r="BQ46" s="262"/>
      <c r="BR46" s="262"/>
      <c r="BS46" s="263"/>
      <c r="BT46" s="95"/>
      <c r="BU46" s="95"/>
      <c r="BV46" s="95"/>
      <c r="BW46" s="95"/>
      <c r="BX46" s="95"/>
      <c r="BY46" s="271"/>
      <c r="CE46" s="93">
        <v>10</v>
      </c>
    </row>
    <row r="47" spans="2:83" ht="30" customHeight="1" x14ac:dyDescent="0.15">
      <c r="B47" s="93">
        <v>11</v>
      </c>
      <c r="C47" s="94"/>
      <c r="D47" s="145"/>
      <c r="E47" s="145" t="str">
        <f t="shared" si="1"/>
        <v/>
      </c>
      <c r="F47" s="264" t="str">
        <f>'S05 Req Weights'!A13</f>
        <v>GPS tracking</v>
      </c>
      <c r="G47" s="264"/>
      <c r="H47" s="261"/>
      <c r="I47" s="262"/>
      <c r="J47" s="262"/>
      <c r="K47" s="263"/>
      <c r="L47" s="261"/>
      <c r="M47" s="262"/>
      <c r="N47" s="262"/>
      <c r="O47" s="263"/>
      <c r="P47" s="261"/>
      <c r="Q47" s="262"/>
      <c r="R47" s="262"/>
      <c r="S47" s="263"/>
      <c r="T47" s="261"/>
      <c r="U47" s="262"/>
      <c r="V47" s="262"/>
      <c r="W47" s="263"/>
      <c r="X47" s="261"/>
      <c r="Y47" s="262"/>
      <c r="Z47" s="262"/>
      <c r="AA47" s="263"/>
      <c r="AB47" s="261"/>
      <c r="AC47" s="262"/>
      <c r="AD47" s="262"/>
      <c r="AE47" s="263"/>
      <c r="AF47" s="261"/>
      <c r="AG47" s="262"/>
      <c r="AH47" s="262"/>
      <c r="AI47" s="263"/>
      <c r="AJ47" s="261"/>
      <c r="AK47" s="262"/>
      <c r="AL47" s="262"/>
      <c r="AM47" s="263"/>
      <c r="AN47" s="261"/>
      <c r="AO47" s="262"/>
      <c r="AP47" s="262"/>
      <c r="AQ47" s="263"/>
      <c r="AR47" s="261"/>
      <c r="AS47" s="262"/>
      <c r="AT47" s="262"/>
      <c r="AU47" s="263"/>
      <c r="AV47" s="261"/>
      <c r="AW47" s="262"/>
      <c r="AX47" s="262"/>
      <c r="AY47" s="263"/>
      <c r="AZ47" s="261"/>
      <c r="BA47" s="262"/>
      <c r="BB47" s="262"/>
      <c r="BC47" s="263"/>
      <c r="BD47" s="261"/>
      <c r="BE47" s="262"/>
      <c r="BF47" s="262"/>
      <c r="BG47" s="263"/>
      <c r="BH47" s="261"/>
      <c r="BI47" s="262"/>
      <c r="BJ47" s="262"/>
      <c r="BK47" s="263"/>
      <c r="BL47" s="261"/>
      <c r="BM47" s="262"/>
      <c r="BN47" s="262"/>
      <c r="BO47" s="263"/>
      <c r="BP47" s="261"/>
      <c r="BQ47" s="262"/>
      <c r="BR47" s="262"/>
      <c r="BS47" s="263"/>
      <c r="BT47" s="95"/>
      <c r="BU47" s="95"/>
      <c r="BV47" s="95"/>
      <c r="BW47" s="95"/>
      <c r="BX47" s="95"/>
      <c r="BY47" s="271"/>
      <c r="CE47" s="93">
        <v>11</v>
      </c>
    </row>
    <row r="48" spans="2:83" ht="30" customHeight="1" x14ac:dyDescent="0.15">
      <c r="B48" s="93">
        <v>12</v>
      </c>
      <c r="C48" s="94"/>
      <c r="D48" s="145"/>
      <c r="E48" s="145" t="str">
        <f t="shared" si="1"/>
        <v/>
      </c>
      <c r="F48" s="264" t="str">
        <f>'S05 Req Weights'!A14</f>
        <v>Basket</v>
      </c>
      <c r="G48" s="264"/>
      <c r="H48" s="261"/>
      <c r="I48" s="262"/>
      <c r="J48" s="262"/>
      <c r="K48" s="263"/>
      <c r="L48" s="261"/>
      <c r="M48" s="262"/>
      <c r="N48" s="262"/>
      <c r="O48" s="263"/>
      <c r="P48" s="261"/>
      <c r="Q48" s="262"/>
      <c r="R48" s="262"/>
      <c r="S48" s="263"/>
      <c r="T48" s="261"/>
      <c r="U48" s="262"/>
      <c r="V48" s="262"/>
      <c r="W48" s="263"/>
      <c r="X48" s="261"/>
      <c r="Y48" s="262"/>
      <c r="Z48" s="262"/>
      <c r="AA48" s="263"/>
      <c r="AB48" s="261"/>
      <c r="AC48" s="262"/>
      <c r="AD48" s="262"/>
      <c r="AE48" s="263"/>
      <c r="AF48" s="261"/>
      <c r="AG48" s="262"/>
      <c r="AH48" s="262"/>
      <c r="AI48" s="263"/>
      <c r="AJ48" s="261"/>
      <c r="AK48" s="262"/>
      <c r="AL48" s="262"/>
      <c r="AM48" s="263"/>
      <c r="AN48" s="261"/>
      <c r="AO48" s="262"/>
      <c r="AP48" s="262"/>
      <c r="AQ48" s="263"/>
      <c r="AR48" s="261"/>
      <c r="AS48" s="262"/>
      <c r="AT48" s="262"/>
      <c r="AU48" s="263"/>
      <c r="AV48" s="261"/>
      <c r="AW48" s="262"/>
      <c r="AX48" s="262"/>
      <c r="AY48" s="263"/>
      <c r="AZ48" s="261"/>
      <c r="BA48" s="262"/>
      <c r="BB48" s="262"/>
      <c r="BC48" s="263"/>
      <c r="BD48" s="261"/>
      <c r="BE48" s="262"/>
      <c r="BF48" s="262"/>
      <c r="BG48" s="263"/>
      <c r="BH48" s="261"/>
      <c r="BI48" s="262"/>
      <c r="BJ48" s="262"/>
      <c r="BK48" s="263"/>
      <c r="BL48" s="261"/>
      <c r="BM48" s="262"/>
      <c r="BN48" s="262"/>
      <c r="BO48" s="263"/>
      <c r="BP48" s="261"/>
      <c r="BQ48" s="262"/>
      <c r="BR48" s="262"/>
      <c r="BS48" s="263"/>
      <c r="BT48" s="95"/>
      <c r="BU48" s="95"/>
      <c r="BV48" s="95"/>
      <c r="BW48" s="95"/>
      <c r="BX48" s="95"/>
      <c r="BY48" s="271"/>
      <c r="CE48" s="93">
        <v>12</v>
      </c>
    </row>
    <row r="49" spans="2:83" ht="30" customHeight="1" x14ac:dyDescent="0.15">
      <c r="B49" s="93">
        <v>13</v>
      </c>
      <c r="C49" s="94"/>
      <c r="D49" s="145"/>
      <c r="E49" s="145" t="str">
        <f t="shared" si="1"/>
        <v/>
      </c>
      <c r="F49" s="264" t="str">
        <f>'S05 Req Weights'!A15</f>
        <v>Gear system</v>
      </c>
      <c r="G49" s="264"/>
      <c r="H49" s="261"/>
      <c r="I49" s="262"/>
      <c r="J49" s="262"/>
      <c r="K49" s="263"/>
      <c r="L49" s="261"/>
      <c r="M49" s="262"/>
      <c r="N49" s="262"/>
      <c r="O49" s="263"/>
      <c r="P49" s="261"/>
      <c r="Q49" s="262"/>
      <c r="R49" s="262"/>
      <c r="S49" s="263"/>
      <c r="T49" s="261"/>
      <c r="U49" s="262"/>
      <c r="V49" s="262"/>
      <c r="W49" s="263"/>
      <c r="X49" s="261"/>
      <c r="Y49" s="262"/>
      <c r="Z49" s="262"/>
      <c r="AA49" s="263"/>
      <c r="AB49" s="261"/>
      <c r="AC49" s="262"/>
      <c r="AD49" s="262"/>
      <c r="AE49" s="263"/>
      <c r="AF49" s="261"/>
      <c r="AG49" s="262"/>
      <c r="AH49" s="262"/>
      <c r="AI49" s="263"/>
      <c r="AJ49" s="261"/>
      <c r="AK49" s="262"/>
      <c r="AL49" s="262"/>
      <c r="AM49" s="263"/>
      <c r="AN49" s="261"/>
      <c r="AO49" s="262"/>
      <c r="AP49" s="262"/>
      <c r="AQ49" s="263"/>
      <c r="AR49" s="261"/>
      <c r="AS49" s="262"/>
      <c r="AT49" s="262"/>
      <c r="AU49" s="263"/>
      <c r="AV49" s="261"/>
      <c r="AW49" s="262"/>
      <c r="AX49" s="262"/>
      <c r="AY49" s="263"/>
      <c r="AZ49" s="261"/>
      <c r="BA49" s="262"/>
      <c r="BB49" s="262"/>
      <c r="BC49" s="263"/>
      <c r="BD49" s="261"/>
      <c r="BE49" s="262"/>
      <c r="BF49" s="262"/>
      <c r="BG49" s="263"/>
      <c r="BH49" s="261"/>
      <c r="BI49" s="262"/>
      <c r="BJ49" s="262"/>
      <c r="BK49" s="263"/>
      <c r="BL49" s="261"/>
      <c r="BM49" s="262"/>
      <c r="BN49" s="262"/>
      <c r="BO49" s="263"/>
      <c r="BP49" s="261"/>
      <c r="BQ49" s="262"/>
      <c r="BR49" s="262"/>
      <c r="BS49" s="263"/>
      <c r="BT49" s="95"/>
      <c r="BU49" s="95"/>
      <c r="BV49" s="95"/>
      <c r="BW49" s="95"/>
      <c r="BX49" s="95"/>
      <c r="BY49" s="271"/>
      <c r="CE49" s="93">
        <v>13</v>
      </c>
    </row>
    <row r="50" spans="2:83" ht="30" customHeight="1" x14ac:dyDescent="0.15">
      <c r="B50" s="93">
        <v>14</v>
      </c>
      <c r="C50" s="94"/>
      <c r="D50" s="145"/>
      <c r="E50" s="145" t="str">
        <f t="shared" si="1"/>
        <v/>
      </c>
      <c r="F50" s="264" t="str">
        <f>'S05 Req Weights'!A16</f>
        <v>Break system</v>
      </c>
      <c r="G50" s="264"/>
      <c r="H50" s="261"/>
      <c r="I50" s="262"/>
      <c r="J50" s="262"/>
      <c r="K50" s="263"/>
      <c r="L50" s="261"/>
      <c r="M50" s="262"/>
      <c r="N50" s="262"/>
      <c r="O50" s="263"/>
      <c r="P50" s="261"/>
      <c r="Q50" s="262"/>
      <c r="R50" s="262"/>
      <c r="S50" s="263"/>
      <c r="T50" s="261"/>
      <c r="U50" s="262"/>
      <c r="V50" s="262"/>
      <c r="W50" s="263"/>
      <c r="X50" s="261"/>
      <c r="Y50" s="262"/>
      <c r="Z50" s="262"/>
      <c r="AA50" s="263"/>
      <c r="AB50" s="261"/>
      <c r="AC50" s="262"/>
      <c r="AD50" s="262"/>
      <c r="AE50" s="263"/>
      <c r="AF50" s="261"/>
      <c r="AG50" s="262"/>
      <c r="AH50" s="262"/>
      <c r="AI50" s="263"/>
      <c r="AJ50" s="261"/>
      <c r="AK50" s="262"/>
      <c r="AL50" s="262"/>
      <c r="AM50" s="263"/>
      <c r="AN50" s="261"/>
      <c r="AO50" s="262"/>
      <c r="AP50" s="262"/>
      <c r="AQ50" s="263"/>
      <c r="AR50" s="261"/>
      <c r="AS50" s="262"/>
      <c r="AT50" s="262"/>
      <c r="AU50" s="263"/>
      <c r="AV50" s="261"/>
      <c r="AW50" s="262"/>
      <c r="AX50" s="262"/>
      <c r="AY50" s="263"/>
      <c r="AZ50" s="261"/>
      <c r="BA50" s="262"/>
      <c r="BB50" s="262"/>
      <c r="BC50" s="263"/>
      <c r="BD50" s="261"/>
      <c r="BE50" s="262"/>
      <c r="BF50" s="262"/>
      <c r="BG50" s="263"/>
      <c r="BH50" s="261"/>
      <c r="BI50" s="262"/>
      <c r="BJ50" s="262"/>
      <c r="BK50" s="263"/>
      <c r="BL50" s="261"/>
      <c r="BM50" s="262"/>
      <c r="BN50" s="262"/>
      <c r="BO50" s="263"/>
      <c r="BP50" s="261"/>
      <c r="BQ50" s="262"/>
      <c r="BR50" s="262"/>
      <c r="BS50" s="263"/>
      <c r="BT50" s="95"/>
      <c r="BU50" s="95"/>
      <c r="BV50" s="95"/>
      <c r="BW50" s="95"/>
      <c r="BX50" s="95"/>
      <c r="BY50" s="271"/>
      <c r="CE50" s="93">
        <v>14</v>
      </c>
    </row>
    <row r="51" spans="2:83" ht="30" customHeight="1" x14ac:dyDescent="0.15">
      <c r="B51" s="93">
        <v>15</v>
      </c>
      <c r="C51" s="94"/>
      <c r="D51" s="145"/>
      <c r="E51" s="145" t="str">
        <f t="shared" si="1"/>
        <v/>
      </c>
      <c r="F51" s="264" t="str">
        <f>'S05 Req Weights'!A17</f>
        <v>Different colors</v>
      </c>
      <c r="G51" s="264"/>
      <c r="H51" s="261"/>
      <c r="I51" s="262"/>
      <c r="J51" s="262"/>
      <c r="K51" s="263"/>
      <c r="L51" s="261"/>
      <c r="M51" s="262"/>
      <c r="N51" s="262"/>
      <c r="O51" s="263"/>
      <c r="P51" s="261"/>
      <c r="Q51" s="262"/>
      <c r="R51" s="262"/>
      <c r="S51" s="263"/>
      <c r="T51" s="261"/>
      <c r="U51" s="262"/>
      <c r="V51" s="262"/>
      <c r="W51" s="263"/>
      <c r="X51" s="261"/>
      <c r="Y51" s="262"/>
      <c r="Z51" s="262"/>
      <c r="AA51" s="263"/>
      <c r="AB51" s="261"/>
      <c r="AC51" s="262"/>
      <c r="AD51" s="262"/>
      <c r="AE51" s="263"/>
      <c r="AF51" s="261"/>
      <c r="AG51" s="262"/>
      <c r="AH51" s="262"/>
      <c r="AI51" s="263"/>
      <c r="AJ51" s="261"/>
      <c r="AK51" s="262"/>
      <c r="AL51" s="262"/>
      <c r="AM51" s="263"/>
      <c r="AN51" s="261"/>
      <c r="AO51" s="262"/>
      <c r="AP51" s="262"/>
      <c r="AQ51" s="263"/>
      <c r="AR51" s="261"/>
      <c r="AS51" s="262"/>
      <c r="AT51" s="262"/>
      <c r="AU51" s="263"/>
      <c r="AV51" s="261"/>
      <c r="AW51" s="262"/>
      <c r="AX51" s="262"/>
      <c r="AY51" s="263"/>
      <c r="AZ51" s="261"/>
      <c r="BA51" s="262"/>
      <c r="BB51" s="262"/>
      <c r="BC51" s="263"/>
      <c r="BD51" s="261"/>
      <c r="BE51" s="262"/>
      <c r="BF51" s="262"/>
      <c r="BG51" s="263"/>
      <c r="BH51" s="261"/>
      <c r="BI51" s="262"/>
      <c r="BJ51" s="262"/>
      <c r="BK51" s="263"/>
      <c r="BL51" s="261"/>
      <c r="BM51" s="262"/>
      <c r="BN51" s="262"/>
      <c r="BO51" s="263"/>
      <c r="BP51" s="261"/>
      <c r="BQ51" s="262"/>
      <c r="BR51" s="262"/>
      <c r="BS51" s="263"/>
      <c r="BT51" s="95"/>
      <c r="BU51" s="95"/>
      <c r="BV51" s="95"/>
      <c r="BW51" s="95"/>
      <c r="BX51" s="95"/>
      <c r="BY51" s="271"/>
      <c r="CE51" s="93">
        <v>15</v>
      </c>
    </row>
    <row r="52" spans="2:83" ht="30" customHeight="1" x14ac:dyDescent="0.15">
      <c r="B52" s="93">
        <v>16</v>
      </c>
      <c r="C52" s="94"/>
      <c r="D52" s="145"/>
      <c r="E52" s="145" t="str">
        <f t="shared" si="1"/>
        <v/>
      </c>
      <c r="F52" s="264" t="str">
        <f>'S05 Req Weights'!A18</f>
        <v>Custom design</v>
      </c>
      <c r="G52" s="264"/>
      <c r="H52" s="261"/>
      <c r="I52" s="262"/>
      <c r="J52" s="262"/>
      <c r="K52" s="263"/>
      <c r="L52" s="261"/>
      <c r="M52" s="262"/>
      <c r="N52" s="262"/>
      <c r="O52" s="263"/>
      <c r="P52" s="261"/>
      <c r="Q52" s="262"/>
      <c r="R52" s="262"/>
      <c r="S52" s="263"/>
      <c r="T52" s="261"/>
      <c r="U52" s="262"/>
      <c r="V52" s="262"/>
      <c r="W52" s="263"/>
      <c r="X52" s="261"/>
      <c r="Y52" s="262"/>
      <c r="Z52" s="262"/>
      <c r="AA52" s="263"/>
      <c r="AB52" s="261"/>
      <c r="AC52" s="262"/>
      <c r="AD52" s="262"/>
      <c r="AE52" s="263"/>
      <c r="AF52" s="261"/>
      <c r="AG52" s="262"/>
      <c r="AH52" s="262"/>
      <c r="AI52" s="263"/>
      <c r="AJ52" s="261"/>
      <c r="AK52" s="262"/>
      <c r="AL52" s="262"/>
      <c r="AM52" s="263"/>
      <c r="AN52" s="261"/>
      <c r="AO52" s="262"/>
      <c r="AP52" s="262"/>
      <c r="AQ52" s="263"/>
      <c r="AR52" s="261"/>
      <c r="AS52" s="262"/>
      <c r="AT52" s="262"/>
      <c r="AU52" s="263"/>
      <c r="AV52" s="261"/>
      <c r="AW52" s="262"/>
      <c r="AX52" s="262"/>
      <c r="AY52" s="263"/>
      <c r="AZ52" s="261"/>
      <c r="BA52" s="262"/>
      <c r="BB52" s="262"/>
      <c r="BC52" s="263"/>
      <c r="BD52" s="261"/>
      <c r="BE52" s="262"/>
      <c r="BF52" s="262"/>
      <c r="BG52" s="263"/>
      <c r="BH52" s="261"/>
      <c r="BI52" s="262"/>
      <c r="BJ52" s="262"/>
      <c r="BK52" s="263"/>
      <c r="BL52" s="261"/>
      <c r="BM52" s="262"/>
      <c r="BN52" s="262"/>
      <c r="BO52" s="263"/>
      <c r="BP52" s="261"/>
      <c r="BQ52" s="262"/>
      <c r="BR52" s="262"/>
      <c r="BS52" s="263"/>
      <c r="BT52" s="95"/>
      <c r="BU52" s="95"/>
      <c r="BV52" s="95"/>
      <c r="BW52" s="95"/>
      <c r="BX52" s="95"/>
      <c r="BY52" s="271"/>
      <c r="CE52" s="93">
        <v>16</v>
      </c>
    </row>
    <row r="53" spans="2:83" ht="129.75" customHeight="1" x14ac:dyDescent="0.25">
      <c r="F53" s="248" t="s">
        <v>687</v>
      </c>
      <c r="G53" s="248"/>
      <c r="H53" s="257" t="s">
        <v>803</v>
      </c>
      <c r="I53" s="258"/>
      <c r="J53" s="258"/>
      <c r="K53" s="259"/>
      <c r="L53" s="257" t="s">
        <v>804</v>
      </c>
      <c r="M53" s="258"/>
      <c r="N53" s="258"/>
      <c r="O53" s="259"/>
      <c r="P53" s="257" t="s">
        <v>805</v>
      </c>
      <c r="Q53" s="258"/>
      <c r="R53" s="258"/>
      <c r="S53" s="259"/>
      <c r="T53" s="257" t="s">
        <v>806</v>
      </c>
      <c r="U53" s="258"/>
      <c r="V53" s="258"/>
      <c r="W53" s="259"/>
      <c r="X53" s="257" t="s">
        <v>807</v>
      </c>
      <c r="Y53" s="258"/>
      <c r="Z53" s="258"/>
      <c r="AA53" s="259"/>
      <c r="AB53" s="260">
        <v>0.6</v>
      </c>
      <c r="AC53" s="258"/>
      <c r="AD53" s="258"/>
      <c r="AE53" s="259"/>
      <c r="AF53" s="257"/>
      <c r="AG53" s="258"/>
      <c r="AH53" s="258"/>
      <c r="AI53" s="259"/>
      <c r="AJ53" s="257"/>
      <c r="AK53" s="258"/>
      <c r="AL53" s="258"/>
      <c r="AM53" s="259"/>
      <c r="AN53" s="257"/>
      <c r="AO53" s="258"/>
      <c r="AP53" s="258"/>
      <c r="AQ53" s="259"/>
      <c r="AR53" s="257"/>
      <c r="AS53" s="258"/>
      <c r="AT53" s="258"/>
      <c r="AU53" s="259"/>
      <c r="AV53" s="257"/>
      <c r="AW53" s="258"/>
      <c r="AX53" s="258"/>
      <c r="AY53" s="259"/>
      <c r="AZ53" s="257"/>
      <c r="BA53" s="258"/>
      <c r="BB53" s="258"/>
      <c r="BC53" s="259"/>
      <c r="BD53" s="257"/>
      <c r="BE53" s="258"/>
      <c r="BF53" s="258"/>
      <c r="BG53" s="259"/>
      <c r="BH53" s="257"/>
      <c r="BI53" s="258"/>
      <c r="BJ53" s="258"/>
      <c r="BK53" s="259"/>
      <c r="BL53" s="257"/>
      <c r="BM53" s="258"/>
      <c r="BN53" s="258"/>
      <c r="BO53" s="259"/>
      <c r="BP53" s="257"/>
      <c r="BQ53" s="258"/>
      <c r="BR53" s="258"/>
      <c r="BS53" s="259"/>
    </row>
    <row r="54" spans="2:83" s="96" customFormat="1" ht="18.75" customHeight="1" x14ac:dyDescent="0.15">
      <c r="F54" s="253" t="s">
        <v>688</v>
      </c>
      <c r="G54" s="253"/>
      <c r="H54" s="254">
        <f>IF(COUNTIF(H37:H52,"●"),9,IF(COUNTIF(H37:H52,"○"),3,IF(COUNTIF(H37:H52,"▽"),1,"")))</f>
        <v>9</v>
      </c>
      <c r="I54" s="255"/>
      <c r="J54" s="255"/>
      <c r="K54" s="256"/>
      <c r="L54" s="254">
        <f>IF(COUNTIF(L37:L52,"●"),9,IF(COUNTIF(L37:L52,"○"),3,IF(COUNTIF(L37:L52,"▽"),1,"")))</f>
        <v>9</v>
      </c>
      <c r="M54" s="255"/>
      <c r="N54" s="255"/>
      <c r="O54" s="256"/>
      <c r="P54" s="254">
        <f>IF(COUNTIF(P37:P52,"●"),9,IF(COUNTIF(P37:P52,"○"),3,IF(COUNTIF(P37:P52,"▽"),1,"")))</f>
        <v>3</v>
      </c>
      <c r="Q54" s="255"/>
      <c r="R54" s="255"/>
      <c r="S54" s="256"/>
      <c r="T54" s="254">
        <f>IF(COUNTIF(T37:T52,"●"),9,IF(COUNTIF(T37:T52,"○"),3,IF(COUNTIF(T37:T52,"▽"),1,"")))</f>
        <v>9</v>
      </c>
      <c r="U54" s="255"/>
      <c r="V54" s="255"/>
      <c r="W54" s="256"/>
      <c r="X54" s="254">
        <f>IF(COUNTIF(X37:X52,"●"),9,IF(COUNTIF(X37:X52,"○"),3,IF(COUNTIF(X37:X52,"▽"),1,"")))</f>
        <v>9</v>
      </c>
      <c r="Y54" s="255"/>
      <c r="Z54" s="255"/>
      <c r="AA54" s="256"/>
      <c r="AB54" s="254">
        <f>IF(COUNTIF(AB37:AB52,"●"),9,IF(COUNTIF(AB37:AB52,"○"),3,IF(COUNTIF(AB37:AB52,"▽"),1,"")))</f>
        <v>9</v>
      </c>
      <c r="AC54" s="255"/>
      <c r="AD54" s="255"/>
      <c r="AE54" s="256"/>
      <c r="AF54" s="254" t="str">
        <f>IF(COUNTIF(AF37:AF52,"●"),9,IF(COUNTIF(AF37:AF52,"○"),3,IF(COUNTIF(AF37:AF52,"▽"),1,"")))</f>
        <v/>
      </c>
      <c r="AG54" s="255"/>
      <c r="AH54" s="255"/>
      <c r="AI54" s="256"/>
      <c r="AJ54" s="254" t="str">
        <f>IF(COUNTIF(AJ37:AJ52,"●"),9,IF(COUNTIF(AJ37:AJ52,"○"),3,IF(COUNTIF(AJ37:AJ52,"▽"),1,"")))</f>
        <v/>
      </c>
      <c r="AK54" s="255"/>
      <c r="AL54" s="255"/>
      <c r="AM54" s="256"/>
      <c r="AN54" s="254" t="str">
        <f>IF(COUNTIF(AN37:AN52,"●"),9,IF(COUNTIF(AN37:AN52,"○"),3,IF(COUNTIF(AN37:AN52,"▽"),1,"")))</f>
        <v/>
      </c>
      <c r="AO54" s="255"/>
      <c r="AP54" s="255"/>
      <c r="AQ54" s="256"/>
      <c r="AR54" s="254" t="str">
        <f>IF(COUNTIF(AR37:AR52,"●"),9,IF(COUNTIF(AR37:AR52,"○"),3,IF(COUNTIF(AR37:AR52,"▽"),1,"")))</f>
        <v/>
      </c>
      <c r="AS54" s="255"/>
      <c r="AT54" s="255"/>
      <c r="AU54" s="256"/>
      <c r="AV54" s="254" t="str">
        <f>IF(COUNTIF(AV37:AV52,"●"),9,IF(COUNTIF(AV37:AV52,"○"),3,IF(COUNTIF(AV37:AV52,"▽"),1,"")))</f>
        <v/>
      </c>
      <c r="AW54" s="255"/>
      <c r="AX54" s="255"/>
      <c r="AY54" s="256"/>
      <c r="AZ54" s="254" t="str">
        <f>IF(COUNTIF(AZ37:AZ52,"●"),9,IF(COUNTIF(AZ37:AZ52,"○"),3,IF(COUNTIF(AZ37:AZ52,"▽"),1,"")))</f>
        <v/>
      </c>
      <c r="BA54" s="255"/>
      <c r="BB54" s="255"/>
      <c r="BC54" s="256"/>
      <c r="BD54" s="254" t="str">
        <f>IF(COUNTIF(BD37:BD52,"●"),9,IF(COUNTIF(BD37:BD52,"○"),3,IF(COUNTIF(BD37:BD52,"▽"),1,"")))</f>
        <v/>
      </c>
      <c r="BE54" s="255"/>
      <c r="BF54" s="255"/>
      <c r="BG54" s="256"/>
      <c r="BH54" s="254" t="str">
        <f>IF(COUNTIF(BH37:BH52,"●"),9,IF(COUNTIF(BH37:BH52,"○"),3,IF(COUNTIF(BH37:BH52,"▽"),1,"")))</f>
        <v/>
      </c>
      <c r="BI54" s="255"/>
      <c r="BJ54" s="255"/>
      <c r="BK54" s="256"/>
      <c r="BL54" s="254" t="str">
        <f>IF(COUNTIF(BL37:BL52,"●"),9,IF(COUNTIF(BL37:BL52,"○"),3,IF(COUNTIF(BL37:BL52,"▽"),1,"")))</f>
        <v/>
      </c>
      <c r="BM54" s="255"/>
      <c r="BN54" s="255"/>
      <c r="BO54" s="256"/>
      <c r="BP54" s="254" t="str">
        <f>IF(COUNTIF(BP37:BP52,"●"),9,IF(COUNTIF(BP37:BP52,"○"),3,IF(COUNTIF(BP37:BP52,"▽"),1,"")))</f>
        <v/>
      </c>
      <c r="BQ54" s="255"/>
      <c r="BR54" s="255"/>
      <c r="BS54" s="256"/>
    </row>
    <row r="55" spans="2:83" s="96" customFormat="1" ht="18.75" customHeight="1" x14ac:dyDescent="0.15">
      <c r="F55" s="253" t="s">
        <v>689</v>
      </c>
      <c r="G55" s="253"/>
      <c r="H55" s="249">
        <f ca="1">SUM(SUMIF(H37:K52, $D$16, $D37:$D52)*9, SUMIF(H37:K52, $D$18, $D37:$D52)*3, SUMIF(H37:K52, $D$20, $D37:$D52)*1)*100</f>
        <v>324.99999999999994</v>
      </c>
      <c r="I55" s="250"/>
      <c r="J55" s="250"/>
      <c r="K55" s="251"/>
      <c r="L55" s="249">
        <f t="shared" ref="L55" ca="1" si="2">SUM(SUMIF(L37:O52, $D$16, $D37:$D52)*9, SUMIF(L37:O52, $D$18, $D37:$D52)*3, SUMIF(L37:O52, $D$20, $D37:$D52)*1)*100</f>
        <v>324.99999999999994</v>
      </c>
      <c r="M55" s="250"/>
      <c r="N55" s="250"/>
      <c r="O55" s="251"/>
      <c r="P55" s="249">
        <f t="shared" ref="P55" ca="1" si="3">SUM(SUMIF(P37:S52, $D$16, $D37:$D52)*9, SUMIF(P37:S52, $D$18, $D37:$D52)*3, SUMIF(P37:S52, $D$20, $D37:$D52)*1)*100</f>
        <v>109.99999999999999</v>
      </c>
      <c r="Q55" s="250"/>
      <c r="R55" s="250"/>
      <c r="S55" s="251"/>
      <c r="T55" s="249">
        <f t="shared" ref="T55" ca="1" si="4">SUM(SUMIF(T37:W52, $D$16, $D37:$D52)*9, SUMIF(T37:W52, $D$18, $D37:$D52)*3, SUMIF(T37:W52, $D$20, $D37:$D52)*1)*100</f>
        <v>101.66666666666666</v>
      </c>
      <c r="U55" s="250"/>
      <c r="V55" s="250"/>
      <c r="W55" s="251"/>
      <c r="X55" s="249">
        <f t="shared" ref="X55" ca="1" si="5">SUM(SUMIF(X37:AA52, $D$16, $D37:$D52)*9, SUMIF(X37:AA52, $D$18, $D37:$D52)*3, SUMIF(X37:AA52, $D$20, $D37:$D52)*1)*100</f>
        <v>210</v>
      </c>
      <c r="Y55" s="250"/>
      <c r="Z55" s="250"/>
      <c r="AA55" s="251"/>
      <c r="AB55" s="249">
        <f t="shared" ref="AB55" ca="1" si="6">SUM(SUMIF(AB37:AE52, $D$16, $D37:$D52)*9, SUMIF(AB37:AE52, $D$18, $D37:$D52)*3, SUMIF(AB37:AE52, $D$20, $D37:$D52)*1)*100</f>
        <v>273.33333333333331</v>
      </c>
      <c r="AC55" s="250"/>
      <c r="AD55" s="250"/>
      <c r="AE55" s="251"/>
      <c r="AF55" s="249">
        <f t="shared" ref="AF55" ca="1" si="7">SUM(SUMIF(AF37:AI52, $D$16, $D37:$D52)*9, SUMIF(AF37:AI52, $D$18, $D37:$D52)*3, SUMIF(AF37:AI52, $D$20, $D37:$D52)*1)*100</f>
        <v>0</v>
      </c>
      <c r="AG55" s="250"/>
      <c r="AH55" s="250"/>
      <c r="AI55" s="251"/>
      <c r="AJ55" s="249">
        <f t="shared" ref="AJ55" ca="1" si="8">SUM(SUMIF(AJ37:AM52, $D$16, $D37:$D52)*9, SUMIF(AJ37:AM52, $D$18, $D37:$D52)*3, SUMIF(AJ37:AM52, $D$20, $D37:$D52)*1)*100</f>
        <v>0</v>
      </c>
      <c r="AK55" s="250"/>
      <c r="AL55" s="250"/>
      <c r="AM55" s="251"/>
      <c r="AN55" s="249">
        <f t="shared" ref="AN55" ca="1" si="9">SUM(SUMIF(AN37:AQ52, $D$16, $D37:$D52)*9, SUMIF(AN37:AQ52, $D$18, $D37:$D52)*3, SUMIF(AN37:AQ52, $D$20, $D37:$D52)*1)*100</f>
        <v>0</v>
      </c>
      <c r="AO55" s="250"/>
      <c r="AP55" s="250"/>
      <c r="AQ55" s="251"/>
      <c r="AR55" s="249">
        <f t="shared" ref="AR55" ca="1" si="10">SUM(SUMIF(AR37:AU52, $D$16, $D37:$D52)*9, SUMIF(AR37:AU52, $D$18, $D37:$D52)*3, SUMIF(AR37:AU52, $D$20, $D37:$D52)*1)*100</f>
        <v>0</v>
      </c>
      <c r="AS55" s="250"/>
      <c r="AT55" s="250"/>
      <c r="AU55" s="251"/>
      <c r="AV55" s="249">
        <f t="shared" ref="AV55" ca="1" si="11">SUM(SUMIF(AV37:AY52, $D$16, $D37:$D52)*9, SUMIF(AV37:AY52, $D$18, $D37:$D52)*3, SUMIF(AV37:AY52, $D$20, $D37:$D52)*1)*100</f>
        <v>0</v>
      </c>
      <c r="AW55" s="250"/>
      <c r="AX55" s="250"/>
      <c r="AY55" s="251"/>
      <c r="AZ55" s="249">
        <f t="shared" ref="AZ55" ca="1" si="12">SUM(SUMIF(AZ37:BC52, $D$16, $D37:$D52)*9, SUMIF(AZ37:BC52, $D$18, $D37:$D52)*3, SUMIF(AZ37:BC52, $D$20, $D37:$D52)*1)*100</f>
        <v>0</v>
      </c>
      <c r="BA55" s="250"/>
      <c r="BB55" s="250"/>
      <c r="BC55" s="251"/>
      <c r="BD55" s="249">
        <f t="shared" ref="BD55" ca="1" si="13">SUM(SUMIF(BD37:BG52, $D$16, $D37:$D52)*9, SUMIF(BD37:BG52, $D$18, $D37:$D52)*3, SUMIF(BD37:BG52, $D$20, $D37:$D52)*1)*100</f>
        <v>0</v>
      </c>
      <c r="BE55" s="250"/>
      <c r="BF55" s="250"/>
      <c r="BG55" s="251"/>
      <c r="BH55" s="249">
        <f t="shared" ref="BH55" ca="1" si="14">SUM(SUMIF(BH37:BK52, $D$16, $D37:$D52)*9, SUMIF(BH37:BK52, $D$18, $D37:$D52)*3, SUMIF(BH37:BK52, $D$20, $D37:$D52)*1)*100</f>
        <v>0</v>
      </c>
      <c r="BI55" s="250"/>
      <c r="BJ55" s="250"/>
      <c r="BK55" s="251"/>
      <c r="BL55" s="249">
        <f t="shared" ref="BL55" ca="1" si="15">SUM(SUMIF(BL37:BO52, $D$16, $D37:$D52)*9, SUMIF(BL37:BO52, $D$18, $D37:$D52)*3, SUMIF(BL37:BO52, $D$20, $D37:$D52)*1)*100</f>
        <v>0</v>
      </c>
      <c r="BM55" s="250"/>
      <c r="BN55" s="250"/>
      <c r="BO55" s="251"/>
      <c r="BP55" s="249">
        <f t="shared" ref="BP55" ca="1" si="16">SUM(SUMIF(BP37:BS52, $D$16, $D37:$D52)*9, SUMIF(BP37:BS52, $D$18, $D37:$D52)*3, SUMIF(BP37:BS52, $D$20, $D37:$D52)*1)*100</f>
        <v>0</v>
      </c>
      <c r="BQ55" s="250"/>
      <c r="BR55" s="250"/>
      <c r="BS55" s="251"/>
    </row>
    <row r="56" spans="2:83" s="97" customFormat="1" ht="18.75" customHeight="1" x14ac:dyDescent="0.15">
      <c r="F56" s="252" t="s">
        <v>690</v>
      </c>
      <c r="G56" s="252"/>
      <c r="H56" s="242">
        <f ca="1">H55/SUM($H$55:$BS$55)</f>
        <v>0.24163568773234201</v>
      </c>
      <c r="I56" s="243"/>
      <c r="J56" s="243"/>
      <c r="K56" s="244"/>
      <c r="L56" s="242">
        <f t="shared" ref="L56" ca="1" si="17">L55/SUM($H$55:$BS$55)</f>
        <v>0.24163568773234201</v>
      </c>
      <c r="M56" s="243"/>
      <c r="N56" s="243"/>
      <c r="O56" s="244"/>
      <c r="P56" s="242">
        <f t="shared" ref="P56" ca="1" si="18">P55/SUM($H$55:$BS$55)</f>
        <v>8.1784386617100371E-2</v>
      </c>
      <c r="Q56" s="243"/>
      <c r="R56" s="243"/>
      <c r="S56" s="244"/>
      <c r="T56" s="242">
        <f t="shared" ref="T56" ca="1" si="19">T55/SUM($H$55:$BS$55)</f>
        <v>7.5588599752168528E-2</v>
      </c>
      <c r="U56" s="243"/>
      <c r="V56" s="243"/>
      <c r="W56" s="244"/>
      <c r="X56" s="242">
        <f t="shared" ref="X56" ca="1" si="20">X55/SUM($H$55:$BS$55)</f>
        <v>0.15613382899628256</v>
      </c>
      <c r="Y56" s="243"/>
      <c r="Z56" s="243"/>
      <c r="AA56" s="244"/>
      <c r="AB56" s="242">
        <f t="shared" ref="AB56" ca="1" si="21">AB55/SUM($H$55:$BS$55)</f>
        <v>0.20322180916976457</v>
      </c>
      <c r="AC56" s="243"/>
      <c r="AD56" s="243"/>
      <c r="AE56" s="244"/>
      <c r="AF56" s="242">
        <f t="shared" ref="AF56" ca="1" si="22">AF55/SUM($H$55:$BS$55)</f>
        <v>0</v>
      </c>
      <c r="AG56" s="243"/>
      <c r="AH56" s="243"/>
      <c r="AI56" s="244"/>
      <c r="AJ56" s="242">
        <f t="shared" ref="AJ56" ca="1" si="23">AJ55/SUM($H$55:$BS$55)</f>
        <v>0</v>
      </c>
      <c r="AK56" s="243"/>
      <c r="AL56" s="243"/>
      <c r="AM56" s="244"/>
      <c r="AN56" s="242">
        <f t="shared" ref="AN56" ca="1" si="24">AN55/SUM($H$55:$BS$55)</f>
        <v>0</v>
      </c>
      <c r="AO56" s="243"/>
      <c r="AP56" s="243"/>
      <c r="AQ56" s="244"/>
      <c r="AR56" s="242">
        <f t="shared" ref="AR56" ca="1" si="25">AR55/SUM($H$55:$BS$55)</f>
        <v>0</v>
      </c>
      <c r="AS56" s="243"/>
      <c r="AT56" s="243"/>
      <c r="AU56" s="244"/>
      <c r="AV56" s="242">
        <f t="shared" ref="AV56" ca="1" si="26">AV55/SUM($H$55:$BS$55)</f>
        <v>0</v>
      </c>
      <c r="AW56" s="243"/>
      <c r="AX56" s="243"/>
      <c r="AY56" s="244"/>
      <c r="AZ56" s="242">
        <f t="shared" ref="AZ56" ca="1" si="27">AZ55/SUM($H$55:$BS$55)</f>
        <v>0</v>
      </c>
      <c r="BA56" s="243"/>
      <c r="BB56" s="243"/>
      <c r="BC56" s="244"/>
      <c r="BD56" s="242">
        <f t="shared" ref="BD56" ca="1" si="28">BD55/SUM($H$55:$BS$55)</f>
        <v>0</v>
      </c>
      <c r="BE56" s="243"/>
      <c r="BF56" s="243"/>
      <c r="BG56" s="244"/>
      <c r="BH56" s="242">
        <f t="shared" ref="BH56" ca="1" si="29">BH55/SUM($H$55:$BS$55)</f>
        <v>0</v>
      </c>
      <c r="BI56" s="243"/>
      <c r="BJ56" s="243"/>
      <c r="BK56" s="244"/>
      <c r="BL56" s="242">
        <f t="shared" ref="BL56" ca="1" si="30">BL55/SUM($H$55:$BS$55)</f>
        <v>0</v>
      </c>
      <c r="BM56" s="243"/>
      <c r="BN56" s="243"/>
      <c r="BO56" s="244"/>
      <c r="BP56" s="242">
        <f t="shared" ref="BP56" ca="1" si="31">BP55/SUM($H$55:$BS$55)</f>
        <v>0</v>
      </c>
      <c r="BQ56" s="243"/>
      <c r="BR56" s="243"/>
      <c r="BS56" s="244"/>
    </row>
    <row r="57" spans="2:83" ht="75" customHeight="1" x14ac:dyDescent="0.25">
      <c r="F57" s="248" t="s">
        <v>691</v>
      </c>
      <c r="G57" s="248"/>
      <c r="H57" s="245" t="str">
        <f ca="1">REPT("|",(H56*100))</f>
        <v>||||||||||||||||||||||||</v>
      </c>
      <c r="I57" s="246"/>
      <c r="J57" s="246"/>
      <c r="K57" s="247"/>
      <c r="L57" s="245" t="str">
        <f t="shared" ref="L57" ca="1" si="32">REPT("|",(L56*100))</f>
        <v>||||||||||||||||||||||||</v>
      </c>
      <c r="M57" s="246"/>
      <c r="N57" s="246"/>
      <c r="O57" s="247"/>
      <c r="P57" s="245" t="str">
        <f t="shared" ref="P57" ca="1" si="33">REPT("|",(P56*100))</f>
        <v>||||||||</v>
      </c>
      <c r="Q57" s="246"/>
      <c r="R57" s="246"/>
      <c r="S57" s="247"/>
      <c r="T57" s="245" t="str">
        <f t="shared" ref="T57" ca="1" si="34">REPT("|",(T56*100))</f>
        <v>|||||||</v>
      </c>
      <c r="U57" s="246"/>
      <c r="V57" s="246"/>
      <c r="W57" s="247"/>
      <c r="X57" s="245" t="str">
        <f t="shared" ref="X57" ca="1" si="35">REPT("|",(X56*100))</f>
        <v>|||||||||||||||</v>
      </c>
      <c r="Y57" s="246"/>
      <c r="Z57" s="246"/>
      <c r="AA57" s="247"/>
      <c r="AB57" s="245" t="str">
        <f t="shared" ref="AB57" ca="1" si="36">REPT("|",(AB56*100))</f>
        <v>||||||||||||||||||||</v>
      </c>
      <c r="AC57" s="246"/>
      <c r="AD57" s="246"/>
      <c r="AE57" s="247"/>
      <c r="AF57" s="245" t="str">
        <f t="shared" ref="AF57" ca="1" si="37">REPT("|",(AF56*100))</f>
        <v/>
      </c>
      <c r="AG57" s="246"/>
      <c r="AH57" s="246"/>
      <c r="AI57" s="247"/>
      <c r="AJ57" s="245" t="str">
        <f t="shared" ref="AJ57" ca="1" si="38">REPT("|",(AJ56*100))</f>
        <v/>
      </c>
      <c r="AK57" s="246"/>
      <c r="AL57" s="246"/>
      <c r="AM57" s="247"/>
      <c r="AN57" s="245" t="str">
        <f t="shared" ref="AN57" ca="1" si="39">REPT("|",(AN56*100))</f>
        <v/>
      </c>
      <c r="AO57" s="246"/>
      <c r="AP57" s="246"/>
      <c r="AQ57" s="247"/>
      <c r="AR57" s="245" t="str">
        <f t="shared" ref="AR57" ca="1" si="40">REPT("|",(AR56*100))</f>
        <v/>
      </c>
      <c r="AS57" s="246"/>
      <c r="AT57" s="246"/>
      <c r="AU57" s="247"/>
      <c r="AV57" s="245" t="str">
        <f t="shared" ref="AV57" ca="1" si="41">REPT("|",(AV56*100))</f>
        <v/>
      </c>
      <c r="AW57" s="246"/>
      <c r="AX57" s="246"/>
      <c r="AY57" s="247"/>
      <c r="AZ57" s="245" t="str">
        <f t="shared" ref="AZ57" ca="1" si="42">REPT("|",(AZ56*100))</f>
        <v/>
      </c>
      <c r="BA57" s="246"/>
      <c r="BB57" s="246"/>
      <c r="BC57" s="247"/>
      <c r="BD57" s="245" t="str">
        <f t="shared" ref="BD57" ca="1" si="43">REPT("|",(BD56*100))</f>
        <v/>
      </c>
      <c r="BE57" s="246"/>
      <c r="BF57" s="246"/>
      <c r="BG57" s="247"/>
      <c r="BH57" s="245" t="str">
        <f t="shared" ref="BH57" ca="1" si="44">REPT("|",(BH56*100))</f>
        <v/>
      </c>
      <c r="BI57" s="246"/>
      <c r="BJ57" s="246"/>
      <c r="BK57" s="247"/>
      <c r="BL57" s="245" t="str">
        <f t="shared" ref="BL57" ca="1" si="45">REPT("|",(BL56*100))</f>
        <v/>
      </c>
      <c r="BM57" s="246"/>
      <c r="BN57" s="246"/>
      <c r="BO57" s="247"/>
      <c r="BP57" s="245" t="str">
        <f t="shared" ref="BP57" ca="1" si="46">REPT("|",(BP56*100))</f>
        <v/>
      </c>
      <c r="BQ57" s="246"/>
      <c r="BR57" s="246"/>
      <c r="BS57" s="247"/>
    </row>
  </sheetData>
  <mergeCells count="566"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8" priority="1" operator="equal">
      <formula>$D$9</formula>
    </cfRule>
  </conditionalFormatting>
  <conditionalFormatting sqref="H54:BS54 E37:E52">
    <cfRule type="cellIs" dxfId="7" priority="2" operator="between">
      <formula>0</formula>
      <formula>1</formula>
    </cfRule>
  </conditionalFormatting>
  <dataValidations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110" zoomScaleNormal="110" workbookViewId="0">
      <selection activeCell="C2" sqref="C2"/>
    </sheetView>
  </sheetViews>
  <sheetFormatPr baseColWidth="10" defaultColWidth="8.83203125" defaultRowHeight="16" x14ac:dyDescent="0.2"/>
  <cols>
    <col min="2" max="2" width="15.6640625" customWidth="1"/>
    <col min="3" max="3" width="24.33203125" bestFit="1" customWidth="1"/>
    <col min="4" max="7" width="12" customWidth="1"/>
    <col min="11" max="11" width="12.5" customWidth="1"/>
  </cols>
  <sheetData>
    <row r="1" spans="1:11" x14ac:dyDescent="0.2">
      <c r="A1" s="15" t="s">
        <v>170</v>
      </c>
      <c r="B1" s="15" t="s">
        <v>171</v>
      </c>
      <c r="C1" s="15" t="s">
        <v>810</v>
      </c>
      <c r="D1" s="15">
        <v>2021</v>
      </c>
      <c r="E1" s="15">
        <v>2022</v>
      </c>
      <c r="F1" s="15">
        <v>2023</v>
      </c>
      <c r="G1" s="15">
        <v>2024</v>
      </c>
    </row>
    <row r="2" spans="1:11" x14ac:dyDescent="0.2">
      <c r="A2" s="3" t="s">
        <v>507</v>
      </c>
      <c r="B2" s="3" t="s">
        <v>755</v>
      </c>
      <c r="C2" s="170">
        <f>D2</f>
        <v>1945</v>
      </c>
      <c r="D2" s="162">
        <v>1945</v>
      </c>
      <c r="E2" s="162">
        <v>239292</v>
      </c>
      <c r="F2" s="162">
        <v>239292</v>
      </c>
      <c r="G2" s="162">
        <v>199141</v>
      </c>
    </row>
    <row r="3" spans="1:11" x14ac:dyDescent="0.2">
      <c r="A3" s="3" t="s">
        <v>508</v>
      </c>
      <c r="B3" s="3" t="s">
        <v>756</v>
      </c>
      <c r="C3" s="170">
        <f t="shared" ref="C3:C66" si="0">D3</f>
        <v>6134</v>
      </c>
      <c r="D3" s="162">
        <v>6134</v>
      </c>
      <c r="E3" s="162">
        <v>132745</v>
      </c>
      <c r="F3" s="162">
        <v>132745</v>
      </c>
      <c r="G3" s="162">
        <v>239295</v>
      </c>
    </row>
    <row r="4" spans="1:11" x14ac:dyDescent="0.2">
      <c r="A4" s="3" t="s">
        <v>509</v>
      </c>
      <c r="B4" s="3" t="s">
        <v>757</v>
      </c>
      <c r="C4" s="170">
        <f t="shared" si="0"/>
        <v>1425</v>
      </c>
      <c r="D4" s="162">
        <v>1425</v>
      </c>
      <c r="E4" s="162">
        <v>187949</v>
      </c>
      <c r="F4" s="162">
        <v>187949</v>
      </c>
      <c r="G4" s="162">
        <v>288460</v>
      </c>
      <c r="K4" s="169"/>
    </row>
    <row r="5" spans="1:11" x14ac:dyDescent="0.2">
      <c r="A5" s="3" t="s">
        <v>178</v>
      </c>
      <c r="B5" s="3" t="s">
        <v>179</v>
      </c>
      <c r="C5" s="170">
        <f t="shared" si="0"/>
        <v>215425</v>
      </c>
      <c r="D5" s="162">
        <v>215425</v>
      </c>
      <c r="E5" s="162">
        <v>201452</v>
      </c>
      <c r="F5" s="162">
        <v>201452</v>
      </c>
      <c r="G5" s="162">
        <v>283065</v>
      </c>
      <c r="K5" s="168"/>
    </row>
    <row r="6" spans="1:11" x14ac:dyDescent="0.2">
      <c r="A6" s="3" t="s">
        <v>510</v>
      </c>
      <c r="B6" s="3" t="s">
        <v>738</v>
      </c>
      <c r="C6" s="170">
        <f t="shared" si="0"/>
        <v>1612</v>
      </c>
      <c r="D6" s="162">
        <v>1612</v>
      </c>
      <c r="E6" s="162">
        <v>213420</v>
      </c>
      <c r="F6" s="162">
        <v>213420</v>
      </c>
      <c r="G6" s="162">
        <v>164738</v>
      </c>
    </row>
    <row r="7" spans="1:11" x14ac:dyDescent="0.2">
      <c r="A7" s="3" t="s">
        <v>198</v>
      </c>
      <c r="B7" s="3" t="s">
        <v>199</v>
      </c>
      <c r="C7" s="170">
        <f t="shared" si="0"/>
        <v>25689</v>
      </c>
      <c r="D7" s="162">
        <v>25689</v>
      </c>
      <c r="E7" s="162">
        <v>302560</v>
      </c>
      <c r="F7" s="162">
        <v>302560</v>
      </c>
      <c r="G7" s="162">
        <v>165891</v>
      </c>
      <c r="K7" s="38"/>
    </row>
    <row r="8" spans="1:11" x14ac:dyDescent="0.2">
      <c r="A8" s="3" t="s">
        <v>203</v>
      </c>
      <c r="B8" s="3" t="s">
        <v>204</v>
      </c>
      <c r="C8" s="170">
        <f t="shared" si="0"/>
        <v>25639</v>
      </c>
      <c r="D8" s="162">
        <v>25639</v>
      </c>
      <c r="E8" s="162">
        <v>216975</v>
      </c>
      <c r="F8" s="162">
        <v>216975</v>
      </c>
      <c r="G8" s="162">
        <v>232837</v>
      </c>
    </row>
    <row r="9" spans="1:11" x14ac:dyDescent="0.2">
      <c r="A9" s="3" t="s">
        <v>217</v>
      </c>
      <c r="B9" s="3" t="s">
        <v>218</v>
      </c>
      <c r="C9" s="170">
        <f t="shared" si="0"/>
        <v>2154</v>
      </c>
      <c r="D9" s="162">
        <v>2154</v>
      </c>
      <c r="E9" s="162">
        <v>181948</v>
      </c>
      <c r="F9" s="162">
        <v>181948</v>
      </c>
      <c r="G9" s="162">
        <v>253500</v>
      </c>
    </row>
    <row r="10" spans="1:11" x14ac:dyDescent="0.2">
      <c r="A10" s="3" t="s">
        <v>511</v>
      </c>
      <c r="B10" s="3" t="s">
        <v>739</v>
      </c>
      <c r="C10" s="170">
        <f t="shared" si="0"/>
        <v>4765</v>
      </c>
      <c r="D10" s="162">
        <v>4765</v>
      </c>
      <c r="E10" s="162">
        <v>120606</v>
      </c>
      <c r="F10" s="162">
        <v>120606</v>
      </c>
      <c r="G10" s="162">
        <v>190771</v>
      </c>
    </row>
    <row r="11" spans="1:11" x14ac:dyDescent="0.2">
      <c r="A11" s="3" t="s">
        <v>176</v>
      </c>
      <c r="B11" s="3" t="s">
        <v>177</v>
      </c>
      <c r="C11" s="170">
        <f t="shared" si="0"/>
        <v>250356</v>
      </c>
      <c r="D11" s="162">
        <v>250356</v>
      </c>
      <c r="E11" s="162">
        <v>213426</v>
      </c>
      <c r="F11" s="162">
        <v>213426</v>
      </c>
      <c r="G11" s="162">
        <v>195040</v>
      </c>
    </row>
    <row r="12" spans="1:11" x14ac:dyDescent="0.2">
      <c r="A12" s="3" t="s">
        <v>512</v>
      </c>
      <c r="B12" s="3" t="s">
        <v>740</v>
      </c>
      <c r="C12" s="170">
        <f t="shared" si="0"/>
        <v>6491</v>
      </c>
      <c r="D12" s="162">
        <v>6491</v>
      </c>
      <c r="E12" s="162">
        <v>167040</v>
      </c>
      <c r="F12" s="162">
        <v>167040</v>
      </c>
      <c r="G12" s="162">
        <v>220695</v>
      </c>
    </row>
    <row r="13" spans="1:11" x14ac:dyDescent="0.2">
      <c r="A13" s="3" t="s">
        <v>190</v>
      </c>
      <c r="B13" s="3" t="s">
        <v>191</v>
      </c>
      <c r="C13" s="170">
        <f t="shared" si="0"/>
        <v>50689</v>
      </c>
      <c r="D13" s="162">
        <v>50689</v>
      </c>
      <c r="E13" s="162">
        <v>232792</v>
      </c>
      <c r="F13" s="162">
        <v>312792</v>
      </c>
      <c r="G13" s="162">
        <v>186192</v>
      </c>
    </row>
    <row r="14" spans="1:11" x14ac:dyDescent="0.2">
      <c r="A14" s="3" t="s">
        <v>513</v>
      </c>
      <c r="B14" s="3" t="s">
        <v>741</v>
      </c>
      <c r="C14" s="170">
        <f t="shared" si="0"/>
        <v>1987</v>
      </c>
      <c r="D14" s="162">
        <v>1987</v>
      </c>
      <c r="E14" s="162">
        <v>126137</v>
      </c>
      <c r="F14" s="162">
        <v>126137</v>
      </c>
      <c r="G14" s="162">
        <v>268863</v>
      </c>
    </row>
    <row r="15" spans="1:11" x14ac:dyDescent="0.2">
      <c r="A15" s="3" t="s">
        <v>514</v>
      </c>
      <c r="B15" s="3" t="s">
        <v>742</v>
      </c>
      <c r="C15" s="170">
        <f t="shared" si="0"/>
        <v>1413</v>
      </c>
      <c r="D15" s="162">
        <v>1413</v>
      </c>
      <c r="E15" s="162">
        <v>200524</v>
      </c>
      <c r="F15" s="162">
        <v>200524</v>
      </c>
      <c r="G15" s="162">
        <v>264057</v>
      </c>
    </row>
    <row r="16" spans="1:11" x14ac:dyDescent="0.2">
      <c r="A16" s="3" t="s">
        <v>515</v>
      </c>
      <c r="B16" s="3" t="s">
        <v>743</v>
      </c>
      <c r="C16" s="170">
        <f t="shared" si="0"/>
        <v>2014</v>
      </c>
      <c r="D16" s="162">
        <v>2014</v>
      </c>
      <c r="E16" s="162">
        <v>138784</v>
      </c>
      <c r="F16" s="162">
        <v>138784</v>
      </c>
      <c r="G16" s="162">
        <v>265813</v>
      </c>
    </row>
    <row r="17" spans="1:7" x14ac:dyDescent="0.2">
      <c r="A17" s="3" t="s">
        <v>516</v>
      </c>
      <c r="B17" s="3" t="s">
        <v>745</v>
      </c>
      <c r="C17" s="170">
        <f t="shared" si="0"/>
        <v>5692</v>
      </c>
      <c r="D17" s="162">
        <v>5692</v>
      </c>
      <c r="E17" s="162">
        <v>260167</v>
      </c>
      <c r="F17" s="162">
        <v>260167</v>
      </c>
      <c r="G17" s="162">
        <v>199052</v>
      </c>
    </row>
    <row r="18" spans="1:7" x14ac:dyDescent="0.2">
      <c r="A18" s="3" t="s">
        <v>517</v>
      </c>
      <c r="B18" s="3" t="s">
        <v>744</v>
      </c>
      <c r="C18" s="170">
        <f t="shared" si="0"/>
        <v>1498</v>
      </c>
      <c r="D18" s="162">
        <v>1498</v>
      </c>
      <c r="E18" s="162">
        <v>241365</v>
      </c>
      <c r="F18" s="162">
        <v>241365</v>
      </c>
      <c r="G18" s="162">
        <v>165090</v>
      </c>
    </row>
    <row r="19" spans="1:7" x14ac:dyDescent="0.2">
      <c r="A19" s="3" t="s">
        <v>518</v>
      </c>
      <c r="B19" s="3" t="s">
        <v>746</v>
      </c>
      <c r="C19" s="170">
        <f t="shared" si="0"/>
        <v>1524</v>
      </c>
      <c r="D19" s="162">
        <v>1524</v>
      </c>
      <c r="E19" s="162">
        <v>209630</v>
      </c>
      <c r="F19" s="162">
        <v>209630</v>
      </c>
      <c r="G19" s="162">
        <v>205426</v>
      </c>
    </row>
    <row r="20" spans="1:7" x14ac:dyDescent="0.2">
      <c r="A20" s="3" t="s">
        <v>519</v>
      </c>
      <c r="B20" s="3" t="s">
        <v>747</v>
      </c>
      <c r="C20" s="170">
        <f t="shared" si="0"/>
        <v>1750</v>
      </c>
      <c r="D20" s="162">
        <v>1750</v>
      </c>
      <c r="E20" s="162">
        <v>213654</v>
      </c>
      <c r="F20" s="162">
        <v>213654</v>
      </c>
      <c r="G20" s="162">
        <v>292527</v>
      </c>
    </row>
    <row r="21" spans="1:7" x14ac:dyDescent="0.2">
      <c r="A21" s="3" t="s">
        <v>520</v>
      </c>
      <c r="B21" s="3" t="s">
        <v>748</v>
      </c>
      <c r="C21" s="170">
        <f t="shared" si="0"/>
        <v>1348</v>
      </c>
      <c r="D21" s="162">
        <v>1348</v>
      </c>
      <c r="E21" s="162">
        <v>259751</v>
      </c>
      <c r="F21" s="162">
        <v>259751</v>
      </c>
      <c r="G21" s="162">
        <v>201365</v>
      </c>
    </row>
    <row r="22" spans="1:7" x14ac:dyDescent="0.2">
      <c r="A22" s="3" t="s">
        <v>521</v>
      </c>
      <c r="B22" s="3" t="s">
        <v>749</v>
      </c>
      <c r="C22" s="170">
        <f t="shared" si="0"/>
        <v>6903</v>
      </c>
      <c r="D22" s="162">
        <v>6903</v>
      </c>
      <c r="E22" s="162">
        <v>277450</v>
      </c>
      <c r="F22" s="162">
        <v>277450</v>
      </c>
      <c r="G22" s="162">
        <v>192177</v>
      </c>
    </row>
    <row r="23" spans="1:7" x14ac:dyDescent="0.2">
      <c r="A23" s="3" t="s">
        <v>522</v>
      </c>
      <c r="B23" s="3" t="s">
        <v>750</v>
      </c>
      <c r="C23" s="170">
        <f t="shared" si="0"/>
        <v>1631</v>
      </c>
      <c r="D23" s="162">
        <v>1631</v>
      </c>
      <c r="E23" s="162">
        <v>180094</v>
      </c>
      <c r="F23" s="162">
        <v>180094</v>
      </c>
      <c r="G23" s="162">
        <v>281770</v>
      </c>
    </row>
    <row r="24" spans="1:7" x14ac:dyDescent="0.2">
      <c r="A24" s="3" t="s">
        <v>523</v>
      </c>
      <c r="B24" s="3" t="s">
        <v>751</v>
      </c>
      <c r="C24" s="170">
        <f t="shared" si="0"/>
        <v>4177</v>
      </c>
      <c r="D24" s="162">
        <v>4177</v>
      </c>
      <c r="E24" s="162">
        <v>145240</v>
      </c>
      <c r="F24" s="162">
        <v>145240</v>
      </c>
      <c r="G24" s="162">
        <v>185281</v>
      </c>
    </row>
    <row r="25" spans="1:7" x14ac:dyDescent="0.2">
      <c r="A25" s="3" t="s">
        <v>524</v>
      </c>
      <c r="B25" s="3" t="s">
        <v>752</v>
      </c>
      <c r="C25" s="170">
        <f t="shared" si="0"/>
        <v>2821</v>
      </c>
      <c r="D25" s="162">
        <v>2821</v>
      </c>
      <c r="E25" s="162">
        <v>312405</v>
      </c>
      <c r="F25" s="162">
        <v>312405</v>
      </c>
      <c r="G25" s="162">
        <v>207543</v>
      </c>
    </row>
    <row r="26" spans="1:7" x14ac:dyDescent="0.2">
      <c r="A26" s="3" t="s">
        <v>525</v>
      </c>
      <c r="B26" s="3" t="s">
        <v>753</v>
      </c>
      <c r="C26" s="170">
        <f t="shared" si="0"/>
        <v>12224</v>
      </c>
      <c r="D26" s="162">
        <v>12224</v>
      </c>
      <c r="E26" s="162">
        <v>119920</v>
      </c>
      <c r="F26" s="162">
        <v>119920</v>
      </c>
      <c r="G26" s="162">
        <v>205706</v>
      </c>
    </row>
    <row r="27" spans="1:7" x14ac:dyDescent="0.2">
      <c r="A27" s="3" t="s">
        <v>526</v>
      </c>
      <c r="B27" s="3" t="s">
        <v>754</v>
      </c>
      <c r="C27" s="170">
        <f t="shared" si="0"/>
        <v>1533</v>
      </c>
      <c r="D27" s="162">
        <v>1533</v>
      </c>
      <c r="E27" s="162">
        <v>272602</v>
      </c>
      <c r="F27" s="162">
        <v>272602</v>
      </c>
      <c r="G27" s="162">
        <v>298426</v>
      </c>
    </row>
    <row r="28" spans="1:7" x14ac:dyDescent="0.2">
      <c r="A28" s="3" t="s">
        <v>527</v>
      </c>
      <c r="B28" s="3" t="s">
        <v>758</v>
      </c>
      <c r="C28" s="170">
        <f t="shared" si="0"/>
        <v>245</v>
      </c>
      <c r="D28" s="162">
        <v>245</v>
      </c>
      <c r="E28" s="162">
        <v>142650</v>
      </c>
      <c r="F28" s="162">
        <v>358650</v>
      </c>
      <c r="G28" s="162">
        <v>195093</v>
      </c>
    </row>
    <row r="29" spans="1:7" x14ac:dyDescent="0.2">
      <c r="A29" s="3" t="s">
        <v>528</v>
      </c>
      <c r="B29" s="3" t="s">
        <v>759</v>
      </c>
      <c r="C29" s="170">
        <f t="shared" si="0"/>
        <v>2156</v>
      </c>
      <c r="D29" s="162">
        <v>2156</v>
      </c>
      <c r="E29" s="162">
        <v>159544</v>
      </c>
      <c r="F29" s="162">
        <v>159544</v>
      </c>
      <c r="G29" s="162">
        <v>256540</v>
      </c>
    </row>
    <row r="30" spans="1:7" x14ac:dyDescent="0.2">
      <c r="A30" s="3" t="s">
        <v>529</v>
      </c>
      <c r="B30" s="3" t="s">
        <v>760</v>
      </c>
      <c r="C30" s="170">
        <f t="shared" si="0"/>
        <v>3562</v>
      </c>
      <c r="D30" s="162">
        <v>3562</v>
      </c>
      <c r="E30" s="162">
        <v>131644</v>
      </c>
      <c r="F30" s="162">
        <v>131644</v>
      </c>
      <c r="G30" s="162">
        <v>214533</v>
      </c>
    </row>
    <row r="31" spans="1:7" x14ac:dyDescent="0.2">
      <c r="A31" s="3" t="s">
        <v>530</v>
      </c>
      <c r="B31" s="3" t="s">
        <v>761</v>
      </c>
      <c r="C31" s="170">
        <f t="shared" si="0"/>
        <v>1554</v>
      </c>
      <c r="D31" s="162">
        <v>1554</v>
      </c>
      <c r="E31" s="162">
        <v>216547</v>
      </c>
      <c r="F31" s="162">
        <v>216547</v>
      </c>
      <c r="G31" s="162">
        <v>203470</v>
      </c>
    </row>
    <row r="32" spans="1:7" x14ac:dyDescent="0.2">
      <c r="A32" s="3" t="s">
        <v>531</v>
      </c>
      <c r="B32" s="3" t="s">
        <v>762</v>
      </c>
      <c r="C32" s="170">
        <f t="shared" si="0"/>
        <v>12036</v>
      </c>
      <c r="D32" s="162">
        <v>12036</v>
      </c>
      <c r="E32" s="162">
        <v>236541</v>
      </c>
      <c r="F32" s="162">
        <v>236541</v>
      </c>
      <c r="G32" s="162">
        <v>174168</v>
      </c>
    </row>
    <row r="33" spans="1:7" x14ac:dyDescent="0.2">
      <c r="A33" s="3" t="s">
        <v>532</v>
      </c>
      <c r="B33" s="3" t="s">
        <v>763</v>
      </c>
      <c r="C33" s="170">
        <f t="shared" si="0"/>
        <v>3735</v>
      </c>
      <c r="D33" s="162">
        <v>3735</v>
      </c>
      <c r="E33" s="162">
        <v>105963</v>
      </c>
      <c r="F33" s="162">
        <v>105963</v>
      </c>
      <c r="G33" s="162">
        <v>248647</v>
      </c>
    </row>
    <row r="34" spans="1:7" x14ac:dyDescent="0.2">
      <c r="A34" s="3" t="s">
        <v>533</v>
      </c>
      <c r="B34" s="3" t="s">
        <v>764</v>
      </c>
      <c r="C34" s="170">
        <f t="shared" si="0"/>
        <v>10356</v>
      </c>
      <c r="D34" s="162">
        <v>10356</v>
      </c>
      <c r="E34" s="162">
        <v>171667</v>
      </c>
      <c r="F34" s="162">
        <v>171667</v>
      </c>
      <c r="G34" s="162">
        <v>241613</v>
      </c>
    </row>
    <row r="35" spans="1:7" x14ac:dyDescent="0.2">
      <c r="A35" s="3" t="s">
        <v>534</v>
      </c>
      <c r="B35" s="3" t="s">
        <v>765</v>
      </c>
      <c r="C35" s="170">
        <f t="shared" si="0"/>
        <v>10254</v>
      </c>
      <c r="D35" s="162">
        <v>10254</v>
      </c>
      <c r="E35" s="162">
        <v>274120</v>
      </c>
      <c r="F35" s="162">
        <v>274120</v>
      </c>
      <c r="G35" s="162">
        <v>246912</v>
      </c>
    </row>
    <row r="36" spans="1:7" x14ac:dyDescent="0.2">
      <c r="A36" s="3" t="s">
        <v>535</v>
      </c>
      <c r="B36" s="3" t="s">
        <v>766</v>
      </c>
      <c r="C36" s="170">
        <f t="shared" si="0"/>
        <v>3076</v>
      </c>
      <c r="D36" s="162">
        <v>3076</v>
      </c>
      <c r="E36" s="162">
        <v>121557</v>
      </c>
      <c r="F36" s="162">
        <v>121557</v>
      </c>
      <c r="G36" s="162">
        <v>193932</v>
      </c>
    </row>
    <row r="37" spans="1:7" x14ac:dyDescent="0.2">
      <c r="A37" s="3" t="s">
        <v>536</v>
      </c>
      <c r="B37" s="3" t="s">
        <v>767</v>
      </c>
      <c r="C37" s="170">
        <f t="shared" si="0"/>
        <v>1637</v>
      </c>
      <c r="D37" s="162">
        <v>1637</v>
      </c>
      <c r="E37" s="162">
        <v>268727</v>
      </c>
      <c r="F37" s="162">
        <v>268727</v>
      </c>
      <c r="G37" s="162">
        <v>293195</v>
      </c>
    </row>
    <row r="38" spans="1:7" x14ac:dyDescent="0.2">
      <c r="A38" s="3" t="s">
        <v>180</v>
      </c>
      <c r="B38" s="3" t="s">
        <v>181</v>
      </c>
      <c r="C38" s="170">
        <f t="shared" si="0"/>
        <v>125036</v>
      </c>
      <c r="D38" s="162">
        <v>125036</v>
      </c>
      <c r="E38" s="162">
        <v>252854</v>
      </c>
      <c r="F38" s="162">
        <v>252854</v>
      </c>
      <c r="G38" s="162">
        <v>279399</v>
      </c>
    </row>
    <row r="39" spans="1:7" x14ac:dyDescent="0.2">
      <c r="A39" s="3" t="s">
        <v>537</v>
      </c>
      <c r="B39" s="3" t="s">
        <v>735</v>
      </c>
      <c r="C39" s="170">
        <f t="shared" si="0"/>
        <v>2154</v>
      </c>
      <c r="D39" s="162">
        <v>2154</v>
      </c>
      <c r="E39" s="162">
        <v>131271</v>
      </c>
      <c r="F39" s="162">
        <v>331271</v>
      </c>
      <c r="G39" s="162">
        <v>277326</v>
      </c>
    </row>
    <row r="40" spans="1:7" x14ac:dyDescent="0.2">
      <c r="A40" s="3" t="s">
        <v>538</v>
      </c>
      <c r="B40" s="3" t="s">
        <v>736</v>
      </c>
      <c r="C40" s="170">
        <f t="shared" si="0"/>
        <v>8070</v>
      </c>
      <c r="D40" s="162">
        <v>8070</v>
      </c>
      <c r="E40" s="162">
        <v>195411</v>
      </c>
      <c r="F40" s="162">
        <v>195411</v>
      </c>
      <c r="G40" s="162">
        <v>191709</v>
      </c>
    </row>
    <row r="41" spans="1:7" x14ac:dyDescent="0.2">
      <c r="A41" s="3" t="s">
        <v>539</v>
      </c>
      <c r="B41" s="3" t="s">
        <v>737</v>
      </c>
      <c r="C41" s="170">
        <f t="shared" si="0"/>
        <v>2342</v>
      </c>
      <c r="D41" s="162">
        <v>2342</v>
      </c>
      <c r="E41" s="162">
        <v>290451</v>
      </c>
      <c r="F41" s="162">
        <v>290451</v>
      </c>
      <c r="G41" s="162">
        <v>187443</v>
      </c>
    </row>
    <row r="42" spans="1:7" x14ac:dyDescent="0.2">
      <c r="A42" s="3" t="s">
        <v>215</v>
      </c>
      <c r="B42" s="3" t="s">
        <v>216</v>
      </c>
      <c r="C42" s="170">
        <f t="shared" si="0"/>
        <v>2156</v>
      </c>
      <c r="D42" s="162">
        <v>2156</v>
      </c>
      <c r="E42" s="162">
        <v>111930</v>
      </c>
      <c r="F42" s="162">
        <v>111930</v>
      </c>
      <c r="G42" s="162">
        <v>190564</v>
      </c>
    </row>
    <row r="43" spans="1:7" x14ac:dyDescent="0.2">
      <c r="A43" s="3" t="s">
        <v>540</v>
      </c>
      <c r="B43" s="3" t="s">
        <v>710</v>
      </c>
      <c r="C43" s="170">
        <f t="shared" si="0"/>
        <v>2226</v>
      </c>
      <c r="D43" s="162">
        <v>2226</v>
      </c>
      <c r="E43" s="162">
        <v>321526</v>
      </c>
      <c r="F43" s="162">
        <v>321526</v>
      </c>
      <c r="G43" s="162">
        <v>196496</v>
      </c>
    </row>
    <row r="44" spans="1:7" x14ac:dyDescent="0.2">
      <c r="A44" s="3" t="s">
        <v>211</v>
      </c>
      <c r="B44" s="3" t="s">
        <v>212</v>
      </c>
      <c r="C44" s="170">
        <f t="shared" si="0"/>
        <v>2454</v>
      </c>
      <c r="D44" s="162">
        <v>2454</v>
      </c>
      <c r="E44" s="162">
        <v>138527</v>
      </c>
      <c r="F44" s="162">
        <v>138527</v>
      </c>
      <c r="G44" s="162">
        <v>251547</v>
      </c>
    </row>
    <row r="45" spans="1:7" x14ac:dyDescent="0.2">
      <c r="A45" s="3" t="s">
        <v>207</v>
      </c>
      <c r="B45" s="3" t="s">
        <v>208</v>
      </c>
      <c r="C45" s="170">
        <f t="shared" si="0"/>
        <v>2458</v>
      </c>
      <c r="D45" s="162">
        <v>2458</v>
      </c>
      <c r="E45" s="162">
        <v>368952</v>
      </c>
      <c r="F45" s="162">
        <v>368952</v>
      </c>
      <c r="G45" s="162">
        <v>240263</v>
      </c>
    </row>
    <row r="46" spans="1:7" x14ac:dyDescent="0.2">
      <c r="A46" s="3" t="s">
        <v>541</v>
      </c>
      <c r="B46" s="3" t="s">
        <v>728</v>
      </c>
      <c r="C46" s="170">
        <f t="shared" si="0"/>
        <v>8750</v>
      </c>
      <c r="D46" s="162">
        <v>8750</v>
      </c>
      <c r="E46" s="162">
        <v>157307</v>
      </c>
      <c r="F46" s="162">
        <v>157307</v>
      </c>
      <c r="G46" s="162">
        <v>216743</v>
      </c>
    </row>
    <row r="47" spans="1:7" x14ac:dyDescent="0.2">
      <c r="A47" s="3" t="s">
        <v>542</v>
      </c>
      <c r="B47" s="3" t="s">
        <v>729</v>
      </c>
      <c r="C47" s="170">
        <f t="shared" si="0"/>
        <v>3450</v>
      </c>
      <c r="D47" s="162">
        <v>3450</v>
      </c>
      <c r="E47" s="162">
        <v>103297</v>
      </c>
      <c r="F47" s="162">
        <v>103297</v>
      </c>
      <c r="G47" s="162">
        <v>262457</v>
      </c>
    </row>
    <row r="48" spans="1:7" x14ac:dyDescent="0.2">
      <c r="A48" s="3" t="s">
        <v>543</v>
      </c>
      <c r="B48" s="3" t="s">
        <v>730</v>
      </c>
      <c r="C48" s="170">
        <f t="shared" si="0"/>
        <v>4730</v>
      </c>
      <c r="D48" s="162">
        <v>4730</v>
      </c>
      <c r="E48" s="162">
        <v>114514</v>
      </c>
      <c r="F48" s="162">
        <v>114514</v>
      </c>
      <c r="G48" s="162">
        <v>165399</v>
      </c>
    </row>
    <row r="49" spans="1:7" x14ac:dyDescent="0.2">
      <c r="A49" s="3" t="s">
        <v>544</v>
      </c>
      <c r="B49" s="3" t="s">
        <v>731</v>
      </c>
      <c r="C49" s="170">
        <f t="shared" si="0"/>
        <v>8230</v>
      </c>
      <c r="D49" s="162">
        <v>8230</v>
      </c>
      <c r="E49" s="162">
        <v>157808</v>
      </c>
      <c r="F49" s="162">
        <v>157808</v>
      </c>
      <c r="G49" s="162">
        <v>195478</v>
      </c>
    </row>
    <row r="50" spans="1:7" x14ac:dyDescent="0.2">
      <c r="A50" s="3" t="s">
        <v>545</v>
      </c>
      <c r="B50" s="3" t="s">
        <v>732</v>
      </c>
      <c r="C50" s="170">
        <f t="shared" si="0"/>
        <v>7065</v>
      </c>
      <c r="D50" s="162">
        <v>7065</v>
      </c>
      <c r="E50" s="162">
        <v>197813</v>
      </c>
      <c r="F50" s="162">
        <v>197813</v>
      </c>
      <c r="G50" s="162">
        <v>243044</v>
      </c>
    </row>
    <row r="51" spans="1:7" x14ac:dyDescent="0.2">
      <c r="A51" s="3" t="s">
        <v>546</v>
      </c>
      <c r="B51" s="3" t="s">
        <v>733</v>
      </c>
      <c r="C51" s="170">
        <f t="shared" si="0"/>
        <v>2456</v>
      </c>
      <c r="D51" s="162">
        <v>2456</v>
      </c>
      <c r="E51" s="162">
        <v>186953</v>
      </c>
      <c r="F51" s="162">
        <v>305695</v>
      </c>
      <c r="G51" s="162">
        <v>209624</v>
      </c>
    </row>
    <row r="52" spans="1:7" x14ac:dyDescent="0.2">
      <c r="A52" s="3" t="s">
        <v>547</v>
      </c>
      <c r="B52" s="3" t="s">
        <v>734</v>
      </c>
      <c r="C52" s="170">
        <f t="shared" si="0"/>
        <v>9246</v>
      </c>
      <c r="D52" s="162">
        <v>9246</v>
      </c>
      <c r="E52" s="162">
        <v>162701</v>
      </c>
      <c r="F52" s="162">
        <v>162701</v>
      </c>
      <c r="G52" s="162">
        <v>230503</v>
      </c>
    </row>
    <row r="53" spans="1:7" x14ac:dyDescent="0.2">
      <c r="A53" s="3" t="s">
        <v>184</v>
      </c>
      <c r="B53" s="3" t="s">
        <v>185</v>
      </c>
      <c r="C53" s="170">
        <f t="shared" si="0"/>
        <v>85612</v>
      </c>
      <c r="D53" s="162">
        <v>85612</v>
      </c>
      <c r="E53" s="162">
        <v>260729</v>
      </c>
      <c r="F53" s="162">
        <v>260729</v>
      </c>
      <c r="G53" s="162">
        <v>181818</v>
      </c>
    </row>
    <row r="54" spans="1:7" x14ac:dyDescent="0.2">
      <c r="A54" s="3" t="s">
        <v>188</v>
      </c>
      <c r="B54" s="3" t="s">
        <v>189</v>
      </c>
      <c r="C54" s="170">
        <f t="shared" si="0"/>
        <v>54682</v>
      </c>
      <c r="D54" s="162">
        <v>54682</v>
      </c>
      <c r="E54" s="162">
        <v>302641</v>
      </c>
      <c r="F54" s="162">
        <v>302641</v>
      </c>
      <c r="G54" s="162">
        <v>230231</v>
      </c>
    </row>
    <row r="55" spans="1:7" x14ac:dyDescent="0.2">
      <c r="A55" s="3" t="s">
        <v>209</v>
      </c>
      <c r="B55" s="3" t="s">
        <v>210</v>
      </c>
      <c r="C55" s="170">
        <f t="shared" si="0"/>
        <v>2456</v>
      </c>
      <c r="D55" s="162">
        <v>2456</v>
      </c>
      <c r="E55" s="162">
        <v>172838</v>
      </c>
      <c r="F55" s="162">
        <v>172838</v>
      </c>
      <c r="G55" s="162">
        <v>220662</v>
      </c>
    </row>
    <row r="56" spans="1:7" x14ac:dyDescent="0.2">
      <c r="A56" s="3" t="s">
        <v>548</v>
      </c>
      <c r="B56" s="3" t="s">
        <v>711</v>
      </c>
      <c r="C56" s="170">
        <f t="shared" si="0"/>
        <v>2559</v>
      </c>
      <c r="D56" s="162">
        <v>2559</v>
      </c>
      <c r="E56" s="162">
        <v>356780</v>
      </c>
      <c r="F56" s="162">
        <v>356780</v>
      </c>
      <c r="G56" s="162">
        <v>246682</v>
      </c>
    </row>
    <row r="57" spans="1:7" x14ac:dyDescent="0.2">
      <c r="A57" s="3" t="s">
        <v>549</v>
      </c>
      <c r="B57" s="3" t="s">
        <v>712</v>
      </c>
      <c r="C57" s="170">
        <f t="shared" si="0"/>
        <v>2547</v>
      </c>
      <c r="D57" s="162">
        <v>2547</v>
      </c>
      <c r="E57" s="162">
        <v>288403</v>
      </c>
      <c r="F57" s="162">
        <v>288403</v>
      </c>
      <c r="G57" s="162">
        <v>232888</v>
      </c>
    </row>
    <row r="58" spans="1:7" x14ac:dyDescent="0.2">
      <c r="A58" s="3" t="s">
        <v>550</v>
      </c>
      <c r="B58" s="3" t="s">
        <v>713</v>
      </c>
      <c r="C58" s="170">
        <f t="shared" si="0"/>
        <v>7654</v>
      </c>
      <c r="D58" s="162">
        <v>7654</v>
      </c>
      <c r="E58" s="162">
        <v>154928</v>
      </c>
      <c r="F58" s="162">
        <v>154928</v>
      </c>
      <c r="G58" s="162">
        <v>211584</v>
      </c>
    </row>
    <row r="59" spans="1:7" x14ac:dyDescent="0.2">
      <c r="A59" s="3" t="s">
        <v>551</v>
      </c>
      <c r="B59" s="3" t="s">
        <v>722</v>
      </c>
      <c r="C59" s="170">
        <f t="shared" si="0"/>
        <v>2549</v>
      </c>
      <c r="D59" s="162">
        <v>2549</v>
      </c>
      <c r="E59" s="162">
        <v>289410</v>
      </c>
      <c r="F59" s="162">
        <v>299410</v>
      </c>
      <c r="G59" s="162">
        <v>161350</v>
      </c>
    </row>
    <row r="60" spans="1:7" x14ac:dyDescent="0.2">
      <c r="A60" s="3" t="s">
        <v>552</v>
      </c>
      <c r="B60" s="3" t="s">
        <v>723</v>
      </c>
      <c r="C60" s="170">
        <f t="shared" si="0"/>
        <v>4084</v>
      </c>
      <c r="D60" s="162">
        <v>4084</v>
      </c>
      <c r="E60" s="162">
        <v>196199</v>
      </c>
      <c r="F60" s="162">
        <v>196199</v>
      </c>
      <c r="G60" s="162">
        <v>162618</v>
      </c>
    </row>
    <row r="61" spans="1:7" x14ac:dyDescent="0.2">
      <c r="A61" s="3" t="s">
        <v>553</v>
      </c>
      <c r="B61" s="3" t="s">
        <v>724</v>
      </c>
      <c r="C61" s="170">
        <f t="shared" si="0"/>
        <v>10038</v>
      </c>
      <c r="D61" s="162">
        <v>10038</v>
      </c>
      <c r="E61" s="162">
        <v>192060</v>
      </c>
      <c r="F61" s="162">
        <v>192060</v>
      </c>
      <c r="G61" s="162">
        <v>212844</v>
      </c>
    </row>
    <row r="62" spans="1:7" x14ac:dyDescent="0.2">
      <c r="A62" s="3" t="s">
        <v>554</v>
      </c>
      <c r="B62" s="3" t="s">
        <v>725</v>
      </c>
      <c r="C62" s="170">
        <f t="shared" si="0"/>
        <v>2525</v>
      </c>
      <c r="D62" s="162">
        <v>2525</v>
      </c>
      <c r="E62" s="162">
        <v>309153</v>
      </c>
      <c r="F62" s="162">
        <v>309153</v>
      </c>
      <c r="G62" s="162">
        <v>242956</v>
      </c>
    </row>
    <row r="63" spans="1:7" x14ac:dyDescent="0.2">
      <c r="A63" s="3" t="s">
        <v>555</v>
      </c>
      <c r="B63" s="3" t="s">
        <v>726</v>
      </c>
      <c r="C63" s="170">
        <f t="shared" si="0"/>
        <v>6003</v>
      </c>
      <c r="D63" s="162">
        <v>6003</v>
      </c>
      <c r="E63" s="162">
        <v>149604</v>
      </c>
      <c r="F63" s="162">
        <v>149604</v>
      </c>
      <c r="G63" s="162">
        <v>163362</v>
      </c>
    </row>
    <row r="64" spans="1:7" x14ac:dyDescent="0.2">
      <c r="A64" s="3" t="s">
        <v>556</v>
      </c>
      <c r="B64" s="3" t="s">
        <v>727</v>
      </c>
      <c r="C64" s="170">
        <f t="shared" si="0"/>
        <v>2189</v>
      </c>
      <c r="D64" s="162">
        <v>2189</v>
      </c>
      <c r="E64" s="162">
        <v>279461</v>
      </c>
      <c r="F64" s="162">
        <v>279461</v>
      </c>
      <c r="G64" s="162">
        <v>184220</v>
      </c>
    </row>
    <row r="65" spans="1:7" x14ac:dyDescent="0.2">
      <c r="A65" s="3" t="s">
        <v>182</v>
      </c>
      <c r="B65" s="3" t="s">
        <v>183</v>
      </c>
      <c r="C65" s="170">
        <f t="shared" si="0"/>
        <v>86542</v>
      </c>
      <c r="D65" s="162">
        <v>86542</v>
      </c>
      <c r="E65" s="162">
        <v>356914</v>
      </c>
      <c r="F65" s="162">
        <v>356914</v>
      </c>
      <c r="G65" s="162">
        <v>215086</v>
      </c>
    </row>
    <row r="66" spans="1:7" x14ac:dyDescent="0.2">
      <c r="A66" s="3" t="s">
        <v>557</v>
      </c>
      <c r="B66" s="3" t="s">
        <v>714</v>
      </c>
      <c r="C66" s="170">
        <f t="shared" si="0"/>
        <v>2458</v>
      </c>
      <c r="D66" s="162">
        <v>2458</v>
      </c>
      <c r="E66" s="162">
        <v>145250</v>
      </c>
      <c r="F66" s="162">
        <v>145250</v>
      </c>
      <c r="G66" s="162">
        <v>221007</v>
      </c>
    </row>
    <row r="67" spans="1:7" x14ac:dyDescent="0.2">
      <c r="A67" s="3" t="s">
        <v>192</v>
      </c>
      <c r="B67" s="3" t="s">
        <v>193</v>
      </c>
      <c r="C67" s="170">
        <f t="shared" ref="C67:C130" si="1">D67</f>
        <v>45896</v>
      </c>
      <c r="D67" s="162">
        <v>45896</v>
      </c>
      <c r="E67" s="162">
        <v>171592</v>
      </c>
      <c r="F67" s="162">
        <v>171592</v>
      </c>
      <c r="G67" s="162">
        <v>226908</v>
      </c>
    </row>
    <row r="68" spans="1:7" x14ac:dyDescent="0.2">
      <c r="A68" s="3" t="s">
        <v>558</v>
      </c>
      <c r="B68" s="3" t="s">
        <v>715</v>
      </c>
      <c r="C68" s="170">
        <f t="shared" si="1"/>
        <v>9748</v>
      </c>
      <c r="D68" s="162">
        <v>9748</v>
      </c>
      <c r="E68" s="162">
        <v>162464</v>
      </c>
      <c r="F68" s="162">
        <v>162464</v>
      </c>
      <c r="G68" s="162">
        <v>182556</v>
      </c>
    </row>
    <row r="69" spans="1:7" x14ac:dyDescent="0.2">
      <c r="A69" s="3" t="s">
        <v>186</v>
      </c>
      <c r="B69" s="3" t="s">
        <v>187</v>
      </c>
      <c r="C69" s="170">
        <f t="shared" si="1"/>
        <v>65248</v>
      </c>
      <c r="D69" s="162">
        <v>65248</v>
      </c>
      <c r="E69" s="162">
        <v>279425</v>
      </c>
      <c r="F69" s="162">
        <v>279425</v>
      </c>
      <c r="G69" s="162">
        <v>251522</v>
      </c>
    </row>
    <row r="70" spans="1:7" x14ac:dyDescent="0.2">
      <c r="A70" s="3" t="s">
        <v>194</v>
      </c>
      <c r="B70" s="3" t="s">
        <v>195</v>
      </c>
      <c r="C70" s="170">
        <f t="shared" si="1"/>
        <v>36524</v>
      </c>
      <c r="D70" s="162">
        <v>36524</v>
      </c>
      <c r="E70" s="162">
        <v>319524</v>
      </c>
      <c r="F70" s="162">
        <v>319524</v>
      </c>
      <c r="G70" s="162">
        <v>210746</v>
      </c>
    </row>
    <row r="71" spans="1:7" x14ac:dyDescent="0.2">
      <c r="A71" s="3" t="s">
        <v>196</v>
      </c>
      <c r="B71" s="3" t="s">
        <v>197</v>
      </c>
      <c r="C71" s="170">
        <f t="shared" si="1"/>
        <v>36502</v>
      </c>
      <c r="D71" s="162">
        <v>36502</v>
      </c>
      <c r="E71" s="162">
        <v>199585</v>
      </c>
      <c r="F71" s="162">
        <v>199585</v>
      </c>
      <c r="G71" s="162">
        <v>166763</v>
      </c>
    </row>
    <row r="72" spans="1:7" x14ac:dyDescent="0.2">
      <c r="A72" s="3" t="s">
        <v>202</v>
      </c>
      <c r="B72" s="3" t="s">
        <v>716</v>
      </c>
      <c r="C72" s="170">
        <f t="shared" si="1"/>
        <v>25649</v>
      </c>
      <c r="D72" s="162">
        <v>25649</v>
      </c>
      <c r="E72" s="162">
        <v>221376</v>
      </c>
      <c r="F72" s="162">
        <v>221376</v>
      </c>
      <c r="G72" s="162">
        <v>169263</v>
      </c>
    </row>
    <row r="73" spans="1:7" x14ac:dyDescent="0.2">
      <c r="A73" s="3" t="s">
        <v>221</v>
      </c>
      <c r="B73" s="3" t="s">
        <v>222</v>
      </c>
      <c r="C73" s="170">
        <f t="shared" si="1"/>
        <v>2154</v>
      </c>
      <c r="D73" s="162">
        <v>2154</v>
      </c>
      <c r="E73" s="162">
        <v>88923</v>
      </c>
      <c r="F73" s="162">
        <v>88923</v>
      </c>
      <c r="G73" s="162">
        <v>88923</v>
      </c>
    </row>
    <row r="74" spans="1:7" x14ac:dyDescent="0.2">
      <c r="A74" s="3" t="s">
        <v>200</v>
      </c>
      <c r="B74" s="3" t="s">
        <v>201</v>
      </c>
      <c r="C74" s="170">
        <f t="shared" si="1"/>
        <v>25689</v>
      </c>
      <c r="D74" s="162">
        <v>25689</v>
      </c>
      <c r="E74" s="162">
        <v>153537</v>
      </c>
      <c r="F74" s="162">
        <v>153537</v>
      </c>
      <c r="G74" s="162">
        <v>289464</v>
      </c>
    </row>
    <row r="75" spans="1:7" x14ac:dyDescent="0.2">
      <c r="A75" s="3" t="s">
        <v>205</v>
      </c>
      <c r="B75" s="3" t="s">
        <v>206</v>
      </c>
      <c r="C75" s="170">
        <f t="shared" si="1"/>
        <v>25468</v>
      </c>
      <c r="D75" s="162">
        <v>25468</v>
      </c>
      <c r="E75" s="162">
        <v>256854</v>
      </c>
      <c r="F75" s="162">
        <v>256854</v>
      </c>
      <c r="G75" s="162">
        <v>220983</v>
      </c>
    </row>
    <row r="76" spans="1:7" x14ac:dyDescent="0.2">
      <c r="A76" s="3" t="s">
        <v>559</v>
      </c>
      <c r="B76" s="3" t="s">
        <v>717</v>
      </c>
      <c r="C76" s="170">
        <f t="shared" si="1"/>
        <v>235</v>
      </c>
      <c r="D76" s="162">
        <v>235</v>
      </c>
      <c r="E76" s="162">
        <v>326984</v>
      </c>
      <c r="F76" s="162">
        <v>326984</v>
      </c>
      <c r="G76" s="162">
        <v>205188</v>
      </c>
    </row>
    <row r="77" spans="1:7" x14ac:dyDescent="0.2">
      <c r="A77" s="3" t="s">
        <v>560</v>
      </c>
      <c r="B77" s="3" t="s">
        <v>718</v>
      </c>
      <c r="C77" s="170">
        <f t="shared" si="1"/>
        <v>941</v>
      </c>
      <c r="D77" s="162">
        <v>941</v>
      </c>
      <c r="E77" s="162">
        <v>156130</v>
      </c>
      <c r="F77" s="162">
        <v>156130</v>
      </c>
      <c r="G77" s="162">
        <v>208976</v>
      </c>
    </row>
    <row r="78" spans="1:7" x14ac:dyDescent="0.2">
      <c r="A78" s="3" t="s">
        <v>561</v>
      </c>
      <c r="B78" s="3" t="s">
        <v>719</v>
      </c>
      <c r="C78" s="170">
        <f t="shared" si="1"/>
        <v>220</v>
      </c>
      <c r="D78" s="162">
        <v>220</v>
      </c>
      <c r="E78" s="162">
        <v>299450</v>
      </c>
      <c r="F78" s="162">
        <v>299450</v>
      </c>
      <c r="G78" s="162">
        <v>165526</v>
      </c>
    </row>
    <row r="79" spans="1:7" x14ac:dyDescent="0.2">
      <c r="A79" s="3" t="s">
        <v>562</v>
      </c>
      <c r="B79" s="3" t="s">
        <v>720</v>
      </c>
      <c r="C79" s="170">
        <f t="shared" si="1"/>
        <v>407</v>
      </c>
      <c r="D79" s="162">
        <v>407</v>
      </c>
      <c r="E79" s="162">
        <v>141964</v>
      </c>
      <c r="F79" s="162">
        <v>141964</v>
      </c>
      <c r="G79" s="162">
        <v>289422</v>
      </c>
    </row>
    <row r="80" spans="1:7" x14ac:dyDescent="0.2">
      <c r="A80" s="3" t="s">
        <v>563</v>
      </c>
      <c r="B80" s="3" t="s">
        <v>721</v>
      </c>
      <c r="C80" s="170">
        <f t="shared" si="1"/>
        <v>771</v>
      </c>
      <c r="D80" s="162">
        <v>771</v>
      </c>
      <c r="E80" s="162">
        <v>128520</v>
      </c>
      <c r="F80" s="162">
        <v>128520</v>
      </c>
      <c r="G80" s="162">
        <v>293326</v>
      </c>
    </row>
    <row r="81" spans="1:7" x14ac:dyDescent="0.2">
      <c r="A81" s="3" t="s">
        <v>213</v>
      </c>
      <c r="B81" s="3" t="s">
        <v>214</v>
      </c>
      <c r="C81" s="170">
        <f t="shared" si="1"/>
        <v>258</v>
      </c>
      <c r="D81" s="162">
        <v>258</v>
      </c>
      <c r="E81" s="162">
        <v>183974</v>
      </c>
      <c r="F81" s="162">
        <v>183974</v>
      </c>
      <c r="G81" s="162">
        <v>208163</v>
      </c>
    </row>
    <row r="82" spans="1:7" x14ac:dyDescent="0.2">
      <c r="A82" s="3" t="s">
        <v>219</v>
      </c>
      <c r="B82" s="3" t="s">
        <v>220</v>
      </c>
      <c r="C82" s="170">
        <f t="shared" si="1"/>
        <v>215</v>
      </c>
      <c r="D82" s="162">
        <v>215</v>
      </c>
      <c r="E82" s="162">
        <v>152674</v>
      </c>
      <c r="F82" s="162">
        <v>152674</v>
      </c>
      <c r="G82" s="162">
        <v>152674</v>
      </c>
    </row>
    <row r="83" spans="1:7" x14ac:dyDescent="0.2">
      <c r="A83" s="3" t="s">
        <v>564</v>
      </c>
      <c r="B83" s="3" t="s">
        <v>709</v>
      </c>
      <c r="C83" s="170">
        <f t="shared" si="1"/>
        <v>69</v>
      </c>
      <c r="D83" s="162">
        <v>69</v>
      </c>
      <c r="E83" s="162">
        <v>131352</v>
      </c>
      <c r="F83" s="162">
        <v>131352</v>
      </c>
      <c r="G83" s="162">
        <v>263302</v>
      </c>
    </row>
    <row r="84" spans="1:7" x14ac:dyDescent="0.2">
      <c r="A84" s="3" t="s">
        <v>223</v>
      </c>
      <c r="B84" s="3" t="s">
        <v>224</v>
      </c>
      <c r="C84" s="170">
        <f t="shared" si="1"/>
        <v>213</v>
      </c>
      <c r="D84" s="162">
        <v>213</v>
      </c>
      <c r="E84" s="162">
        <v>72257</v>
      </c>
      <c r="F84" s="162">
        <v>72257</v>
      </c>
      <c r="G84" s="162">
        <v>72257</v>
      </c>
    </row>
    <row r="85" spans="1:7" x14ac:dyDescent="0.2">
      <c r="A85" s="3" t="s">
        <v>225</v>
      </c>
      <c r="B85" s="3" t="s">
        <v>226</v>
      </c>
      <c r="C85" s="170">
        <f t="shared" si="1"/>
        <v>104</v>
      </c>
      <c r="D85" s="162">
        <v>104</v>
      </c>
      <c r="E85" s="162">
        <v>73439</v>
      </c>
      <c r="F85" s="162">
        <v>73439</v>
      </c>
      <c r="G85" s="162">
        <v>73439</v>
      </c>
    </row>
    <row r="86" spans="1:7" x14ac:dyDescent="0.2">
      <c r="A86" s="3" t="s">
        <v>227</v>
      </c>
      <c r="B86" s="3" t="s">
        <v>228</v>
      </c>
      <c r="C86" s="170">
        <f t="shared" si="1"/>
        <v>668</v>
      </c>
      <c r="D86" s="162">
        <v>668</v>
      </c>
      <c r="E86" s="162">
        <v>40939</v>
      </c>
      <c r="F86" s="162">
        <v>40939</v>
      </c>
      <c r="G86" s="162">
        <v>40939</v>
      </c>
    </row>
    <row r="87" spans="1:7" x14ac:dyDescent="0.2">
      <c r="A87" s="3" t="s">
        <v>229</v>
      </c>
      <c r="B87" s="3" t="s">
        <v>230</v>
      </c>
      <c r="C87" s="170">
        <f t="shared" si="1"/>
        <v>233</v>
      </c>
      <c r="D87" s="162">
        <v>233</v>
      </c>
      <c r="E87" s="162">
        <v>57723</v>
      </c>
      <c r="F87" s="162">
        <v>57723</v>
      </c>
      <c r="G87" s="162">
        <v>57723</v>
      </c>
    </row>
    <row r="88" spans="1:7" x14ac:dyDescent="0.2">
      <c r="A88" s="3" t="s">
        <v>231</v>
      </c>
      <c r="B88" s="3" t="s">
        <v>232</v>
      </c>
      <c r="C88" s="170">
        <f t="shared" si="1"/>
        <v>224</v>
      </c>
      <c r="D88" s="162">
        <v>224</v>
      </c>
      <c r="E88" s="162">
        <v>94108</v>
      </c>
      <c r="F88" s="162">
        <v>94108</v>
      </c>
      <c r="G88" s="162">
        <v>94108</v>
      </c>
    </row>
    <row r="89" spans="1:7" x14ac:dyDescent="0.2">
      <c r="A89" s="3" t="s">
        <v>233</v>
      </c>
      <c r="B89" s="3" t="s">
        <v>234</v>
      </c>
      <c r="C89" s="170">
        <f t="shared" si="1"/>
        <v>213</v>
      </c>
      <c r="D89" s="162">
        <v>213</v>
      </c>
      <c r="E89" s="162">
        <v>76668</v>
      </c>
      <c r="F89" s="162">
        <v>76668</v>
      </c>
      <c r="G89" s="162">
        <v>76668</v>
      </c>
    </row>
    <row r="90" spans="1:7" x14ac:dyDescent="0.2">
      <c r="A90" s="3" t="s">
        <v>235</v>
      </c>
      <c r="B90" s="3" t="s">
        <v>236</v>
      </c>
      <c r="C90" s="170">
        <f t="shared" si="1"/>
        <v>202</v>
      </c>
      <c r="D90" s="162">
        <v>202</v>
      </c>
      <c r="E90" s="162">
        <v>74097</v>
      </c>
      <c r="F90" s="162">
        <v>74097</v>
      </c>
      <c r="G90" s="162">
        <v>74097</v>
      </c>
    </row>
    <row r="91" spans="1:7" x14ac:dyDescent="0.2">
      <c r="A91" s="3" t="s">
        <v>237</v>
      </c>
      <c r="B91" s="3" t="s">
        <v>238</v>
      </c>
      <c r="C91" s="170">
        <f t="shared" si="1"/>
        <v>191</v>
      </c>
      <c r="D91" s="162">
        <v>191</v>
      </c>
      <c r="E91" s="162">
        <v>64765</v>
      </c>
      <c r="F91" s="162">
        <v>64765</v>
      </c>
      <c r="G91" s="162">
        <v>64765</v>
      </c>
    </row>
    <row r="92" spans="1:7" x14ac:dyDescent="0.2">
      <c r="A92" s="3" t="s">
        <v>239</v>
      </c>
      <c r="B92" s="3" t="s">
        <v>240</v>
      </c>
      <c r="C92" s="170">
        <f t="shared" si="1"/>
        <v>180</v>
      </c>
      <c r="D92" s="162">
        <v>180</v>
      </c>
      <c r="E92" s="162">
        <v>35588</v>
      </c>
      <c r="F92" s="162">
        <v>35588</v>
      </c>
      <c r="G92" s="162">
        <v>35588</v>
      </c>
    </row>
    <row r="93" spans="1:7" x14ac:dyDescent="0.2">
      <c r="A93" s="3" t="s">
        <v>241</v>
      </c>
      <c r="B93" s="3" t="s">
        <v>242</v>
      </c>
      <c r="C93" s="170">
        <f t="shared" si="1"/>
        <v>169</v>
      </c>
      <c r="D93" s="162">
        <v>169</v>
      </c>
      <c r="E93" s="162">
        <v>68357</v>
      </c>
      <c r="F93" s="162">
        <v>68357</v>
      </c>
      <c r="G93" s="162">
        <v>68357</v>
      </c>
    </row>
    <row r="94" spans="1:7" x14ac:dyDescent="0.2">
      <c r="A94" s="3" t="s">
        <v>243</v>
      </c>
      <c r="B94" s="3" t="s">
        <v>244</v>
      </c>
      <c r="C94" s="170">
        <f t="shared" si="1"/>
        <v>159</v>
      </c>
      <c r="D94" s="162">
        <v>159</v>
      </c>
      <c r="E94" s="162">
        <v>14214</v>
      </c>
      <c r="F94" s="162">
        <v>14214</v>
      </c>
      <c r="G94" s="162">
        <v>14214</v>
      </c>
    </row>
    <row r="95" spans="1:7" x14ac:dyDescent="0.2">
      <c r="A95" s="3" t="s">
        <v>245</v>
      </c>
      <c r="B95" s="3" t="s">
        <v>246</v>
      </c>
      <c r="C95" s="170">
        <f t="shared" si="1"/>
        <v>148</v>
      </c>
      <c r="D95" s="162">
        <v>148</v>
      </c>
      <c r="E95" s="162">
        <v>7906</v>
      </c>
      <c r="F95" s="162">
        <v>7906</v>
      </c>
      <c r="G95" s="162">
        <v>7906</v>
      </c>
    </row>
    <row r="96" spans="1:7" x14ac:dyDescent="0.2">
      <c r="A96" s="3" t="s">
        <v>247</v>
      </c>
      <c r="B96" s="3" t="s">
        <v>248</v>
      </c>
      <c r="C96" s="170">
        <f t="shared" si="1"/>
        <v>137</v>
      </c>
      <c r="D96" s="162">
        <v>137</v>
      </c>
      <c r="E96" s="162">
        <v>64385</v>
      </c>
      <c r="F96" s="162">
        <v>64385</v>
      </c>
      <c r="G96" s="162">
        <v>64385</v>
      </c>
    </row>
    <row r="97" spans="1:7" x14ac:dyDescent="0.2">
      <c r="A97" s="3" t="s">
        <v>249</v>
      </c>
      <c r="B97" s="3" t="s">
        <v>250</v>
      </c>
      <c r="C97" s="170">
        <f t="shared" si="1"/>
        <v>126</v>
      </c>
      <c r="D97" s="162">
        <v>126</v>
      </c>
      <c r="E97" s="162">
        <v>41845</v>
      </c>
      <c r="F97" s="162">
        <v>41845</v>
      </c>
      <c r="G97" s="162">
        <v>41845</v>
      </c>
    </row>
    <row r="98" spans="1:7" x14ac:dyDescent="0.2">
      <c r="A98" s="3" t="s">
        <v>251</v>
      </c>
      <c r="B98" s="3" t="s">
        <v>252</v>
      </c>
      <c r="C98" s="170">
        <f t="shared" si="1"/>
        <v>115</v>
      </c>
      <c r="D98" s="162">
        <v>115</v>
      </c>
      <c r="E98" s="162">
        <v>62767</v>
      </c>
      <c r="F98" s="162">
        <v>62767</v>
      </c>
      <c r="G98" s="162">
        <v>62767</v>
      </c>
    </row>
    <row r="99" spans="1:7" x14ac:dyDescent="0.2">
      <c r="A99" s="3" t="s">
        <v>253</v>
      </c>
      <c r="B99" s="3" t="s">
        <v>254</v>
      </c>
      <c r="C99" s="170">
        <f t="shared" si="1"/>
        <v>104</v>
      </c>
      <c r="D99" s="162">
        <v>104</v>
      </c>
      <c r="E99" s="162">
        <v>86611</v>
      </c>
      <c r="F99" s="162">
        <v>86611</v>
      </c>
      <c r="G99" s="162">
        <v>86611</v>
      </c>
    </row>
    <row r="100" spans="1:7" x14ac:dyDescent="0.2">
      <c r="A100" s="3" t="s">
        <v>255</v>
      </c>
      <c r="B100" s="3" t="s">
        <v>256</v>
      </c>
      <c r="C100" s="170">
        <f t="shared" si="1"/>
        <v>103</v>
      </c>
      <c r="D100" s="162">
        <v>103</v>
      </c>
      <c r="E100" s="162">
        <v>18888</v>
      </c>
      <c r="F100" s="162">
        <v>18888</v>
      </c>
      <c r="G100" s="162">
        <v>18888</v>
      </c>
    </row>
    <row r="101" spans="1:7" x14ac:dyDescent="0.2">
      <c r="A101" s="3" t="s">
        <v>257</v>
      </c>
      <c r="B101" s="3" t="s">
        <v>258</v>
      </c>
      <c r="C101" s="170">
        <f t="shared" si="1"/>
        <v>102</v>
      </c>
      <c r="D101" s="162">
        <v>102</v>
      </c>
      <c r="E101" s="162">
        <v>874</v>
      </c>
      <c r="F101" s="162">
        <v>874</v>
      </c>
      <c r="G101" s="162">
        <v>874</v>
      </c>
    </row>
    <row r="102" spans="1:7" x14ac:dyDescent="0.2">
      <c r="A102" s="3" t="s">
        <v>259</v>
      </c>
      <c r="B102" s="3" t="s">
        <v>260</v>
      </c>
      <c r="C102" s="170">
        <f t="shared" si="1"/>
        <v>102</v>
      </c>
      <c r="D102" s="162">
        <v>102</v>
      </c>
      <c r="E102" s="162">
        <v>731</v>
      </c>
      <c r="F102" s="162">
        <v>731</v>
      </c>
      <c r="G102" s="162">
        <v>731</v>
      </c>
    </row>
    <row r="103" spans="1:7" x14ac:dyDescent="0.2">
      <c r="A103" s="3" t="s">
        <v>261</v>
      </c>
      <c r="B103" s="3" t="s">
        <v>262</v>
      </c>
      <c r="C103" s="170">
        <f t="shared" si="1"/>
        <v>101</v>
      </c>
      <c r="D103" s="162">
        <v>101</v>
      </c>
      <c r="E103" s="162">
        <v>388</v>
      </c>
      <c r="F103" s="162">
        <v>388</v>
      </c>
      <c r="G103" s="162">
        <v>388</v>
      </c>
    </row>
    <row r="104" spans="1:7" x14ac:dyDescent="0.2">
      <c r="A104" s="3" t="s">
        <v>263</v>
      </c>
      <c r="B104" s="3" t="s">
        <v>264</v>
      </c>
      <c r="C104" s="170">
        <f t="shared" si="1"/>
        <v>100</v>
      </c>
      <c r="D104" s="162">
        <v>100</v>
      </c>
      <c r="E104" s="162">
        <v>424</v>
      </c>
      <c r="F104" s="162">
        <v>424</v>
      </c>
      <c r="G104" s="162">
        <v>424</v>
      </c>
    </row>
    <row r="105" spans="1:7" x14ac:dyDescent="0.2">
      <c r="A105" s="3" t="s">
        <v>265</v>
      </c>
      <c r="B105" s="3" t="s">
        <v>266</v>
      </c>
      <c r="C105" s="170">
        <f t="shared" si="1"/>
        <v>997</v>
      </c>
      <c r="D105" s="162">
        <v>997</v>
      </c>
      <c r="E105" s="162">
        <v>721</v>
      </c>
      <c r="F105" s="162">
        <v>721</v>
      </c>
      <c r="G105" s="162">
        <v>721</v>
      </c>
    </row>
    <row r="106" spans="1:7" x14ac:dyDescent="0.2">
      <c r="A106" s="3" t="s">
        <v>267</v>
      </c>
      <c r="B106" s="3" t="s">
        <v>268</v>
      </c>
      <c r="C106" s="170">
        <f t="shared" si="1"/>
        <v>989</v>
      </c>
      <c r="D106" s="162">
        <v>989</v>
      </c>
      <c r="E106" s="162">
        <v>565</v>
      </c>
      <c r="F106" s="162">
        <v>565</v>
      </c>
      <c r="G106" s="162">
        <v>565</v>
      </c>
    </row>
    <row r="107" spans="1:7" x14ac:dyDescent="0.2">
      <c r="A107" s="3" t="s">
        <v>269</v>
      </c>
      <c r="B107" s="3" t="s">
        <v>270</v>
      </c>
      <c r="C107" s="170">
        <f t="shared" si="1"/>
        <v>981</v>
      </c>
      <c r="D107" s="162">
        <v>981</v>
      </c>
      <c r="E107" s="162">
        <v>476</v>
      </c>
      <c r="F107" s="162">
        <v>476</v>
      </c>
      <c r="G107" s="162">
        <v>476</v>
      </c>
    </row>
    <row r="108" spans="1:7" x14ac:dyDescent="0.2">
      <c r="A108" s="3" t="s">
        <v>271</v>
      </c>
      <c r="B108" s="3" t="s">
        <v>272</v>
      </c>
      <c r="C108" s="170">
        <f t="shared" si="1"/>
        <v>973</v>
      </c>
      <c r="D108" s="162">
        <v>973</v>
      </c>
      <c r="E108" s="162">
        <v>162</v>
      </c>
      <c r="F108" s="162">
        <v>162</v>
      </c>
      <c r="G108" s="162">
        <v>162</v>
      </c>
    </row>
    <row r="109" spans="1:7" x14ac:dyDescent="0.2">
      <c r="A109" s="3" t="s">
        <v>273</v>
      </c>
      <c r="B109" s="3" t="s">
        <v>274</v>
      </c>
      <c r="C109" s="170">
        <f t="shared" si="1"/>
        <v>965</v>
      </c>
      <c r="D109" s="162">
        <v>965</v>
      </c>
      <c r="E109" s="162">
        <v>563</v>
      </c>
      <c r="F109" s="162">
        <v>563</v>
      </c>
      <c r="G109" s="162">
        <v>563</v>
      </c>
    </row>
    <row r="110" spans="1:7" x14ac:dyDescent="0.2">
      <c r="A110" s="3" t="s">
        <v>275</v>
      </c>
      <c r="B110" s="3" t="s">
        <v>276</v>
      </c>
      <c r="C110" s="170">
        <f t="shared" si="1"/>
        <v>957</v>
      </c>
      <c r="D110" s="162">
        <v>957</v>
      </c>
      <c r="E110" s="162">
        <v>344</v>
      </c>
      <c r="F110" s="162">
        <v>344</v>
      </c>
      <c r="G110" s="162">
        <v>344</v>
      </c>
    </row>
    <row r="111" spans="1:7" x14ac:dyDescent="0.2">
      <c r="A111" s="3" t="s">
        <v>277</v>
      </c>
      <c r="B111" s="3" t="s">
        <v>278</v>
      </c>
      <c r="C111" s="170">
        <f t="shared" si="1"/>
        <v>949</v>
      </c>
      <c r="D111" s="162">
        <v>949</v>
      </c>
      <c r="E111" s="162">
        <v>349</v>
      </c>
      <c r="F111" s="162">
        <v>349</v>
      </c>
      <c r="G111" s="162">
        <v>349</v>
      </c>
    </row>
    <row r="112" spans="1:7" x14ac:dyDescent="0.2">
      <c r="A112" s="3" t="s">
        <v>279</v>
      </c>
      <c r="B112" s="3" t="s">
        <v>280</v>
      </c>
      <c r="C112" s="170">
        <f t="shared" si="1"/>
        <v>941</v>
      </c>
      <c r="D112" s="162">
        <v>941</v>
      </c>
      <c r="E112" s="162">
        <v>321</v>
      </c>
      <c r="F112" s="162">
        <v>321</v>
      </c>
      <c r="G112" s="162">
        <v>321</v>
      </c>
    </row>
    <row r="113" spans="1:7" x14ac:dyDescent="0.2">
      <c r="A113" s="3" t="s">
        <v>281</v>
      </c>
      <c r="B113" s="3" t="s">
        <v>282</v>
      </c>
      <c r="C113" s="170">
        <f t="shared" si="1"/>
        <v>933</v>
      </c>
      <c r="D113" s="162">
        <v>933</v>
      </c>
      <c r="E113" s="162">
        <v>259</v>
      </c>
      <c r="F113" s="162">
        <v>259</v>
      </c>
      <c r="G113" s="162">
        <v>259</v>
      </c>
    </row>
    <row r="114" spans="1:7" x14ac:dyDescent="0.2">
      <c r="A114" s="3" t="s">
        <v>283</v>
      </c>
      <c r="B114" s="3" t="s">
        <v>284</v>
      </c>
      <c r="C114" s="170">
        <f t="shared" si="1"/>
        <v>925</v>
      </c>
      <c r="D114" s="162">
        <v>925</v>
      </c>
      <c r="E114" s="162">
        <v>166</v>
      </c>
      <c r="F114" s="162">
        <v>166</v>
      </c>
      <c r="G114" s="162">
        <v>166</v>
      </c>
    </row>
    <row r="115" spans="1:7" x14ac:dyDescent="0.2">
      <c r="A115" s="3" t="s">
        <v>285</v>
      </c>
      <c r="B115" s="3" t="s">
        <v>286</v>
      </c>
      <c r="C115" s="170">
        <f t="shared" si="1"/>
        <v>917</v>
      </c>
      <c r="D115" s="162">
        <v>917</v>
      </c>
      <c r="E115" s="162">
        <v>505</v>
      </c>
      <c r="F115" s="162">
        <v>505</v>
      </c>
      <c r="G115" s="162">
        <v>505</v>
      </c>
    </row>
    <row r="116" spans="1:7" x14ac:dyDescent="0.2">
      <c r="A116" s="3" t="s">
        <v>287</v>
      </c>
      <c r="B116" s="3" t="s">
        <v>288</v>
      </c>
      <c r="C116" s="170">
        <f t="shared" si="1"/>
        <v>909</v>
      </c>
      <c r="D116" s="162">
        <v>909</v>
      </c>
      <c r="E116" s="162">
        <v>791</v>
      </c>
      <c r="F116" s="162">
        <v>791</v>
      </c>
      <c r="G116" s="162">
        <v>791</v>
      </c>
    </row>
    <row r="117" spans="1:7" x14ac:dyDescent="0.2">
      <c r="A117" s="3" t="s">
        <v>289</v>
      </c>
      <c r="B117" s="3" t="s">
        <v>290</v>
      </c>
      <c r="C117" s="170">
        <f t="shared" si="1"/>
        <v>901</v>
      </c>
      <c r="D117" s="162">
        <v>901</v>
      </c>
      <c r="E117" s="162">
        <v>334</v>
      </c>
      <c r="F117" s="162">
        <v>334</v>
      </c>
      <c r="G117" s="162">
        <v>334</v>
      </c>
    </row>
    <row r="118" spans="1:7" x14ac:dyDescent="0.2">
      <c r="A118" s="3" t="s">
        <v>291</v>
      </c>
      <c r="B118" s="3" t="s">
        <v>292</v>
      </c>
      <c r="C118" s="170">
        <f t="shared" si="1"/>
        <v>893</v>
      </c>
      <c r="D118" s="162">
        <v>893</v>
      </c>
      <c r="E118" s="162">
        <v>441</v>
      </c>
      <c r="F118" s="162">
        <v>441</v>
      </c>
      <c r="G118" s="162">
        <v>441</v>
      </c>
    </row>
    <row r="119" spans="1:7" x14ac:dyDescent="0.2">
      <c r="A119" s="3" t="s">
        <v>293</v>
      </c>
      <c r="B119" s="3" t="s">
        <v>294</v>
      </c>
      <c r="C119" s="170">
        <f t="shared" si="1"/>
        <v>885</v>
      </c>
      <c r="D119" s="162">
        <v>885</v>
      </c>
      <c r="E119" s="162">
        <v>489</v>
      </c>
      <c r="F119" s="162">
        <v>489</v>
      </c>
      <c r="G119" s="162">
        <v>489</v>
      </c>
    </row>
    <row r="120" spans="1:7" x14ac:dyDescent="0.2">
      <c r="A120" s="3" t="s">
        <v>295</v>
      </c>
      <c r="B120" s="3" t="s">
        <v>296</v>
      </c>
      <c r="C120" s="170">
        <f t="shared" si="1"/>
        <v>877</v>
      </c>
      <c r="D120" s="162">
        <v>877</v>
      </c>
      <c r="E120" s="162">
        <v>984</v>
      </c>
      <c r="F120" s="162">
        <v>984</v>
      </c>
      <c r="G120" s="162">
        <v>984</v>
      </c>
    </row>
    <row r="121" spans="1:7" x14ac:dyDescent="0.2">
      <c r="A121" s="3" t="s">
        <v>297</v>
      </c>
      <c r="B121" s="3" t="s">
        <v>298</v>
      </c>
      <c r="C121" s="170">
        <f t="shared" si="1"/>
        <v>869</v>
      </c>
      <c r="D121" s="162">
        <v>869</v>
      </c>
      <c r="E121" s="162">
        <v>935</v>
      </c>
      <c r="F121" s="162">
        <v>935</v>
      </c>
      <c r="G121" s="162">
        <v>935</v>
      </c>
    </row>
    <row r="122" spans="1:7" x14ac:dyDescent="0.2">
      <c r="A122" s="3" t="s">
        <v>299</v>
      </c>
      <c r="B122" s="3" t="s">
        <v>300</v>
      </c>
      <c r="C122" s="170">
        <f t="shared" si="1"/>
        <v>861</v>
      </c>
      <c r="D122" s="162">
        <v>861</v>
      </c>
      <c r="E122" s="162">
        <v>753</v>
      </c>
      <c r="F122" s="162">
        <v>753</v>
      </c>
      <c r="G122" s="162">
        <v>753</v>
      </c>
    </row>
    <row r="123" spans="1:7" x14ac:dyDescent="0.2">
      <c r="A123" s="3" t="s">
        <v>301</v>
      </c>
      <c r="B123" s="3" t="s">
        <v>302</v>
      </c>
      <c r="C123" s="170">
        <f t="shared" si="1"/>
        <v>853</v>
      </c>
      <c r="D123" s="162">
        <v>853</v>
      </c>
      <c r="E123" s="162">
        <v>977</v>
      </c>
      <c r="F123" s="162">
        <v>977</v>
      </c>
      <c r="G123" s="162">
        <v>977</v>
      </c>
    </row>
    <row r="124" spans="1:7" x14ac:dyDescent="0.2">
      <c r="A124" s="3" t="s">
        <v>303</v>
      </c>
      <c r="B124" s="3" t="s">
        <v>304</v>
      </c>
      <c r="C124" s="170">
        <f t="shared" si="1"/>
        <v>845</v>
      </c>
      <c r="D124" s="162">
        <v>845</v>
      </c>
      <c r="E124" s="162">
        <v>855</v>
      </c>
      <c r="F124" s="162">
        <v>855</v>
      </c>
      <c r="G124" s="162">
        <v>855</v>
      </c>
    </row>
    <row r="125" spans="1:7" x14ac:dyDescent="0.2">
      <c r="A125" s="3" t="s">
        <v>305</v>
      </c>
      <c r="B125" s="3" t="s">
        <v>306</v>
      </c>
      <c r="C125" s="170">
        <f t="shared" si="1"/>
        <v>837</v>
      </c>
      <c r="D125" s="162">
        <v>837</v>
      </c>
      <c r="E125" s="162">
        <v>627</v>
      </c>
      <c r="F125" s="162">
        <v>627</v>
      </c>
      <c r="G125" s="162">
        <v>627</v>
      </c>
    </row>
    <row r="126" spans="1:7" x14ac:dyDescent="0.2">
      <c r="A126" s="3" t="s">
        <v>307</v>
      </c>
      <c r="B126" s="3" t="s">
        <v>308</v>
      </c>
      <c r="C126" s="170">
        <f t="shared" si="1"/>
        <v>829</v>
      </c>
      <c r="D126" s="162">
        <v>829</v>
      </c>
      <c r="E126" s="162">
        <v>767</v>
      </c>
      <c r="F126" s="162">
        <v>767</v>
      </c>
      <c r="G126" s="162">
        <v>767</v>
      </c>
    </row>
    <row r="127" spans="1:7" x14ac:dyDescent="0.2">
      <c r="A127" s="3" t="s">
        <v>309</v>
      </c>
      <c r="B127" s="3" t="s">
        <v>310</v>
      </c>
      <c r="C127" s="170">
        <f t="shared" si="1"/>
        <v>732</v>
      </c>
      <c r="D127" s="162">
        <v>732</v>
      </c>
      <c r="E127" s="162">
        <v>977</v>
      </c>
      <c r="F127" s="162">
        <v>977</v>
      </c>
      <c r="G127" s="162">
        <v>977</v>
      </c>
    </row>
    <row r="128" spans="1:7" x14ac:dyDescent="0.2">
      <c r="A128" s="3" t="s">
        <v>311</v>
      </c>
      <c r="B128" s="3" t="s">
        <v>312</v>
      </c>
      <c r="C128" s="170">
        <f t="shared" si="1"/>
        <v>666</v>
      </c>
      <c r="D128" s="162">
        <v>666</v>
      </c>
      <c r="E128" s="162">
        <v>772</v>
      </c>
      <c r="F128" s="162">
        <v>772</v>
      </c>
      <c r="G128" s="162">
        <v>772</v>
      </c>
    </row>
    <row r="129" spans="1:7" x14ac:dyDescent="0.2">
      <c r="A129" s="3" t="s">
        <v>313</v>
      </c>
      <c r="B129" s="3" t="s">
        <v>314</v>
      </c>
      <c r="C129" s="170">
        <f t="shared" si="1"/>
        <v>600</v>
      </c>
      <c r="D129" s="162">
        <v>600</v>
      </c>
      <c r="E129" s="162">
        <v>199</v>
      </c>
      <c r="F129" s="162">
        <v>199</v>
      </c>
      <c r="G129" s="162">
        <v>199</v>
      </c>
    </row>
    <row r="130" spans="1:7" x14ac:dyDescent="0.2">
      <c r="A130" s="3" t="s">
        <v>315</v>
      </c>
      <c r="B130" s="3" t="s">
        <v>316</v>
      </c>
      <c r="C130" s="170">
        <f t="shared" si="1"/>
        <v>534</v>
      </c>
      <c r="D130" s="162">
        <v>534</v>
      </c>
      <c r="E130" s="162">
        <v>132</v>
      </c>
      <c r="F130" s="162">
        <v>132</v>
      </c>
      <c r="G130" s="162">
        <v>132</v>
      </c>
    </row>
    <row r="131" spans="1:7" x14ac:dyDescent="0.2">
      <c r="A131" s="3" t="s">
        <v>317</v>
      </c>
      <c r="B131" s="3" t="s">
        <v>318</v>
      </c>
      <c r="C131" s="170">
        <f t="shared" ref="C131:C194" si="2">D131</f>
        <v>468</v>
      </c>
      <c r="D131" s="162">
        <v>468</v>
      </c>
      <c r="E131" s="162">
        <v>294</v>
      </c>
      <c r="F131" s="162">
        <v>294</v>
      </c>
      <c r="G131" s="162">
        <v>294</v>
      </c>
    </row>
    <row r="132" spans="1:7" x14ac:dyDescent="0.2">
      <c r="A132" s="3" t="s">
        <v>319</v>
      </c>
      <c r="B132" s="3" t="s">
        <v>320</v>
      </c>
      <c r="C132" s="170">
        <f t="shared" si="2"/>
        <v>402</v>
      </c>
      <c r="D132" s="162">
        <v>402</v>
      </c>
      <c r="E132" s="162">
        <v>490</v>
      </c>
      <c r="F132" s="162">
        <v>490</v>
      </c>
      <c r="G132" s="162">
        <v>490</v>
      </c>
    </row>
    <row r="133" spans="1:7" x14ac:dyDescent="0.2">
      <c r="A133" s="3" t="s">
        <v>321</v>
      </c>
      <c r="B133" s="3" t="s">
        <v>322</v>
      </c>
      <c r="C133" s="170">
        <f t="shared" si="2"/>
        <v>336</v>
      </c>
      <c r="D133" s="162">
        <v>336</v>
      </c>
      <c r="E133" s="162">
        <v>585</v>
      </c>
      <c r="F133" s="162">
        <v>585</v>
      </c>
      <c r="G133" s="162">
        <v>585</v>
      </c>
    </row>
    <row r="134" spans="1:7" x14ac:dyDescent="0.2">
      <c r="A134" s="3" t="s">
        <v>323</v>
      </c>
      <c r="B134" s="3" t="s">
        <v>324</v>
      </c>
      <c r="C134" s="170">
        <f t="shared" si="2"/>
        <v>270</v>
      </c>
      <c r="D134" s="162">
        <v>270</v>
      </c>
      <c r="E134" s="162">
        <v>104</v>
      </c>
      <c r="F134" s="162">
        <v>104</v>
      </c>
      <c r="G134" s="162">
        <v>104</v>
      </c>
    </row>
    <row r="135" spans="1:7" x14ac:dyDescent="0.2">
      <c r="A135" s="3" t="s">
        <v>325</v>
      </c>
      <c r="B135" s="3" t="s">
        <v>326</v>
      </c>
      <c r="C135" s="170">
        <f t="shared" si="2"/>
        <v>204</v>
      </c>
      <c r="D135" s="162">
        <v>204</v>
      </c>
      <c r="E135" s="162">
        <v>319</v>
      </c>
      <c r="F135" s="162">
        <v>319</v>
      </c>
      <c r="G135" s="162">
        <v>319</v>
      </c>
    </row>
    <row r="136" spans="1:7" x14ac:dyDescent="0.2">
      <c r="A136" s="3" t="s">
        <v>327</v>
      </c>
      <c r="B136" s="3" t="s">
        <v>328</v>
      </c>
      <c r="C136" s="170">
        <f t="shared" si="2"/>
        <v>203</v>
      </c>
      <c r="D136" s="162">
        <v>203</v>
      </c>
      <c r="E136" s="162">
        <v>224</v>
      </c>
      <c r="F136" s="162">
        <v>224</v>
      </c>
      <c r="G136" s="162">
        <v>224</v>
      </c>
    </row>
    <row r="137" spans="1:7" x14ac:dyDescent="0.2">
      <c r="A137" s="3" t="s">
        <v>329</v>
      </c>
      <c r="B137" s="3" t="s">
        <v>330</v>
      </c>
      <c r="C137" s="170">
        <f t="shared" si="2"/>
        <v>202</v>
      </c>
      <c r="D137" s="162">
        <v>202</v>
      </c>
      <c r="E137" s="162">
        <v>964</v>
      </c>
      <c r="F137" s="162">
        <v>964</v>
      </c>
      <c r="G137" s="162">
        <v>964</v>
      </c>
    </row>
    <row r="138" spans="1:7" x14ac:dyDescent="0.2">
      <c r="A138" s="3" t="s">
        <v>331</v>
      </c>
      <c r="B138" s="3" t="s">
        <v>332</v>
      </c>
      <c r="C138" s="170">
        <f t="shared" si="2"/>
        <v>201</v>
      </c>
      <c r="D138" s="162">
        <v>201</v>
      </c>
      <c r="E138" s="162">
        <v>781</v>
      </c>
      <c r="F138" s="162">
        <v>781</v>
      </c>
      <c r="G138" s="162">
        <v>781</v>
      </c>
    </row>
    <row r="139" spans="1:7" x14ac:dyDescent="0.2">
      <c r="A139" s="3" t="s">
        <v>333</v>
      </c>
      <c r="B139" s="3" t="s">
        <v>334</v>
      </c>
      <c r="C139" s="170">
        <f t="shared" si="2"/>
        <v>200</v>
      </c>
      <c r="D139" s="162">
        <v>200</v>
      </c>
      <c r="E139" s="162">
        <v>534</v>
      </c>
      <c r="F139" s="162">
        <v>534</v>
      </c>
      <c r="G139" s="162">
        <v>534</v>
      </c>
    </row>
    <row r="140" spans="1:7" x14ac:dyDescent="0.2">
      <c r="A140" s="3" t="s">
        <v>335</v>
      </c>
      <c r="B140" s="3" t="s">
        <v>336</v>
      </c>
      <c r="C140" s="170">
        <f t="shared" si="2"/>
        <v>199</v>
      </c>
      <c r="D140" s="162">
        <v>199</v>
      </c>
      <c r="E140" s="162">
        <v>1000</v>
      </c>
      <c r="F140" s="162">
        <v>1000</v>
      </c>
      <c r="G140" s="162">
        <v>1000</v>
      </c>
    </row>
    <row r="141" spans="1:7" x14ac:dyDescent="0.2">
      <c r="A141" s="3" t="s">
        <v>337</v>
      </c>
      <c r="B141" s="3" t="s">
        <v>338</v>
      </c>
      <c r="C141" s="170">
        <f t="shared" si="2"/>
        <v>198</v>
      </c>
      <c r="D141" s="162">
        <v>198</v>
      </c>
      <c r="E141" s="162">
        <v>929</v>
      </c>
      <c r="F141" s="162">
        <v>929</v>
      </c>
      <c r="G141" s="162">
        <v>929</v>
      </c>
    </row>
    <row r="142" spans="1:7" x14ac:dyDescent="0.2">
      <c r="A142" s="3" t="s">
        <v>339</v>
      </c>
      <c r="B142" s="3" t="s">
        <v>340</v>
      </c>
      <c r="C142" s="170">
        <f t="shared" si="2"/>
        <v>197</v>
      </c>
      <c r="D142" s="162">
        <v>197</v>
      </c>
      <c r="E142" s="162">
        <v>554</v>
      </c>
      <c r="F142" s="162">
        <v>554</v>
      </c>
      <c r="G142" s="162">
        <v>554</v>
      </c>
    </row>
    <row r="143" spans="1:7" x14ac:dyDescent="0.2">
      <c r="A143" s="3" t="s">
        <v>341</v>
      </c>
      <c r="B143" s="3" t="s">
        <v>342</v>
      </c>
      <c r="C143" s="170">
        <f t="shared" si="2"/>
        <v>196</v>
      </c>
      <c r="D143" s="162">
        <v>196</v>
      </c>
      <c r="E143" s="162">
        <v>242</v>
      </c>
      <c r="F143" s="162">
        <v>242</v>
      </c>
      <c r="G143" s="162">
        <v>242</v>
      </c>
    </row>
    <row r="144" spans="1:7" x14ac:dyDescent="0.2">
      <c r="A144" s="3" t="s">
        <v>343</v>
      </c>
      <c r="B144" s="3" t="s">
        <v>344</v>
      </c>
      <c r="C144" s="170">
        <f t="shared" si="2"/>
        <v>195</v>
      </c>
      <c r="D144" s="162">
        <v>195</v>
      </c>
      <c r="E144" s="162">
        <v>607</v>
      </c>
      <c r="F144" s="162">
        <v>607</v>
      </c>
      <c r="G144" s="162">
        <v>607</v>
      </c>
    </row>
    <row r="145" spans="1:7" x14ac:dyDescent="0.2">
      <c r="A145" s="3" t="s">
        <v>345</v>
      </c>
      <c r="B145" s="3" t="s">
        <v>346</v>
      </c>
      <c r="C145" s="170">
        <f t="shared" si="2"/>
        <v>194</v>
      </c>
      <c r="D145" s="162">
        <v>194</v>
      </c>
      <c r="E145" s="162">
        <v>341</v>
      </c>
      <c r="F145" s="162">
        <v>341</v>
      </c>
      <c r="G145" s="162">
        <v>341</v>
      </c>
    </row>
    <row r="146" spans="1:7" x14ac:dyDescent="0.2">
      <c r="A146" s="3" t="s">
        <v>347</v>
      </c>
      <c r="B146" s="3" t="s">
        <v>348</v>
      </c>
      <c r="C146" s="170">
        <f t="shared" si="2"/>
        <v>193</v>
      </c>
      <c r="D146" s="162">
        <v>193</v>
      </c>
      <c r="E146" s="162">
        <v>453</v>
      </c>
      <c r="F146" s="162">
        <v>453</v>
      </c>
      <c r="G146" s="162">
        <v>453</v>
      </c>
    </row>
    <row r="147" spans="1:7" x14ac:dyDescent="0.2">
      <c r="A147" s="3" t="s">
        <v>349</v>
      </c>
      <c r="B147" s="3" t="s">
        <v>350</v>
      </c>
      <c r="C147" s="170">
        <f t="shared" si="2"/>
        <v>192</v>
      </c>
      <c r="D147" s="162">
        <v>192</v>
      </c>
      <c r="E147" s="162">
        <v>992</v>
      </c>
      <c r="F147" s="162">
        <v>992</v>
      </c>
      <c r="G147" s="162">
        <v>992</v>
      </c>
    </row>
    <row r="148" spans="1:7" x14ac:dyDescent="0.2">
      <c r="A148" s="3" t="s">
        <v>351</v>
      </c>
      <c r="B148" s="3" t="s">
        <v>352</v>
      </c>
      <c r="C148" s="170">
        <f t="shared" si="2"/>
        <v>191</v>
      </c>
      <c r="D148" s="162">
        <v>191</v>
      </c>
      <c r="E148" s="162">
        <v>895</v>
      </c>
      <c r="F148" s="162">
        <v>895</v>
      </c>
      <c r="G148" s="162">
        <v>895</v>
      </c>
    </row>
    <row r="149" spans="1:7" x14ac:dyDescent="0.2">
      <c r="A149" s="3" t="s">
        <v>353</v>
      </c>
      <c r="B149" s="3" t="s">
        <v>354</v>
      </c>
      <c r="C149" s="170">
        <f t="shared" si="2"/>
        <v>190</v>
      </c>
      <c r="D149" s="162">
        <v>190</v>
      </c>
      <c r="E149" s="162">
        <v>395</v>
      </c>
      <c r="F149" s="162">
        <v>395</v>
      </c>
      <c r="G149" s="162">
        <v>395</v>
      </c>
    </row>
    <row r="150" spans="1:7" x14ac:dyDescent="0.2">
      <c r="A150" s="3" t="s">
        <v>355</v>
      </c>
      <c r="B150" s="3" t="s">
        <v>356</v>
      </c>
      <c r="C150" s="170">
        <f t="shared" si="2"/>
        <v>189</v>
      </c>
      <c r="D150" s="162">
        <v>189</v>
      </c>
      <c r="E150" s="162">
        <v>367</v>
      </c>
      <c r="F150" s="162">
        <v>367</v>
      </c>
      <c r="G150" s="162">
        <v>367</v>
      </c>
    </row>
    <row r="151" spans="1:7" x14ac:dyDescent="0.2">
      <c r="A151" s="3" t="s">
        <v>357</v>
      </c>
      <c r="B151" s="3" t="s">
        <v>358</v>
      </c>
      <c r="C151" s="170">
        <f t="shared" si="2"/>
        <v>188</v>
      </c>
      <c r="D151" s="162">
        <v>188</v>
      </c>
      <c r="E151" s="162">
        <v>445</v>
      </c>
      <c r="F151" s="162">
        <v>445</v>
      </c>
      <c r="G151" s="162">
        <v>445</v>
      </c>
    </row>
    <row r="152" spans="1:7" x14ac:dyDescent="0.2">
      <c r="A152" s="3" t="s">
        <v>359</v>
      </c>
      <c r="B152" s="3" t="s">
        <v>360</v>
      </c>
      <c r="C152" s="170">
        <f t="shared" si="2"/>
        <v>187</v>
      </c>
      <c r="D152" s="162">
        <v>187</v>
      </c>
      <c r="E152" s="162">
        <v>253</v>
      </c>
      <c r="F152" s="162">
        <v>253</v>
      </c>
      <c r="G152" s="162">
        <v>253</v>
      </c>
    </row>
    <row r="153" spans="1:7" x14ac:dyDescent="0.2">
      <c r="A153" s="3" t="s">
        <v>361</v>
      </c>
      <c r="B153" s="3" t="s">
        <v>362</v>
      </c>
      <c r="C153" s="170">
        <f t="shared" si="2"/>
        <v>186</v>
      </c>
      <c r="D153" s="162">
        <v>186</v>
      </c>
      <c r="E153" s="162">
        <v>278</v>
      </c>
      <c r="F153" s="162">
        <v>278</v>
      </c>
      <c r="G153" s="162">
        <v>278</v>
      </c>
    </row>
    <row r="154" spans="1:7" x14ac:dyDescent="0.2">
      <c r="A154" s="3" t="s">
        <v>363</v>
      </c>
      <c r="B154" s="3" t="s">
        <v>364</v>
      </c>
      <c r="C154" s="170">
        <f t="shared" si="2"/>
        <v>185</v>
      </c>
      <c r="D154" s="162">
        <v>185</v>
      </c>
      <c r="E154" s="162">
        <v>802</v>
      </c>
      <c r="F154" s="162">
        <v>802</v>
      </c>
      <c r="G154" s="162">
        <v>802</v>
      </c>
    </row>
    <row r="155" spans="1:7" x14ac:dyDescent="0.2">
      <c r="A155" s="3" t="s">
        <v>365</v>
      </c>
      <c r="B155" s="3" t="s">
        <v>366</v>
      </c>
      <c r="C155" s="170">
        <f t="shared" si="2"/>
        <v>184</v>
      </c>
      <c r="D155" s="162">
        <v>184</v>
      </c>
      <c r="E155" s="162">
        <v>723</v>
      </c>
      <c r="F155" s="162">
        <v>723</v>
      </c>
      <c r="G155" s="162">
        <v>723</v>
      </c>
    </row>
    <row r="156" spans="1:7" x14ac:dyDescent="0.2">
      <c r="A156" s="3" t="s">
        <v>367</v>
      </c>
      <c r="B156" s="3" t="s">
        <v>368</v>
      </c>
      <c r="C156" s="170">
        <f t="shared" si="2"/>
        <v>183</v>
      </c>
      <c r="D156" s="162">
        <v>183</v>
      </c>
      <c r="E156" s="162">
        <v>426</v>
      </c>
      <c r="F156" s="162">
        <v>426</v>
      </c>
      <c r="G156" s="162">
        <v>426</v>
      </c>
    </row>
    <row r="157" spans="1:7" x14ac:dyDescent="0.2">
      <c r="A157" s="3" t="s">
        <v>369</v>
      </c>
      <c r="B157" s="3" t="s">
        <v>370</v>
      </c>
      <c r="C157" s="170">
        <f t="shared" si="2"/>
        <v>182</v>
      </c>
      <c r="D157" s="162">
        <v>182</v>
      </c>
      <c r="E157" s="162">
        <v>243</v>
      </c>
      <c r="F157" s="162">
        <v>243</v>
      </c>
      <c r="G157" s="162">
        <v>243</v>
      </c>
    </row>
    <row r="158" spans="1:7" x14ac:dyDescent="0.2">
      <c r="A158" s="3" t="s">
        <v>371</v>
      </c>
      <c r="B158" s="3" t="s">
        <v>372</v>
      </c>
      <c r="C158" s="170">
        <f t="shared" si="2"/>
        <v>181</v>
      </c>
      <c r="D158" s="162">
        <v>181</v>
      </c>
      <c r="E158" s="162">
        <v>303</v>
      </c>
      <c r="F158" s="162">
        <v>303</v>
      </c>
      <c r="G158" s="162">
        <v>303</v>
      </c>
    </row>
    <row r="159" spans="1:7" x14ac:dyDescent="0.2">
      <c r="A159" s="3" t="s">
        <v>373</v>
      </c>
      <c r="B159" s="3" t="s">
        <v>374</v>
      </c>
      <c r="C159" s="170">
        <f t="shared" si="2"/>
        <v>180</v>
      </c>
      <c r="D159" s="162">
        <v>180</v>
      </c>
      <c r="E159" s="162">
        <v>184</v>
      </c>
      <c r="F159" s="162">
        <v>184</v>
      </c>
      <c r="G159" s="162">
        <v>184</v>
      </c>
    </row>
    <row r="160" spans="1:7" x14ac:dyDescent="0.2">
      <c r="A160" s="3" t="s">
        <v>375</v>
      </c>
      <c r="B160" s="3" t="s">
        <v>376</v>
      </c>
      <c r="C160" s="170">
        <f t="shared" si="2"/>
        <v>179</v>
      </c>
      <c r="D160" s="162">
        <v>179</v>
      </c>
      <c r="E160" s="162">
        <v>840</v>
      </c>
      <c r="F160" s="162">
        <v>840</v>
      </c>
      <c r="G160" s="162">
        <v>840</v>
      </c>
    </row>
    <row r="161" spans="1:7" x14ac:dyDescent="0.2">
      <c r="A161" s="3" t="s">
        <v>377</v>
      </c>
      <c r="B161" s="3" t="s">
        <v>378</v>
      </c>
      <c r="C161" s="170">
        <f t="shared" si="2"/>
        <v>178</v>
      </c>
      <c r="D161" s="162">
        <v>178</v>
      </c>
      <c r="E161" s="162">
        <v>822</v>
      </c>
      <c r="F161" s="162">
        <v>822</v>
      </c>
      <c r="G161" s="162">
        <v>822</v>
      </c>
    </row>
    <row r="162" spans="1:7" x14ac:dyDescent="0.2">
      <c r="A162" s="3" t="s">
        <v>379</v>
      </c>
      <c r="B162" s="3" t="s">
        <v>380</v>
      </c>
      <c r="C162" s="170">
        <f t="shared" si="2"/>
        <v>177</v>
      </c>
      <c r="D162" s="162">
        <v>177</v>
      </c>
      <c r="E162" s="162">
        <v>233</v>
      </c>
      <c r="F162" s="162">
        <v>233</v>
      </c>
      <c r="G162" s="162">
        <v>233</v>
      </c>
    </row>
    <row r="163" spans="1:7" x14ac:dyDescent="0.2">
      <c r="A163" s="3" t="s">
        <v>381</v>
      </c>
      <c r="B163" s="3" t="s">
        <v>382</v>
      </c>
      <c r="C163" s="170">
        <f t="shared" si="2"/>
        <v>176</v>
      </c>
      <c r="D163" s="162">
        <v>176</v>
      </c>
      <c r="E163" s="162">
        <v>813</v>
      </c>
      <c r="F163" s="162">
        <v>813</v>
      </c>
      <c r="G163" s="162">
        <v>813</v>
      </c>
    </row>
    <row r="164" spans="1:7" x14ac:dyDescent="0.2">
      <c r="A164" s="3" t="s">
        <v>383</v>
      </c>
      <c r="B164" s="3" t="s">
        <v>384</v>
      </c>
      <c r="C164" s="170">
        <f t="shared" si="2"/>
        <v>175</v>
      </c>
      <c r="D164" s="162">
        <v>175</v>
      </c>
      <c r="E164" s="162">
        <v>730</v>
      </c>
      <c r="F164" s="162">
        <v>730</v>
      </c>
      <c r="G164" s="162">
        <v>730</v>
      </c>
    </row>
    <row r="165" spans="1:7" x14ac:dyDescent="0.2">
      <c r="A165" s="3" t="s">
        <v>385</v>
      </c>
      <c r="B165" s="3" t="s">
        <v>386</v>
      </c>
      <c r="C165" s="170">
        <f t="shared" si="2"/>
        <v>174</v>
      </c>
      <c r="D165" s="162">
        <v>174</v>
      </c>
      <c r="E165" s="162">
        <v>970</v>
      </c>
      <c r="F165" s="162">
        <v>970</v>
      </c>
      <c r="G165" s="162">
        <v>970</v>
      </c>
    </row>
    <row r="166" spans="1:7" x14ac:dyDescent="0.2">
      <c r="A166" s="3" t="s">
        <v>387</v>
      </c>
      <c r="B166" s="3" t="s">
        <v>388</v>
      </c>
      <c r="C166" s="170">
        <f t="shared" si="2"/>
        <v>173</v>
      </c>
      <c r="D166" s="162">
        <v>173</v>
      </c>
      <c r="E166" s="162">
        <v>356</v>
      </c>
      <c r="F166" s="162">
        <v>356</v>
      </c>
      <c r="G166" s="162">
        <v>356</v>
      </c>
    </row>
    <row r="167" spans="1:7" x14ac:dyDescent="0.2">
      <c r="A167" s="3" t="s">
        <v>389</v>
      </c>
      <c r="B167" s="3" t="s">
        <v>390</v>
      </c>
      <c r="C167" s="170">
        <f t="shared" si="2"/>
        <v>172</v>
      </c>
      <c r="D167" s="162">
        <v>172</v>
      </c>
      <c r="E167" s="162">
        <v>345</v>
      </c>
      <c r="F167" s="162">
        <v>345</v>
      </c>
      <c r="G167" s="162">
        <v>345</v>
      </c>
    </row>
    <row r="168" spans="1:7" x14ac:dyDescent="0.2">
      <c r="A168" s="3" t="s">
        <v>391</v>
      </c>
      <c r="B168" s="3" t="s">
        <v>392</v>
      </c>
      <c r="C168" s="170">
        <f t="shared" si="2"/>
        <v>171</v>
      </c>
      <c r="D168" s="162">
        <v>171</v>
      </c>
      <c r="E168" s="162">
        <v>570</v>
      </c>
      <c r="F168" s="162">
        <v>570</v>
      </c>
      <c r="G168" s="162">
        <v>570</v>
      </c>
    </row>
    <row r="169" spans="1:7" x14ac:dyDescent="0.2">
      <c r="A169" s="3" t="s">
        <v>393</v>
      </c>
      <c r="B169" s="3" t="s">
        <v>394</v>
      </c>
      <c r="C169" s="170">
        <f t="shared" si="2"/>
        <v>170</v>
      </c>
      <c r="D169" s="162">
        <v>170</v>
      </c>
      <c r="E169" s="162">
        <v>950</v>
      </c>
      <c r="F169" s="162">
        <v>950</v>
      </c>
      <c r="G169" s="162">
        <v>950</v>
      </c>
    </row>
    <row r="170" spans="1:7" x14ac:dyDescent="0.2">
      <c r="A170" s="3" t="s">
        <v>395</v>
      </c>
      <c r="B170" s="3" t="s">
        <v>396</v>
      </c>
      <c r="C170" s="170">
        <f t="shared" si="2"/>
        <v>169</v>
      </c>
      <c r="D170" s="162">
        <v>169</v>
      </c>
      <c r="E170" s="162">
        <v>210</v>
      </c>
      <c r="F170" s="162">
        <v>210</v>
      </c>
      <c r="G170" s="162">
        <v>210</v>
      </c>
    </row>
    <row r="171" spans="1:7" x14ac:dyDescent="0.2">
      <c r="A171" s="3" t="s">
        <v>397</v>
      </c>
      <c r="B171" s="3" t="s">
        <v>398</v>
      </c>
      <c r="C171" s="170">
        <f t="shared" si="2"/>
        <v>168</v>
      </c>
      <c r="D171" s="162">
        <v>168</v>
      </c>
      <c r="E171" s="162">
        <v>253</v>
      </c>
      <c r="F171" s="162">
        <v>253</v>
      </c>
      <c r="G171" s="162">
        <v>253</v>
      </c>
    </row>
    <row r="172" spans="1:7" x14ac:dyDescent="0.2">
      <c r="A172" s="3" t="s">
        <v>399</v>
      </c>
      <c r="B172" s="3" t="s">
        <v>400</v>
      </c>
      <c r="C172" s="170">
        <f t="shared" si="2"/>
        <v>167</v>
      </c>
      <c r="D172" s="162">
        <v>167</v>
      </c>
      <c r="E172" s="162">
        <v>232</v>
      </c>
      <c r="F172" s="162">
        <v>232</v>
      </c>
      <c r="G172" s="162">
        <v>232</v>
      </c>
    </row>
    <row r="173" spans="1:7" x14ac:dyDescent="0.2">
      <c r="A173" s="3" t="s">
        <v>401</v>
      </c>
      <c r="B173" s="3" t="s">
        <v>402</v>
      </c>
      <c r="C173" s="170">
        <f t="shared" si="2"/>
        <v>166</v>
      </c>
      <c r="D173" s="162">
        <v>166</v>
      </c>
      <c r="E173" s="162">
        <v>866</v>
      </c>
      <c r="F173" s="162">
        <v>866</v>
      </c>
      <c r="G173" s="162">
        <v>866</v>
      </c>
    </row>
    <row r="174" spans="1:7" x14ac:dyDescent="0.2">
      <c r="A174" s="3" t="s">
        <v>403</v>
      </c>
      <c r="B174" s="3" t="s">
        <v>404</v>
      </c>
      <c r="C174" s="170">
        <f t="shared" si="2"/>
        <v>165</v>
      </c>
      <c r="D174" s="162">
        <v>165</v>
      </c>
      <c r="E174" s="162">
        <v>681</v>
      </c>
      <c r="F174" s="162">
        <v>681</v>
      </c>
      <c r="G174" s="162">
        <v>681</v>
      </c>
    </row>
    <row r="175" spans="1:7" x14ac:dyDescent="0.2">
      <c r="A175" s="3" t="s">
        <v>405</v>
      </c>
      <c r="B175" s="3" t="s">
        <v>406</v>
      </c>
      <c r="C175" s="170">
        <f t="shared" si="2"/>
        <v>164</v>
      </c>
      <c r="D175" s="162">
        <v>164</v>
      </c>
      <c r="E175" s="162">
        <v>420</v>
      </c>
      <c r="F175" s="162">
        <v>420</v>
      </c>
      <c r="G175" s="162">
        <v>420</v>
      </c>
    </row>
    <row r="176" spans="1:7" x14ac:dyDescent="0.2">
      <c r="A176" s="3" t="s">
        <v>407</v>
      </c>
      <c r="B176" s="3" t="s">
        <v>408</v>
      </c>
      <c r="C176" s="170">
        <f t="shared" si="2"/>
        <v>163</v>
      </c>
      <c r="D176" s="162">
        <v>163</v>
      </c>
      <c r="E176" s="162">
        <v>707</v>
      </c>
      <c r="F176" s="162">
        <v>707</v>
      </c>
      <c r="G176" s="162">
        <v>707</v>
      </c>
    </row>
    <row r="177" spans="1:7" x14ac:dyDescent="0.2">
      <c r="A177" s="3" t="s">
        <v>409</v>
      </c>
      <c r="B177" s="3" t="s">
        <v>410</v>
      </c>
      <c r="C177" s="170">
        <f t="shared" si="2"/>
        <v>162</v>
      </c>
      <c r="D177" s="162">
        <v>162</v>
      </c>
      <c r="E177" s="162">
        <v>286</v>
      </c>
      <c r="F177" s="162">
        <v>286</v>
      </c>
      <c r="G177" s="162">
        <v>286</v>
      </c>
    </row>
    <row r="178" spans="1:7" x14ac:dyDescent="0.2">
      <c r="A178" s="3" t="s">
        <v>411</v>
      </c>
      <c r="B178" s="3" t="s">
        <v>412</v>
      </c>
      <c r="C178" s="170">
        <f t="shared" si="2"/>
        <v>161</v>
      </c>
      <c r="D178" s="162">
        <v>161</v>
      </c>
      <c r="E178" s="162">
        <v>388</v>
      </c>
      <c r="F178" s="162">
        <v>388</v>
      </c>
      <c r="G178" s="162">
        <v>388</v>
      </c>
    </row>
    <row r="179" spans="1:7" x14ac:dyDescent="0.2">
      <c r="A179" s="3" t="s">
        <v>413</v>
      </c>
      <c r="B179" s="3" t="s">
        <v>414</v>
      </c>
      <c r="C179" s="170">
        <f t="shared" si="2"/>
        <v>160</v>
      </c>
      <c r="D179" s="162">
        <v>160</v>
      </c>
      <c r="E179" s="162">
        <v>759</v>
      </c>
      <c r="F179" s="162">
        <v>759</v>
      </c>
      <c r="G179" s="162">
        <v>759</v>
      </c>
    </row>
    <row r="180" spans="1:7" x14ac:dyDescent="0.2">
      <c r="A180" s="3" t="s">
        <v>415</v>
      </c>
      <c r="B180" s="3" t="s">
        <v>416</v>
      </c>
      <c r="C180" s="170">
        <f t="shared" si="2"/>
        <v>159</v>
      </c>
      <c r="D180" s="162">
        <v>159</v>
      </c>
      <c r="E180" s="162">
        <v>464</v>
      </c>
      <c r="F180" s="162">
        <v>464</v>
      </c>
      <c r="G180" s="162">
        <v>464</v>
      </c>
    </row>
    <row r="181" spans="1:7" x14ac:dyDescent="0.2">
      <c r="A181" s="3" t="s">
        <v>417</v>
      </c>
      <c r="B181" s="3" t="s">
        <v>418</v>
      </c>
      <c r="C181" s="170">
        <f t="shared" si="2"/>
        <v>158</v>
      </c>
      <c r="D181" s="162">
        <v>158</v>
      </c>
      <c r="E181" s="162">
        <v>445</v>
      </c>
      <c r="F181" s="162">
        <v>445</v>
      </c>
      <c r="G181" s="162">
        <v>445</v>
      </c>
    </row>
    <row r="182" spans="1:7" x14ac:dyDescent="0.2">
      <c r="A182" s="3" t="s">
        <v>419</v>
      </c>
      <c r="B182" s="3" t="s">
        <v>420</v>
      </c>
      <c r="C182" s="170">
        <f t="shared" si="2"/>
        <v>157</v>
      </c>
      <c r="D182" s="162">
        <v>157</v>
      </c>
      <c r="E182" s="162">
        <v>253</v>
      </c>
      <c r="F182" s="162">
        <v>253</v>
      </c>
      <c r="G182" s="162">
        <v>253</v>
      </c>
    </row>
    <row r="183" spans="1:7" x14ac:dyDescent="0.2">
      <c r="A183" s="3" t="s">
        <v>421</v>
      </c>
      <c r="B183" s="3" t="s">
        <v>422</v>
      </c>
      <c r="C183" s="170">
        <f t="shared" si="2"/>
        <v>156</v>
      </c>
      <c r="D183" s="162">
        <v>156</v>
      </c>
      <c r="E183" s="162">
        <v>198</v>
      </c>
      <c r="F183" s="162">
        <v>198</v>
      </c>
      <c r="G183" s="162">
        <v>198</v>
      </c>
    </row>
    <row r="184" spans="1:7" x14ac:dyDescent="0.2">
      <c r="A184" s="3" t="s">
        <v>423</v>
      </c>
      <c r="B184" s="3" t="s">
        <v>424</v>
      </c>
      <c r="C184" s="170">
        <f t="shared" si="2"/>
        <v>155</v>
      </c>
      <c r="D184" s="162">
        <v>155</v>
      </c>
      <c r="E184" s="162">
        <v>472</v>
      </c>
      <c r="F184" s="162">
        <v>472</v>
      </c>
      <c r="G184" s="162">
        <v>472</v>
      </c>
    </row>
    <row r="185" spans="1:7" x14ac:dyDescent="0.2">
      <c r="A185" s="3" t="s">
        <v>425</v>
      </c>
      <c r="B185" s="3" t="s">
        <v>426</v>
      </c>
      <c r="C185" s="170">
        <f t="shared" si="2"/>
        <v>154</v>
      </c>
      <c r="D185" s="162">
        <v>154</v>
      </c>
      <c r="E185" s="162">
        <v>889</v>
      </c>
      <c r="F185" s="162">
        <v>889</v>
      </c>
      <c r="G185" s="162">
        <v>889</v>
      </c>
    </row>
    <row r="186" spans="1:7" x14ac:dyDescent="0.2">
      <c r="A186" s="3" t="s">
        <v>427</v>
      </c>
      <c r="B186" s="3" t="s">
        <v>428</v>
      </c>
      <c r="C186" s="170">
        <f t="shared" si="2"/>
        <v>153</v>
      </c>
      <c r="D186" s="162">
        <v>153</v>
      </c>
      <c r="E186" s="162">
        <v>773</v>
      </c>
      <c r="F186" s="162">
        <v>773</v>
      </c>
      <c r="G186" s="162">
        <v>773</v>
      </c>
    </row>
    <row r="187" spans="1:7" x14ac:dyDescent="0.2">
      <c r="A187" s="3" t="s">
        <v>429</v>
      </c>
      <c r="B187" s="3" t="s">
        <v>430</v>
      </c>
      <c r="C187" s="170">
        <f t="shared" si="2"/>
        <v>152</v>
      </c>
      <c r="D187" s="162">
        <v>152</v>
      </c>
      <c r="E187" s="162">
        <v>748</v>
      </c>
      <c r="F187" s="162">
        <v>748</v>
      </c>
      <c r="G187" s="162">
        <v>748</v>
      </c>
    </row>
    <row r="188" spans="1:7" x14ac:dyDescent="0.2">
      <c r="A188" s="3" t="s">
        <v>431</v>
      </c>
      <c r="B188" s="3" t="s">
        <v>432</v>
      </c>
      <c r="C188" s="170">
        <f t="shared" si="2"/>
        <v>151</v>
      </c>
      <c r="D188" s="162">
        <v>151</v>
      </c>
      <c r="E188" s="162">
        <v>309</v>
      </c>
      <c r="F188" s="162">
        <v>309</v>
      </c>
      <c r="G188" s="162">
        <v>309</v>
      </c>
    </row>
    <row r="189" spans="1:7" x14ac:dyDescent="0.2">
      <c r="A189" s="3" t="s">
        <v>433</v>
      </c>
      <c r="B189" s="3" t="s">
        <v>434</v>
      </c>
      <c r="C189" s="170">
        <f t="shared" si="2"/>
        <v>150</v>
      </c>
      <c r="D189" s="162">
        <v>150</v>
      </c>
      <c r="E189" s="162">
        <v>110</v>
      </c>
      <c r="F189" s="162">
        <v>110</v>
      </c>
      <c r="G189" s="162">
        <v>110</v>
      </c>
    </row>
    <row r="190" spans="1:7" x14ac:dyDescent="0.2">
      <c r="A190" s="3" t="s">
        <v>435</v>
      </c>
      <c r="B190" s="3" t="s">
        <v>436</v>
      </c>
      <c r="C190" s="170">
        <f t="shared" si="2"/>
        <v>149</v>
      </c>
      <c r="D190" s="162">
        <v>149</v>
      </c>
      <c r="E190" s="162">
        <v>568</v>
      </c>
      <c r="F190" s="162">
        <v>568</v>
      </c>
      <c r="G190" s="162">
        <v>568</v>
      </c>
    </row>
    <row r="191" spans="1:7" x14ac:dyDescent="0.2">
      <c r="A191" s="3" t="s">
        <v>437</v>
      </c>
      <c r="B191" s="3" t="s">
        <v>438</v>
      </c>
      <c r="C191" s="170">
        <f t="shared" si="2"/>
        <v>148</v>
      </c>
      <c r="D191" s="162">
        <v>148</v>
      </c>
      <c r="E191" s="162">
        <v>556</v>
      </c>
      <c r="F191" s="162">
        <v>556</v>
      </c>
      <c r="G191" s="162">
        <v>556</v>
      </c>
    </row>
    <row r="192" spans="1:7" x14ac:dyDescent="0.2">
      <c r="A192" s="3" t="s">
        <v>439</v>
      </c>
      <c r="B192" s="3" t="s">
        <v>440</v>
      </c>
      <c r="C192" s="170">
        <f t="shared" si="2"/>
        <v>147</v>
      </c>
      <c r="D192" s="162">
        <v>147</v>
      </c>
      <c r="E192" s="162">
        <v>438</v>
      </c>
      <c r="F192" s="162">
        <v>438</v>
      </c>
      <c r="G192" s="162">
        <v>438</v>
      </c>
    </row>
    <row r="193" spans="1:7" x14ac:dyDescent="0.2">
      <c r="A193" s="3" t="s">
        <v>441</v>
      </c>
      <c r="B193" s="3" t="s">
        <v>442</v>
      </c>
      <c r="C193" s="170">
        <f t="shared" si="2"/>
        <v>146</v>
      </c>
      <c r="D193" s="162">
        <v>146</v>
      </c>
      <c r="E193" s="162">
        <v>998</v>
      </c>
      <c r="F193" s="162">
        <v>998</v>
      </c>
      <c r="G193" s="162">
        <v>998</v>
      </c>
    </row>
    <row r="194" spans="1:7" x14ac:dyDescent="0.2">
      <c r="A194" s="3" t="s">
        <v>443</v>
      </c>
      <c r="B194" s="3" t="s">
        <v>444</v>
      </c>
      <c r="C194" s="170">
        <f t="shared" si="2"/>
        <v>145</v>
      </c>
      <c r="D194" s="162">
        <v>145</v>
      </c>
      <c r="E194" s="162">
        <v>182</v>
      </c>
      <c r="F194" s="162">
        <v>182</v>
      </c>
      <c r="G194" s="162">
        <v>182</v>
      </c>
    </row>
    <row r="195" spans="1:7" x14ac:dyDescent="0.2">
      <c r="A195" s="3" t="s">
        <v>445</v>
      </c>
      <c r="B195" s="3" t="s">
        <v>446</v>
      </c>
      <c r="C195" s="170">
        <f t="shared" ref="C195:C201" si="3">D195</f>
        <v>144</v>
      </c>
      <c r="D195" s="162">
        <v>144</v>
      </c>
      <c r="E195" s="162">
        <v>782</v>
      </c>
      <c r="F195" s="162">
        <v>782</v>
      </c>
      <c r="G195" s="162">
        <v>782</v>
      </c>
    </row>
    <row r="196" spans="1:7" x14ac:dyDescent="0.2">
      <c r="A196" s="3" t="s">
        <v>447</v>
      </c>
      <c r="B196" s="3" t="s">
        <v>448</v>
      </c>
      <c r="C196" s="170">
        <f t="shared" si="3"/>
        <v>143</v>
      </c>
      <c r="D196" s="162">
        <v>143</v>
      </c>
      <c r="E196" s="162">
        <v>741</v>
      </c>
      <c r="F196" s="162">
        <v>741</v>
      </c>
      <c r="G196" s="162">
        <v>741</v>
      </c>
    </row>
    <row r="197" spans="1:7" x14ac:dyDescent="0.2">
      <c r="A197" s="3" t="s">
        <v>449</v>
      </c>
      <c r="B197" s="3" t="s">
        <v>450</v>
      </c>
      <c r="C197" s="170">
        <f t="shared" si="3"/>
        <v>142</v>
      </c>
      <c r="D197" s="162">
        <v>142</v>
      </c>
      <c r="E197" s="162">
        <v>586</v>
      </c>
      <c r="F197" s="162">
        <v>586</v>
      </c>
      <c r="G197" s="162">
        <v>586</v>
      </c>
    </row>
    <row r="198" spans="1:7" x14ac:dyDescent="0.2">
      <c r="A198" s="3" t="s">
        <v>451</v>
      </c>
      <c r="B198" s="3" t="s">
        <v>452</v>
      </c>
      <c r="C198" s="170">
        <f t="shared" si="3"/>
        <v>141</v>
      </c>
      <c r="D198" s="162">
        <v>141</v>
      </c>
      <c r="E198" s="162">
        <v>181</v>
      </c>
      <c r="F198" s="162">
        <v>181</v>
      </c>
      <c r="G198" s="162">
        <v>181</v>
      </c>
    </row>
    <row r="199" spans="1:7" x14ac:dyDescent="0.2">
      <c r="A199" s="3" t="s">
        <v>453</v>
      </c>
      <c r="B199" s="3" t="s">
        <v>454</v>
      </c>
      <c r="C199" s="170">
        <f t="shared" si="3"/>
        <v>140</v>
      </c>
      <c r="D199" s="162">
        <v>140</v>
      </c>
      <c r="E199" s="162">
        <v>413</v>
      </c>
      <c r="F199" s="162">
        <v>413</v>
      </c>
      <c r="G199" s="162">
        <v>413</v>
      </c>
    </row>
    <row r="200" spans="1:7" x14ac:dyDescent="0.2">
      <c r="A200" s="3" t="s">
        <v>455</v>
      </c>
      <c r="B200" s="3" t="s">
        <v>456</v>
      </c>
      <c r="C200" s="170">
        <f t="shared" si="3"/>
        <v>139</v>
      </c>
      <c r="D200" s="162">
        <v>139</v>
      </c>
      <c r="E200" s="162">
        <v>858</v>
      </c>
      <c r="F200" s="162">
        <v>858</v>
      </c>
      <c r="G200" s="162">
        <v>858</v>
      </c>
    </row>
    <row r="201" spans="1:7" x14ac:dyDescent="0.2">
      <c r="A201" s="3" t="s">
        <v>457</v>
      </c>
      <c r="B201" s="3" t="s">
        <v>458</v>
      </c>
      <c r="C201" s="170">
        <f t="shared" si="3"/>
        <v>138</v>
      </c>
      <c r="D201" s="162">
        <v>138</v>
      </c>
      <c r="E201" s="162">
        <v>152</v>
      </c>
      <c r="F201" s="162">
        <v>152</v>
      </c>
      <c r="G201" s="162">
        <v>152</v>
      </c>
    </row>
    <row r="202" spans="1:7" x14ac:dyDescent="0.2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150" zoomScaleNormal="90" workbookViewId="0">
      <selection activeCell="C3" sqref="C3"/>
    </sheetView>
  </sheetViews>
  <sheetFormatPr baseColWidth="10" defaultColWidth="11" defaultRowHeight="16" x14ac:dyDescent="0.2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 x14ac:dyDescent="0.2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 x14ac:dyDescent="0.2">
      <c r="A2" s="1"/>
      <c r="B2" s="1"/>
      <c r="C2" s="1"/>
      <c r="D2" s="32">
        <v>0</v>
      </c>
      <c r="E2" s="32"/>
      <c r="F2" s="1">
        <v>0</v>
      </c>
    </row>
    <row r="3" spans="1:6" x14ac:dyDescent="0.2">
      <c r="A3" s="181" t="s">
        <v>176</v>
      </c>
      <c r="B3" s="181" t="s">
        <v>177</v>
      </c>
      <c r="C3" s="182">
        <f>VLOOKUP(A3, 'S07 Initial Parameters'!$A$2:$C$201, 3, 0)</f>
        <v>250356</v>
      </c>
      <c r="D3" s="183">
        <f t="shared" ref="D3:D34" si="0">C3+D2</f>
        <v>250356</v>
      </c>
      <c r="E3" s="184">
        <f>C3/SUM($C$3:$C$202)</f>
        <v>0.17084365467684812</v>
      </c>
      <c r="F3" s="185">
        <f>E3+F2</f>
        <v>0.17084365467684812</v>
      </c>
    </row>
    <row r="4" spans="1:6" x14ac:dyDescent="0.2">
      <c r="A4" s="181" t="s">
        <v>178</v>
      </c>
      <c r="B4" s="181" t="s">
        <v>179</v>
      </c>
      <c r="C4" s="182">
        <f>VLOOKUP(A4, 'S07 Initial Parameters'!$A$2:$C$201, 3, 0)</f>
        <v>215425</v>
      </c>
      <c r="D4" s="183">
        <f t="shared" si="0"/>
        <v>465781</v>
      </c>
      <c r="E4" s="184">
        <f t="shared" ref="E4:E67" si="1">C4/SUM($C$3:$C$202)</f>
        <v>0.14700663977999331</v>
      </c>
      <c r="F4" s="185">
        <f t="shared" ref="F4:F67" si="2">E4+F3</f>
        <v>0.31785029445684143</v>
      </c>
    </row>
    <row r="5" spans="1:6" x14ac:dyDescent="0.2">
      <c r="A5" s="181" t="s">
        <v>180</v>
      </c>
      <c r="B5" s="181" t="s">
        <v>181</v>
      </c>
      <c r="C5" s="182">
        <f>VLOOKUP(A5, 'S07 Initial Parameters'!$A$2:$C$201, 3, 0)</f>
        <v>125036</v>
      </c>
      <c r="D5" s="183">
        <f t="shared" si="0"/>
        <v>590817</v>
      </c>
      <c r="E5" s="184">
        <f t="shared" si="1"/>
        <v>8.5324926129888568E-2</v>
      </c>
      <c r="F5" s="185">
        <f t="shared" si="2"/>
        <v>0.40317522058673</v>
      </c>
    </row>
    <row r="6" spans="1:6" x14ac:dyDescent="0.2">
      <c r="A6" s="181" t="s">
        <v>182</v>
      </c>
      <c r="B6" s="181" t="s">
        <v>183</v>
      </c>
      <c r="C6" s="182">
        <f>VLOOKUP(A6, 'S07 Initial Parameters'!$A$2:$C$201, 3, 0)</f>
        <v>86542</v>
      </c>
      <c r="D6" s="183">
        <f t="shared" si="0"/>
        <v>677359</v>
      </c>
      <c r="E6" s="184">
        <f t="shared" si="1"/>
        <v>5.9056509782245241E-2</v>
      </c>
      <c r="F6" s="185">
        <f t="shared" si="2"/>
        <v>0.46223173036897525</v>
      </c>
    </row>
    <row r="7" spans="1:6" x14ac:dyDescent="0.2">
      <c r="A7" s="181" t="s">
        <v>184</v>
      </c>
      <c r="B7" s="181" t="s">
        <v>185</v>
      </c>
      <c r="C7" s="182">
        <f>VLOOKUP(A7, 'S07 Initial Parameters'!$A$2:$C$201, 3, 0)</f>
        <v>85612</v>
      </c>
      <c r="D7" s="183">
        <f t="shared" si="0"/>
        <v>762971</v>
      </c>
      <c r="E7" s="184">
        <f t="shared" si="1"/>
        <v>5.842187510662545E-2</v>
      </c>
      <c r="F7" s="185">
        <f t="shared" si="2"/>
        <v>0.52065360547560069</v>
      </c>
    </row>
    <row r="8" spans="1:6" x14ac:dyDescent="0.2">
      <c r="A8" s="181" t="s">
        <v>186</v>
      </c>
      <c r="B8" s="181" t="s">
        <v>187</v>
      </c>
      <c r="C8" s="182">
        <f>VLOOKUP(A8, 'S07 Initial Parameters'!$A$2:$C$201, 3, 0)</f>
        <v>65248</v>
      </c>
      <c r="D8" s="183">
        <f t="shared" si="0"/>
        <v>828219</v>
      </c>
      <c r="E8" s="184">
        <f t="shared" si="1"/>
        <v>4.452542291918303E-2</v>
      </c>
      <c r="F8" s="185">
        <f t="shared" si="2"/>
        <v>0.56517902839478373</v>
      </c>
    </row>
    <row r="9" spans="1:6" x14ac:dyDescent="0.2">
      <c r="A9" s="181" t="s">
        <v>188</v>
      </c>
      <c r="B9" s="181" t="s">
        <v>189</v>
      </c>
      <c r="C9" s="182">
        <f>VLOOKUP(A9, 'S07 Initial Parameters'!$A$2:$C$201, 3, 0)</f>
        <v>54682</v>
      </c>
      <c r="D9" s="183">
        <f t="shared" si="0"/>
        <v>882901</v>
      </c>
      <c r="E9" s="184">
        <f t="shared" si="1"/>
        <v>3.7315154120689774E-2</v>
      </c>
      <c r="F9" s="185">
        <f t="shared" si="2"/>
        <v>0.60249418251547349</v>
      </c>
    </row>
    <row r="10" spans="1:6" x14ac:dyDescent="0.2">
      <c r="A10" s="181" t="s">
        <v>190</v>
      </c>
      <c r="B10" s="181" t="s">
        <v>191</v>
      </c>
      <c r="C10" s="182">
        <f>VLOOKUP(A10, 'S07 Initial Parameters'!$A$2:$C$201, 3, 0)</f>
        <v>50689</v>
      </c>
      <c r="D10" s="183">
        <f t="shared" si="0"/>
        <v>933590</v>
      </c>
      <c r="E10" s="184">
        <f t="shared" si="1"/>
        <v>3.4590319432786731E-2</v>
      </c>
      <c r="F10" s="185">
        <f t="shared" si="2"/>
        <v>0.63708450194826027</v>
      </c>
    </row>
    <row r="11" spans="1:6" x14ac:dyDescent="0.2">
      <c r="A11" s="181" t="s">
        <v>192</v>
      </c>
      <c r="B11" s="181" t="s">
        <v>193</v>
      </c>
      <c r="C11" s="182">
        <f>VLOOKUP(A11, 'S07 Initial Parameters'!$A$2:$C$201, 3, 0)</f>
        <v>45896</v>
      </c>
      <c r="D11" s="183">
        <f t="shared" si="0"/>
        <v>979486</v>
      </c>
      <c r="E11" s="184">
        <f t="shared" si="1"/>
        <v>3.1319562443275259E-2</v>
      </c>
      <c r="F11" s="185">
        <f t="shared" si="2"/>
        <v>0.66840406439153555</v>
      </c>
    </row>
    <row r="12" spans="1:6" x14ac:dyDescent="0.2">
      <c r="A12" s="181" t="s">
        <v>194</v>
      </c>
      <c r="B12" s="181" t="s">
        <v>195</v>
      </c>
      <c r="C12" s="182">
        <f>VLOOKUP(A12, 'S07 Initial Parameters'!$A$2:$C$201, 3, 0)</f>
        <v>36524</v>
      </c>
      <c r="D12" s="183">
        <f t="shared" si="0"/>
        <v>1016010</v>
      </c>
      <c r="E12" s="184">
        <f t="shared" si="1"/>
        <v>2.4924082679932579E-2</v>
      </c>
      <c r="F12" s="185">
        <f t="shared" si="2"/>
        <v>0.69332814707146817</v>
      </c>
    </row>
    <row r="13" spans="1:6" x14ac:dyDescent="0.2">
      <c r="A13" s="181" t="s">
        <v>196</v>
      </c>
      <c r="B13" s="181" t="s">
        <v>197</v>
      </c>
      <c r="C13" s="182">
        <f>VLOOKUP(A13, 'S07 Initial Parameters'!$A$2:$C$201, 3, 0)</f>
        <v>36502</v>
      </c>
      <c r="D13" s="183">
        <f t="shared" si="0"/>
        <v>1052512</v>
      </c>
      <c r="E13" s="184">
        <f t="shared" si="1"/>
        <v>2.4909069816638346E-2</v>
      </c>
      <c r="F13" s="185">
        <f t="shared" si="2"/>
        <v>0.71823721688810649</v>
      </c>
    </row>
    <row r="14" spans="1:6" x14ac:dyDescent="0.2">
      <c r="A14" s="181" t="s">
        <v>198</v>
      </c>
      <c r="B14" s="181" t="s">
        <v>199</v>
      </c>
      <c r="C14" s="182">
        <f>VLOOKUP(A14, 'S07 Initial Parameters'!$A$2:$C$201, 3, 0)</f>
        <v>25689</v>
      </c>
      <c r="D14" s="183">
        <f t="shared" si="0"/>
        <v>1078201</v>
      </c>
      <c r="E14" s="184">
        <f t="shared" si="1"/>
        <v>1.7530247507523491E-2</v>
      </c>
      <c r="F14" s="185">
        <f t="shared" si="2"/>
        <v>0.73576746439563001</v>
      </c>
    </row>
    <row r="15" spans="1:6" x14ac:dyDescent="0.2">
      <c r="A15" s="181" t="s">
        <v>200</v>
      </c>
      <c r="B15" s="181" t="s">
        <v>201</v>
      </c>
      <c r="C15" s="182">
        <f>VLOOKUP(A15, 'S07 Initial Parameters'!$A$2:$C$201, 3, 0)</f>
        <v>25689</v>
      </c>
      <c r="D15" s="183">
        <f t="shared" si="0"/>
        <v>1103890</v>
      </c>
      <c r="E15" s="184">
        <f t="shared" si="1"/>
        <v>1.7530247507523491E-2</v>
      </c>
      <c r="F15" s="185">
        <f t="shared" si="2"/>
        <v>0.75329771190315353</v>
      </c>
    </row>
    <row r="16" spans="1:6" x14ac:dyDescent="0.2">
      <c r="A16" s="181" t="s">
        <v>202</v>
      </c>
      <c r="B16" s="181" t="s">
        <v>716</v>
      </c>
      <c r="C16" s="182">
        <f>VLOOKUP(A16, 'S07 Initial Parameters'!$A$2:$C$201, 3, 0)</f>
        <v>25649</v>
      </c>
      <c r="D16" s="183">
        <f t="shared" si="0"/>
        <v>1129539</v>
      </c>
      <c r="E16" s="184">
        <f t="shared" si="1"/>
        <v>1.750295139244307E-2</v>
      </c>
      <c r="F16" s="185">
        <f t="shared" si="2"/>
        <v>0.7708006632955966</v>
      </c>
    </row>
    <row r="17" spans="1:6" x14ac:dyDescent="0.2">
      <c r="A17" s="181" t="s">
        <v>203</v>
      </c>
      <c r="B17" s="181" t="s">
        <v>204</v>
      </c>
      <c r="C17" s="182">
        <f>VLOOKUP(A17, 'S07 Initial Parameters'!$A$2:$C$201, 3, 0)</f>
        <v>25639</v>
      </c>
      <c r="D17" s="183">
        <f t="shared" si="0"/>
        <v>1155178</v>
      </c>
      <c r="E17" s="184">
        <f t="shared" si="1"/>
        <v>1.7496127363672967E-2</v>
      </c>
      <c r="F17" s="185">
        <f t="shared" si="2"/>
        <v>0.78829679065926961</v>
      </c>
    </row>
    <row r="18" spans="1:6" x14ac:dyDescent="0.2">
      <c r="A18" s="181" t="s">
        <v>205</v>
      </c>
      <c r="B18" s="181" t="s">
        <v>206</v>
      </c>
      <c r="C18" s="182">
        <f>VLOOKUP(A18, 'S07 Initial Parameters'!$A$2:$C$201, 3, 0)</f>
        <v>25468</v>
      </c>
      <c r="D18" s="183">
        <f t="shared" si="0"/>
        <v>1180646</v>
      </c>
      <c r="E18" s="184">
        <f t="shared" si="1"/>
        <v>1.7379436471704163E-2</v>
      </c>
      <c r="F18" s="185">
        <f t="shared" si="2"/>
        <v>0.80567622713097375</v>
      </c>
    </row>
    <row r="19" spans="1:6" x14ac:dyDescent="0.2">
      <c r="A19" s="164" t="s">
        <v>525</v>
      </c>
      <c r="B19" s="164" t="s">
        <v>753</v>
      </c>
      <c r="C19" s="163">
        <f>VLOOKUP(A19, 'S07 Initial Parameters'!$A$2:$C$201, 3, 0)</f>
        <v>12224</v>
      </c>
      <c r="D19" s="165">
        <f t="shared" si="0"/>
        <v>1192870</v>
      </c>
      <c r="E19" s="166">
        <f t="shared" si="1"/>
        <v>8.3416927685767122E-3</v>
      </c>
      <c r="F19" s="167">
        <f t="shared" si="2"/>
        <v>0.81401791989955041</v>
      </c>
    </row>
    <row r="20" spans="1:6" x14ac:dyDescent="0.2">
      <c r="A20" s="164" t="s">
        <v>531</v>
      </c>
      <c r="B20" s="164" t="s">
        <v>762</v>
      </c>
      <c r="C20" s="163">
        <f>VLOOKUP(A20, 'S07 Initial Parameters'!$A$2:$C$201, 3, 0)</f>
        <v>12036</v>
      </c>
      <c r="D20" s="165">
        <f t="shared" si="0"/>
        <v>1204906</v>
      </c>
      <c r="E20" s="166">
        <f t="shared" si="1"/>
        <v>8.2134010276987326E-3</v>
      </c>
      <c r="F20" s="167">
        <f t="shared" si="2"/>
        <v>0.82223132092724915</v>
      </c>
    </row>
    <row r="21" spans="1:6" x14ac:dyDescent="0.2">
      <c r="A21" s="164" t="s">
        <v>533</v>
      </c>
      <c r="B21" s="164" t="s">
        <v>764</v>
      </c>
      <c r="C21" s="163">
        <f>VLOOKUP(A21, 'S07 Initial Parameters'!$A$2:$C$201, 3, 0)</f>
        <v>10356</v>
      </c>
      <c r="D21" s="165">
        <f t="shared" si="0"/>
        <v>1215262</v>
      </c>
      <c r="E21" s="166">
        <f t="shared" si="1"/>
        <v>7.066964194321043E-3</v>
      </c>
      <c r="F21" s="167">
        <f t="shared" si="2"/>
        <v>0.82929828512157022</v>
      </c>
    </row>
    <row r="22" spans="1:6" x14ac:dyDescent="0.2">
      <c r="A22" s="164" t="s">
        <v>534</v>
      </c>
      <c r="B22" s="164" t="s">
        <v>765</v>
      </c>
      <c r="C22" s="163">
        <f>VLOOKUP(A22, 'S07 Initial Parameters'!$A$2:$C$201, 3, 0)</f>
        <v>10254</v>
      </c>
      <c r="D22" s="165">
        <f t="shared" si="0"/>
        <v>1225516</v>
      </c>
      <c r="E22" s="166">
        <f t="shared" si="1"/>
        <v>6.9973591008659691E-3</v>
      </c>
      <c r="F22" s="167">
        <f t="shared" si="2"/>
        <v>0.83629564422243619</v>
      </c>
    </row>
    <row r="23" spans="1:6" x14ac:dyDescent="0.2">
      <c r="A23" s="164" t="s">
        <v>553</v>
      </c>
      <c r="B23" s="164" t="s">
        <v>724</v>
      </c>
      <c r="C23" s="163">
        <f>VLOOKUP(A23, 'S07 Initial Parameters'!$A$2:$C$201, 3, 0)</f>
        <v>10038</v>
      </c>
      <c r="D23" s="165">
        <f t="shared" si="0"/>
        <v>1235554</v>
      </c>
      <c r="E23" s="166">
        <f t="shared" si="1"/>
        <v>6.8499600794316952E-3</v>
      </c>
      <c r="F23" s="167">
        <f t="shared" si="2"/>
        <v>0.84314560430186791</v>
      </c>
    </row>
    <row r="24" spans="1:6" x14ac:dyDescent="0.2">
      <c r="A24" s="164" t="s">
        <v>558</v>
      </c>
      <c r="B24" s="164" t="s">
        <v>715</v>
      </c>
      <c r="C24" s="163">
        <f>VLOOKUP(A24, 'S07 Initial Parameters'!$A$2:$C$201, 3, 0)</f>
        <v>9748</v>
      </c>
      <c r="D24" s="165">
        <f t="shared" si="0"/>
        <v>1245302</v>
      </c>
      <c r="E24" s="166">
        <f t="shared" si="1"/>
        <v>6.6520632450986416E-3</v>
      </c>
      <c r="F24" s="167">
        <f t="shared" si="2"/>
        <v>0.84979766754696651</v>
      </c>
    </row>
    <row r="25" spans="1:6" x14ac:dyDescent="0.2">
      <c r="A25" s="164" t="s">
        <v>547</v>
      </c>
      <c r="B25" s="164" t="s">
        <v>734</v>
      </c>
      <c r="C25" s="163">
        <f>VLOOKUP(A25, 'S07 Initial Parameters'!$A$2:$C$201, 3, 0)</f>
        <v>9246</v>
      </c>
      <c r="D25" s="165">
        <f t="shared" si="0"/>
        <v>1254548</v>
      </c>
      <c r="E25" s="166">
        <f t="shared" si="1"/>
        <v>6.3094970008393553E-3</v>
      </c>
      <c r="F25" s="167">
        <f t="shared" si="2"/>
        <v>0.85610716454780589</v>
      </c>
    </row>
    <row r="26" spans="1:6" x14ac:dyDescent="0.2">
      <c r="A26" s="164" t="s">
        <v>541</v>
      </c>
      <c r="B26" s="164" t="s">
        <v>728</v>
      </c>
      <c r="C26" s="163">
        <f>VLOOKUP(A26, 'S07 Initial Parameters'!$A$2:$C$201, 3, 0)</f>
        <v>8750</v>
      </c>
      <c r="D26" s="165">
        <f t="shared" si="0"/>
        <v>1263298</v>
      </c>
      <c r="E26" s="166">
        <f t="shared" si="1"/>
        <v>5.971025173842133E-3</v>
      </c>
      <c r="F26" s="167">
        <f t="shared" si="2"/>
        <v>0.86207818972164807</v>
      </c>
    </row>
    <row r="27" spans="1:6" x14ac:dyDescent="0.2">
      <c r="A27" s="164" t="s">
        <v>544</v>
      </c>
      <c r="B27" s="164" t="s">
        <v>731</v>
      </c>
      <c r="C27" s="163">
        <f>VLOOKUP(A27, 'S07 Initial Parameters'!$A$2:$C$201, 3, 0)</f>
        <v>8230</v>
      </c>
      <c r="D27" s="165">
        <f t="shared" si="0"/>
        <v>1271528</v>
      </c>
      <c r="E27" s="166">
        <f t="shared" si="1"/>
        <v>5.6161756777966575E-3</v>
      </c>
      <c r="F27" s="167">
        <f t="shared" si="2"/>
        <v>0.86769436539944478</v>
      </c>
    </row>
    <row r="28" spans="1:6" x14ac:dyDescent="0.2">
      <c r="A28" s="164" t="s">
        <v>538</v>
      </c>
      <c r="B28" s="164" t="s">
        <v>736</v>
      </c>
      <c r="C28" s="163">
        <f>VLOOKUP(A28, 'S07 Initial Parameters'!$A$2:$C$201, 3, 0)</f>
        <v>8070</v>
      </c>
      <c r="D28" s="165">
        <f t="shared" si="0"/>
        <v>1279598</v>
      </c>
      <c r="E28" s="166">
        <f t="shared" si="1"/>
        <v>5.5069912174749731E-3</v>
      </c>
      <c r="F28" s="167">
        <f t="shared" si="2"/>
        <v>0.87320135661691978</v>
      </c>
    </row>
    <row r="29" spans="1:6" x14ac:dyDescent="0.2">
      <c r="A29" s="164" t="s">
        <v>550</v>
      </c>
      <c r="B29" s="164" t="s">
        <v>713</v>
      </c>
      <c r="C29" s="163">
        <f>VLOOKUP(A29, 'S07 Initial Parameters'!$A$2:$C$201, 3, 0)</f>
        <v>7654</v>
      </c>
      <c r="D29" s="165">
        <f t="shared" si="0"/>
        <v>1287252</v>
      </c>
      <c r="E29" s="166">
        <f t="shared" si="1"/>
        <v>5.2231116206385925E-3</v>
      </c>
      <c r="F29" s="167">
        <f t="shared" si="2"/>
        <v>0.87842446823755838</v>
      </c>
    </row>
    <row r="30" spans="1:6" x14ac:dyDescent="0.2">
      <c r="A30" s="164" t="s">
        <v>545</v>
      </c>
      <c r="B30" s="164" t="s">
        <v>732</v>
      </c>
      <c r="C30" s="163">
        <f>VLOOKUP(A30, 'S07 Initial Parameters'!$A$2:$C$201, 3, 0)</f>
        <v>7065</v>
      </c>
      <c r="D30" s="165">
        <f t="shared" si="0"/>
        <v>1294317</v>
      </c>
      <c r="E30" s="166">
        <f t="shared" si="1"/>
        <v>4.8211763260793909E-3</v>
      </c>
      <c r="F30" s="167">
        <f t="shared" si="2"/>
        <v>0.88324564456363774</v>
      </c>
    </row>
    <row r="31" spans="1:6" x14ac:dyDescent="0.2">
      <c r="A31" s="164" t="s">
        <v>521</v>
      </c>
      <c r="B31" s="164" t="s">
        <v>749</v>
      </c>
      <c r="C31" s="163">
        <f>VLOOKUP(A31, 'S07 Initial Parameters'!$A$2:$C$201, 3, 0)</f>
        <v>6903</v>
      </c>
      <c r="D31" s="165">
        <f t="shared" si="0"/>
        <v>1301220</v>
      </c>
      <c r="E31" s="166">
        <f t="shared" si="1"/>
        <v>4.7106270600036854E-3</v>
      </c>
      <c r="F31" s="167">
        <f t="shared" si="2"/>
        <v>0.88795627162364144</v>
      </c>
    </row>
    <row r="32" spans="1:6" x14ac:dyDescent="0.2">
      <c r="A32" s="164" t="s">
        <v>512</v>
      </c>
      <c r="B32" s="164" t="s">
        <v>740</v>
      </c>
      <c r="C32" s="163">
        <f>VLOOKUP(A32, 'S07 Initial Parameters'!$A$2:$C$201, 3, 0)</f>
        <v>6491</v>
      </c>
      <c r="D32" s="165">
        <f t="shared" si="0"/>
        <v>1307711</v>
      </c>
      <c r="E32" s="166">
        <f t="shared" si="1"/>
        <v>4.4294770746753469E-3</v>
      </c>
      <c r="F32" s="167">
        <f t="shared" si="2"/>
        <v>0.89238574869831677</v>
      </c>
    </row>
    <row r="33" spans="1:6" x14ac:dyDescent="0.2">
      <c r="A33" s="164" t="s">
        <v>508</v>
      </c>
      <c r="B33" s="164" t="s">
        <v>756</v>
      </c>
      <c r="C33" s="163">
        <f>VLOOKUP(A33, 'S07 Initial Parameters'!$A$2:$C$201, 3, 0)</f>
        <v>6134</v>
      </c>
      <c r="D33" s="165">
        <f t="shared" si="0"/>
        <v>1313845</v>
      </c>
      <c r="E33" s="166">
        <f t="shared" si="1"/>
        <v>4.1858592475825882E-3</v>
      </c>
      <c r="F33" s="167">
        <f t="shared" si="2"/>
        <v>0.89657160794589941</v>
      </c>
    </row>
    <row r="34" spans="1:6" x14ac:dyDescent="0.2">
      <c r="A34" s="164" t="s">
        <v>555</v>
      </c>
      <c r="B34" s="164" t="s">
        <v>726</v>
      </c>
      <c r="C34" s="163">
        <f>VLOOKUP(A34, 'S07 Initial Parameters'!$A$2:$C$201, 3, 0)</f>
        <v>6003</v>
      </c>
      <c r="D34" s="165">
        <f t="shared" si="0"/>
        <v>1319848</v>
      </c>
      <c r="E34" s="166">
        <f t="shared" si="1"/>
        <v>4.0964644706942086E-3</v>
      </c>
      <c r="F34" s="167">
        <f t="shared" si="2"/>
        <v>0.90066807241659363</v>
      </c>
    </row>
    <row r="35" spans="1:6" x14ac:dyDescent="0.2">
      <c r="A35" s="164" t="s">
        <v>516</v>
      </c>
      <c r="B35" s="164" t="s">
        <v>745</v>
      </c>
      <c r="C35" s="163">
        <f>VLOOKUP(A35, 'S07 Initial Parameters'!$A$2:$C$201, 3, 0)</f>
        <v>5692</v>
      </c>
      <c r="D35" s="165">
        <f t="shared" ref="D35:D66" si="3">C35+D34</f>
        <v>1325540</v>
      </c>
      <c r="E35" s="166">
        <f t="shared" si="1"/>
        <v>3.8842371759439339E-3</v>
      </c>
      <c r="F35" s="167">
        <f t="shared" si="2"/>
        <v>0.90455230959253752</v>
      </c>
    </row>
    <row r="36" spans="1:6" x14ac:dyDescent="0.2">
      <c r="A36" s="164" t="s">
        <v>511</v>
      </c>
      <c r="B36" s="164" t="s">
        <v>739</v>
      </c>
      <c r="C36" s="163">
        <f>VLOOKUP(A36, 'S07 Initial Parameters'!$A$2:$C$201, 3, 0)</f>
        <v>4765</v>
      </c>
      <c r="D36" s="165">
        <f t="shared" si="3"/>
        <v>1330305</v>
      </c>
      <c r="E36" s="166">
        <f t="shared" si="1"/>
        <v>3.2516497089551729E-3</v>
      </c>
      <c r="F36" s="167">
        <f t="shared" si="2"/>
        <v>0.90780395930149271</v>
      </c>
    </row>
    <row r="37" spans="1:6" x14ac:dyDescent="0.2">
      <c r="A37" s="164" t="s">
        <v>543</v>
      </c>
      <c r="B37" s="164" t="s">
        <v>730</v>
      </c>
      <c r="C37" s="163">
        <f>VLOOKUP(A37, 'S07 Initial Parameters'!$A$2:$C$201, 3, 0)</f>
        <v>4730</v>
      </c>
      <c r="D37" s="165">
        <f t="shared" si="3"/>
        <v>1335035</v>
      </c>
      <c r="E37" s="166">
        <f t="shared" si="1"/>
        <v>3.2277656082598046E-3</v>
      </c>
      <c r="F37" s="167">
        <f t="shared" si="2"/>
        <v>0.91103172490975248</v>
      </c>
    </row>
    <row r="38" spans="1:6" x14ac:dyDescent="0.2">
      <c r="A38" s="164" t="s">
        <v>523</v>
      </c>
      <c r="B38" s="164" t="s">
        <v>751</v>
      </c>
      <c r="C38" s="163">
        <f>VLOOKUP(A38, 'S07 Initial Parameters'!$A$2:$C$201, 3, 0)</f>
        <v>4177</v>
      </c>
      <c r="D38" s="165">
        <f t="shared" si="3"/>
        <v>1339212</v>
      </c>
      <c r="E38" s="166">
        <f t="shared" si="1"/>
        <v>2.8503968172729818E-3</v>
      </c>
      <c r="F38" s="167">
        <f t="shared" si="2"/>
        <v>0.91388212172702543</v>
      </c>
    </row>
    <row r="39" spans="1:6" x14ac:dyDescent="0.2">
      <c r="A39" s="164" t="s">
        <v>552</v>
      </c>
      <c r="B39" s="164" t="s">
        <v>723</v>
      </c>
      <c r="C39" s="163">
        <f>VLOOKUP(A39, 'S07 Initial Parameters'!$A$2:$C$201, 3, 0)</f>
        <v>4084</v>
      </c>
      <c r="D39" s="165">
        <f t="shared" si="3"/>
        <v>1343296</v>
      </c>
      <c r="E39" s="166">
        <f t="shared" si="1"/>
        <v>2.7869333497110025E-3</v>
      </c>
      <c r="F39" s="167">
        <f t="shared" si="2"/>
        <v>0.91666905507673646</v>
      </c>
    </row>
    <row r="40" spans="1:6" x14ac:dyDescent="0.2">
      <c r="A40" s="164" t="s">
        <v>532</v>
      </c>
      <c r="B40" s="164" t="s">
        <v>763</v>
      </c>
      <c r="C40" s="163">
        <f>VLOOKUP(A40, 'S07 Initial Parameters'!$A$2:$C$201, 3, 0)</f>
        <v>3735</v>
      </c>
      <c r="D40" s="165">
        <f t="shared" si="3"/>
        <v>1347031</v>
      </c>
      <c r="E40" s="166">
        <f t="shared" si="1"/>
        <v>2.5487747456343275E-3</v>
      </c>
      <c r="F40" s="167">
        <f t="shared" si="2"/>
        <v>0.91921782982237077</v>
      </c>
    </row>
    <row r="41" spans="1:6" x14ac:dyDescent="0.2">
      <c r="A41" s="164" t="s">
        <v>529</v>
      </c>
      <c r="B41" s="164" t="s">
        <v>760</v>
      </c>
      <c r="C41" s="163">
        <f>VLOOKUP(A41, 'S07 Initial Parameters'!$A$2:$C$201, 3, 0)</f>
        <v>3562</v>
      </c>
      <c r="D41" s="165">
        <f t="shared" si="3"/>
        <v>1350593</v>
      </c>
      <c r="E41" s="166">
        <f t="shared" si="1"/>
        <v>2.4307190479115059E-3</v>
      </c>
      <c r="F41" s="167">
        <f t="shared" si="2"/>
        <v>0.92164854887028225</v>
      </c>
    </row>
    <row r="42" spans="1:6" x14ac:dyDescent="0.2">
      <c r="A42" s="164" t="s">
        <v>542</v>
      </c>
      <c r="B42" s="164" t="s">
        <v>729</v>
      </c>
      <c r="C42" s="163">
        <f>VLOOKUP(A42, 'S07 Initial Parameters'!$A$2:$C$201, 3, 0)</f>
        <v>3450</v>
      </c>
      <c r="D42" s="165">
        <f t="shared" si="3"/>
        <v>1354043</v>
      </c>
      <c r="E42" s="166">
        <f t="shared" si="1"/>
        <v>2.3542899256863265E-3</v>
      </c>
      <c r="F42" s="167">
        <f t="shared" si="2"/>
        <v>0.92400283879596856</v>
      </c>
    </row>
    <row r="43" spans="1:6" x14ac:dyDescent="0.2">
      <c r="A43" s="164" t="s">
        <v>535</v>
      </c>
      <c r="B43" s="164" t="s">
        <v>766</v>
      </c>
      <c r="C43" s="163">
        <f>VLOOKUP(A43, 'S07 Initial Parameters'!$A$2:$C$201, 3, 0)</f>
        <v>3076</v>
      </c>
      <c r="D43" s="165">
        <f t="shared" si="3"/>
        <v>1357119</v>
      </c>
      <c r="E43" s="166">
        <f t="shared" si="1"/>
        <v>2.0990712496843887E-3</v>
      </c>
      <c r="F43" s="167">
        <f t="shared" si="2"/>
        <v>0.9261019100456529</v>
      </c>
    </row>
    <row r="44" spans="1:6" x14ac:dyDescent="0.2">
      <c r="A44" s="164" t="s">
        <v>524</v>
      </c>
      <c r="B44" s="164" t="s">
        <v>752</v>
      </c>
      <c r="C44" s="163">
        <f>VLOOKUP(A44, 'S07 Initial Parameters'!$A$2:$C$201, 3, 0)</f>
        <v>2821</v>
      </c>
      <c r="D44" s="165">
        <f t="shared" si="3"/>
        <v>1359940</v>
      </c>
      <c r="E44" s="166">
        <f t="shared" si="1"/>
        <v>1.9250585160467037E-3</v>
      </c>
      <c r="F44" s="167">
        <f t="shared" si="2"/>
        <v>0.92802696856169964</v>
      </c>
    </row>
    <row r="45" spans="1:6" x14ac:dyDescent="0.2">
      <c r="A45" s="164" t="s">
        <v>548</v>
      </c>
      <c r="B45" s="164" t="s">
        <v>711</v>
      </c>
      <c r="C45" s="163">
        <f>VLOOKUP(A45, 'S07 Initial Parameters'!$A$2:$C$201, 3, 0)</f>
        <v>2559</v>
      </c>
      <c r="D45" s="165">
        <f t="shared" si="3"/>
        <v>1362499</v>
      </c>
      <c r="E45" s="166">
        <f t="shared" si="1"/>
        <v>1.746268962269945E-3</v>
      </c>
      <c r="F45" s="167">
        <f t="shared" si="2"/>
        <v>0.92977323752396956</v>
      </c>
    </row>
    <row r="46" spans="1:6" x14ac:dyDescent="0.2">
      <c r="A46" s="164" t="s">
        <v>551</v>
      </c>
      <c r="B46" s="164" t="s">
        <v>722</v>
      </c>
      <c r="C46" s="163">
        <f>VLOOKUP(A46, 'S07 Initial Parameters'!$A$2:$C$201, 3, 0)</f>
        <v>2549</v>
      </c>
      <c r="D46" s="165">
        <f t="shared" si="3"/>
        <v>1365048</v>
      </c>
      <c r="E46" s="166">
        <f t="shared" si="1"/>
        <v>1.7394449334998396E-3</v>
      </c>
      <c r="F46" s="167">
        <f t="shared" si="2"/>
        <v>0.93151268245746943</v>
      </c>
    </row>
    <row r="47" spans="1:6" x14ac:dyDescent="0.2">
      <c r="A47" s="164" t="s">
        <v>549</v>
      </c>
      <c r="B47" s="164" t="s">
        <v>712</v>
      </c>
      <c r="C47" s="163">
        <f>VLOOKUP(A47, 'S07 Initial Parameters'!$A$2:$C$201, 3, 0)</f>
        <v>2547</v>
      </c>
      <c r="D47" s="165">
        <f t="shared" si="3"/>
        <v>1367595</v>
      </c>
      <c r="E47" s="166">
        <f t="shared" si="1"/>
        <v>1.7380801277458186E-3</v>
      </c>
      <c r="F47" s="167">
        <f t="shared" si="2"/>
        <v>0.93325076258521522</v>
      </c>
    </row>
    <row r="48" spans="1:6" x14ac:dyDescent="0.2">
      <c r="A48" s="164" t="s">
        <v>554</v>
      </c>
      <c r="B48" s="164" t="s">
        <v>725</v>
      </c>
      <c r="C48" s="163">
        <f>VLOOKUP(A48, 'S07 Initial Parameters'!$A$2:$C$201, 3, 0)</f>
        <v>2525</v>
      </c>
      <c r="D48" s="165">
        <f t="shared" si="3"/>
        <v>1370120</v>
      </c>
      <c r="E48" s="166">
        <f t="shared" si="1"/>
        <v>1.7230672644515869E-3</v>
      </c>
      <c r="F48" s="167">
        <f t="shared" si="2"/>
        <v>0.93497382984966682</v>
      </c>
    </row>
    <row r="49" spans="1:6" x14ac:dyDescent="0.2">
      <c r="A49" s="164" t="s">
        <v>207</v>
      </c>
      <c r="B49" s="164" t="s">
        <v>208</v>
      </c>
      <c r="C49" s="163">
        <f>VLOOKUP(A49, 'S07 Initial Parameters'!$A$2:$C$201, 3, 0)</f>
        <v>2458</v>
      </c>
      <c r="D49" s="165">
        <f t="shared" si="3"/>
        <v>1372578</v>
      </c>
      <c r="E49" s="166">
        <f t="shared" si="1"/>
        <v>1.6773462716918814E-3</v>
      </c>
      <c r="F49" s="167">
        <f t="shared" si="2"/>
        <v>0.93665117612135873</v>
      </c>
    </row>
    <row r="50" spans="1:6" x14ac:dyDescent="0.2">
      <c r="A50" s="164" t="s">
        <v>557</v>
      </c>
      <c r="B50" s="164" t="s">
        <v>714</v>
      </c>
      <c r="C50" s="163">
        <f>VLOOKUP(A50, 'S07 Initial Parameters'!$A$2:$C$201, 3, 0)</f>
        <v>2458</v>
      </c>
      <c r="D50" s="165">
        <f t="shared" si="3"/>
        <v>1375036</v>
      </c>
      <c r="E50" s="166">
        <f t="shared" si="1"/>
        <v>1.6773462716918814E-3</v>
      </c>
      <c r="F50" s="167">
        <f t="shared" si="2"/>
        <v>0.93832852239305065</v>
      </c>
    </row>
    <row r="51" spans="1:6" x14ac:dyDescent="0.2">
      <c r="A51" s="164" t="s">
        <v>546</v>
      </c>
      <c r="B51" s="164" t="s">
        <v>733</v>
      </c>
      <c r="C51" s="163">
        <f>VLOOKUP(A51, 'S07 Initial Parameters'!$A$2:$C$201, 3, 0)</f>
        <v>2456</v>
      </c>
      <c r="D51" s="165">
        <f t="shared" si="3"/>
        <v>1377492</v>
      </c>
      <c r="E51" s="166">
        <f t="shared" si="1"/>
        <v>1.6759814659378603E-3</v>
      </c>
      <c r="F51" s="167">
        <f t="shared" si="2"/>
        <v>0.94000450385898848</v>
      </c>
    </row>
    <row r="52" spans="1:6" x14ac:dyDescent="0.2">
      <c r="A52" s="164" t="s">
        <v>209</v>
      </c>
      <c r="B52" s="164" t="s">
        <v>210</v>
      </c>
      <c r="C52" s="163">
        <f>VLOOKUP(A52, 'S07 Initial Parameters'!$A$2:$C$201, 3, 0)</f>
        <v>2456</v>
      </c>
      <c r="D52" s="165">
        <f t="shared" si="3"/>
        <v>1379948</v>
      </c>
      <c r="E52" s="166">
        <f t="shared" si="1"/>
        <v>1.6759814659378603E-3</v>
      </c>
      <c r="F52" s="167">
        <f t="shared" si="2"/>
        <v>0.94168048532492632</v>
      </c>
    </row>
    <row r="53" spans="1:6" x14ac:dyDescent="0.2">
      <c r="A53" s="164" t="s">
        <v>211</v>
      </c>
      <c r="B53" s="164" t="s">
        <v>212</v>
      </c>
      <c r="C53" s="163">
        <f>VLOOKUP(A53, 'S07 Initial Parameters'!$A$2:$C$201, 3, 0)</f>
        <v>2454</v>
      </c>
      <c r="D53" s="165">
        <f t="shared" si="3"/>
        <v>1382402</v>
      </c>
      <c r="E53" s="166">
        <f t="shared" si="1"/>
        <v>1.6746166601838393E-3</v>
      </c>
      <c r="F53" s="167">
        <f t="shared" si="2"/>
        <v>0.94335510198511019</v>
      </c>
    </row>
    <row r="54" spans="1:6" x14ac:dyDescent="0.2">
      <c r="A54" s="164" t="s">
        <v>539</v>
      </c>
      <c r="B54" s="164" t="s">
        <v>737</v>
      </c>
      <c r="C54" s="163">
        <f>VLOOKUP(A54, 'S07 Initial Parameters'!$A$2:$C$201, 3, 0)</f>
        <v>2342</v>
      </c>
      <c r="D54" s="165">
        <f t="shared" si="3"/>
        <v>1384744</v>
      </c>
      <c r="E54" s="166">
        <f t="shared" si="1"/>
        <v>1.5981875379586601E-3</v>
      </c>
      <c r="F54" s="167">
        <f t="shared" si="2"/>
        <v>0.9449532895230689</v>
      </c>
    </row>
    <row r="55" spans="1:6" x14ac:dyDescent="0.2">
      <c r="A55" s="164" t="s">
        <v>540</v>
      </c>
      <c r="B55" s="164" t="s">
        <v>710</v>
      </c>
      <c r="C55" s="163">
        <f>VLOOKUP(A55, 'S07 Initial Parameters'!$A$2:$C$201, 3, 0)</f>
        <v>2226</v>
      </c>
      <c r="D55" s="165">
        <f t="shared" si="3"/>
        <v>1386970</v>
      </c>
      <c r="E55" s="166">
        <f t="shared" si="1"/>
        <v>1.5190288042254386E-3</v>
      </c>
      <c r="F55" s="167">
        <f t="shared" si="2"/>
        <v>0.94647231832729428</v>
      </c>
    </row>
    <row r="56" spans="1:6" x14ac:dyDescent="0.2">
      <c r="A56" s="164" t="s">
        <v>556</v>
      </c>
      <c r="B56" s="164" t="s">
        <v>727</v>
      </c>
      <c r="C56" s="163">
        <f>VLOOKUP(A56, 'S07 Initial Parameters'!$A$2:$C$201, 3, 0)</f>
        <v>2189</v>
      </c>
      <c r="D56" s="165">
        <f t="shared" si="3"/>
        <v>1389159</v>
      </c>
      <c r="E56" s="166">
        <f t="shared" si="1"/>
        <v>1.493779897776049E-3</v>
      </c>
      <c r="F56" s="167">
        <f t="shared" si="2"/>
        <v>0.94796609822507039</v>
      </c>
    </row>
    <row r="57" spans="1:6" x14ac:dyDescent="0.2">
      <c r="A57" s="164" t="s">
        <v>528</v>
      </c>
      <c r="B57" s="164" t="s">
        <v>759</v>
      </c>
      <c r="C57" s="163">
        <f>VLOOKUP(A57, 'S07 Initial Parameters'!$A$2:$C$201, 3, 0)</f>
        <v>2156</v>
      </c>
      <c r="D57" s="165">
        <f t="shared" si="3"/>
        <v>1391315</v>
      </c>
      <c r="E57" s="166">
        <f t="shared" si="1"/>
        <v>1.4712606028347015E-3</v>
      </c>
      <c r="F57" s="167">
        <f t="shared" si="2"/>
        <v>0.94943735882790514</v>
      </c>
    </row>
    <row r="58" spans="1:6" x14ac:dyDescent="0.2">
      <c r="A58" s="164" t="s">
        <v>215</v>
      </c>
      <c r="B58" s="164" t="s">
        <v>216</v>
      </c>
      <c r="C58" s="163">
        <f>VLOOKUP(A58, 'S07 Initial Parameters'!$A$2:$C$201, 3, 0)</f>
        <v>2156</v>
      </c>
      <c r="D58" s="165">
        <f t="shared" si="3"/>
        <v>1393471</v>
      </c>
      <c r="E58" s="166">
        <f t="shared" si="1"/>
        <v>1.4712606028347015E-3</v>
      </c>
      <c r="F58" s="167">
        <f t="shared" si="2"/>
        <v>0.9509086194307399</v>
      </c>
    </row>
    <row r="59" spans="1:6" x14ac:dyDescent="0.2">
      <c r="A59" s="164" t="s">
        <v>217</v>
      </c>
      <c r="B59" s="164" t="s">
        <v>218</v>
      </c>
      <c r="C59" s="163">
        <f>VLOOKUP(A59, 'S07 Initial Parameters'!$A$2:$C$201, 3, 0)</f>
        <v>2154</v>
      </c>
      <c r="D59" s="165">
        <f t="shared" si="3"/>
        <v>1395625</v>
      </c>
      <c r="E59" s="166">
        <f t="shared" si="1"/>
        <v>1.4698957970806805E-3</v>
      </c>
      <c r="F59" s="167">
        <f t="shared" si="2"/>
        <v>0.95237851522782058</v>
      </c>
    </row>
    <row r="60" spans="1:6" x14ac:dyDescent="0.2">
      <c r="A60" s="164" t="s">
        <v>537</v>
      </c>
      <c r="B60" s="164" t="s">
        <v>735</v>
      </c>
      <c r="C60" s="163">
        <f>VLOOKUP(A60, 'S07 Initial Parameters'!$A$2:$C$201, 3, 0)</f>
        <v>2154</v>
      </c>
      <c r="D60" s="165">
        <f t="shared" si="3"/>
        <v>1397779</v>
      </c>
      <c r="E60" s="166">
        <f t="shared" si="1"/>
        <v>1.4698957970806805E-3</v>
      </c>
      <c r="F60" s="167">
        <f t="shared" si="2"/>
        <v>0.95384841102490125</v>
      </c>
    </row>
    <row r="61" spans="1:6" x14ac:dyDescent="0.2">
      <c r="A61" s="164" t="s">
        <v>221</v>
      </c>
      <c r="B61" s="164" t="s">
        <v>222</v>
      </c>
      <c r="C61" s="163">
        <f>VLOOKUP(A61, 'S07 Initial Parameters'!$A$2:$C$201, 3, 0)</f>
        <v>2154</v>
      </c>
      <c r="D61" s="165">
        <f t="shared" si="3"/>
        <v>1399933</v>
      </c>
      <c r="E61" s="166">
        <f t="shared" si="1"/>
        <v>1.4698957970806805E-3</v>
      </c>
      <c r="F61" s="167">
        <f t="shared" si="2"/>
        <v>0.95531830682198193</v>
      </c>
    </row>
    <row r="62" spans="1:6" x14ac:dyDescent="0.2">
      <c r="A62" s="164" t="s">
        <v>515</v>
      </c>
      <c r="B62" s="164" t="s">
        <v>743</v>
      </c>
      <c r="C62" s="163">
        <f>VLOOKUP(A62, 'S07 Initial Parameters'!$A$2:$C$201, 3, 0)</f>
        <v>2014</v>
      </c>
      <c r="D62" s="165">
        <f t="shared" si="3"/>
        <v>1401947</v>
      </c>
      <c r="E62" s="166">
        <f t="shared" si="1"/>
        <v>1.3743593942992063E-3</v>
      </c>
      <c r="F62" s="167">
        <f t="shared" si="2"/>
        <v>0.95669266621628113</v>
      </c>
    </row>
    <row r="63" spans="1:6" x14ac:dyDescent="0.2">
      <c r="A63" s="164" t="s">
        <v>513</v>
      </c>
      <c r="B63" s="164" t="s">
        <v>741</v>
      </c>
      <c r="C63" s="163">
        <f>VLOOKUP(A63, 'S07 Initial Parameters'!$A$2:$C$201, 3, 0)</f>
        <v>1987</v>
      </c>
      <c r="D63" s="165">
        <f t="shared" si="3"/>
        <v>1403934</v>
      </c>
      <c r="E63" s="166">
        <f t="shared" si="1"/>
        <v>1.355934516619922E-3</v>
      </c>
      <c r="F63" s="167">
        <f t="shared" si="2"/>
        <v>0.9580486007329011</v>
      </c>
    </row>
    <row r="64" spans="1:6" x14ac:dyDescent="0.2">
      <c r="A64" s="164" t="s">
        <v>507</v>
      </c>
      <c r="B64" s="164" t="s">
        <v>755</v>
      </c>
      <c r="C64" s="163">
        <f>VLOOKUP(A64, 'S07 Initial Parameters'!$A$2:$C$201, 3, 0)</f>
        <v>1945</v>
      </c>
      <c r="D64" s="165">
        <f t="shared" si="3"/>
        <v>1405879</v>
      </c>
      <c r="E64" s="166">
        <f t="shared" si="1"/>
        <v>1.3272735957854799E-3</v>
      </c>
      <c r="F64" s="167">
        <f t="shared" si="2"/>
        <v>0.95937587432868654</v>
      </c>
    </row>
    <row r="65" spans="1:6" x14ac:dyDescent="0.2">
      <c r="A65" s="164" t="s">
        <v>519</v>
      </c>
      <c r="B65" s="164" t="s">
        <v>747</v>
      </c>
      <c r="C65" s="163">
        <f>VLOOKUP(A65, 'S07 Initial Parameters'!$A$2:$C$201, 3, 0)</f>
        <v>1750</v>
      </c>
      <c r="D65" s="165">
        <f t="shared" si="3"/>
        <v>1407629</v>
      </c>
      <c r="E65" s="166">
        <f t="shared" si="1"/>
        <v>1.1942050347684267E-3</v>
      </c>
      <c r="F65" s="167">
        <f t="shared" si="2"/>
        <v>0.96057007936345495</v>
      </c>
    </row>
    <row r="66" spans="1:6" x14ac:dyDescent="0.2">
      <c r="A66" s="164" t="s">
        <v>536</v>
      </c>
      <c r="B66" s="164" t="s">
        <v>767</v>
      </c>
      <c r="C66" s="163">
        <f>VLOOKUP(A66, 'S07 Initial Parameters'!$A$2:$C$201, 3, 0)</f>
        <v>1637</v>
      </c>
      <c r="D66" s="165">
        <f t="shared" si="3"/>
        <v>1409266</v>
      </c>
      <c r="E66" s="166">
        <f t="shared" si="1"/>
        <v>1.1170935096662367E-3</v>
      </c>
      <c r="F66" s="167">
        <f t="shared" si="2"/>
        <v>0.96168717287312122</v>
      </c>
    </row>
    <row r="67" spans="1:6" x14ac:dyDescent="0.2">
      <c r="A67" s="164" t="s">
        <v>522</v>
      </c>
      <c r="B67" s="164" t="s">
        <v>750</v>
      </c>
      <c r="C67" s="163">
        <f>VLOOKUP(A67, 'S07 Initial Parameters'!$A$2:$C$201, 3, 0)</f>
        <v>1631</v>
      </c>
      <c r="D67" s="165">
        <f t="shared" ref="D67:D98" si="4">C67+D66</f>
        <v>1410897</v>
      </c>
      <c r="E67" s="166">
        <f t="shared" si="1"/>
        <v>1.1129990924041737E-3</v>
      </c>
      <c r="F67" s="167">
        <f t="shared" si="2"/>
        <v>0.96280017196552536</v>
      </c>
    </row>
    <row r="68" spans="1:6" x14ac:dyDescent="0.2">
      <c r="A68" s="164" t="s">
        <v>510</v>
      </c>
      <c r="B68" s="164" t="s">
        <v>738</v>
      </c>
      <c r="C68" s="163">
        <f>VLOOKUP(A68, 'S07 Initial Parameters'!$A$2:$C$201, 3, 0)</f>
        <v>1612</v>
      </c>
      <c r="D68" s="165">
        <f t="shared" si="4"/>
        <v>1412509</v>
      </c>
      <c r="E68" s="166">
        <f t="shared" ref="E68:E131" si="5">C68/SUM($C$3:$C$202)</f>
        <v>1.1000334377409735E-3</v>
      </c>
      <c r="F68" s="167">
        <f t="shared" ref="F68:F131" si="6">E68+F67</f>
        <v>0.96390020540326637</v>
      </c>
    </row>
    <row r="69" spans="1:6" x14ac:dyDescent="0.2">
      <c r="A69" s="164" t="s">
        <v>530</v>
      </c>
      <c r="B69" s="164" t="s">
        <v>761</v>
      </c>
      <c r="C69" s="163">
        <f>VLOOKUP(A69, 'S07 Initial Parameters'!$A$2:$C$201, 3, 0)</f>
        <v>1554</v>
      </c>
      <c r="D69" s="165">
        <f t="shared" si="4"/>
        <v>1414063</v>
      </c>
      <c r="E69" s="166">
        <f t="shared" si="5"/>
        <v>1.0604540708743628E-3</v>
      </c>
      <c r="F69" s="167">
        <f t="shared" si="6"/>
        <v>0.96496065947414078</v>
      </c>
    </row>
    <row r="70" spans="1:6" x14ac:dyDescent="0.2">
      <c r="A70" s="164" t="s">
        <v>526</v>
      </c>
      <c r="B70" s="164" t="s">
        <v>754</v>
      </c>
      <c r="C70" s="163">
        <f>VLOOKUP(A70, 'S07 Initial Parameters'!$A$2:$C$201, 3, 0)</f>
        <v>1533</v>
      </c>
      <c r="D70" s="165">
        <f t="shared" si="4"/>
        <v>1415596</v>
      </c>
      <c r="E70" s="166">
        <f t="shared" si="5"/>
        <v>1.0461236104571416E-3</v>
      </c>
      <c r="F70" s="167">
        <f t="shared" si="6"/>
        <v>0.96600678308459798</v>
      </c>
    </row>
    <row r="71" spans="1:6" x14ac:dyDescent="0.2">
      <c r="A71" s="164" t="s">
        <v>518</v>
      </c>
      <c r="B71" s="164" t="s">
        <v>746</v>
      </c>
      <c r="C71" s="163">
        <f>VLOOKUP(A71, 'S07 Initial Parameters'!$A$2:$C$201, 3, 0)</f>
        <v>1524</v>
      </c>
      <c r="D71" s="165">
        <f t="shared" si="4"/>
        <v>1417120</v>
      </c>
      <c r="E71" s="166">
        <f t="shared" si="5"/>
        <v>1.039981984564047E-3</v>
      </c>
      <c r="F71" s="167">
        <f t="shared" si="6"/>
        <v>0.96704676506916198</v>
      </c>
    </row>
    <row r="72" spans="1:6" x14ac:dyDescent="0.2">
      <c r="A72" s="164" t="s">
        <v>517</v>
      </c>
      <c r="B72" s="164" t="s">
        <v>744</v>
      </c>
      <c r="C72" s="163">
        <f>VLOOKUP(A72, 'S07 Initial Parameters'!$A$2:$C$201, 3, 0)</f>
        <v>1498</v>
      </c>
      <c r="D72" s="165">
        <f t="shared" si="4"/>
        <v>1418618</v>
      </c>
      <c r="E72" s="166">
        <f t="shared" si="5"/>
        <v>1.0222395097617732E-3</v>
      </c>
      <c r="F72" s="167">
        <f t="shared" si="6"/>
        <v>0.96806900457892375</v>
      </c>
    </row>
    <row r="73" spans="1:6" x14ac:dyDescent="0.2">
      <c r="A73" s="164" t="s">
        <v>509</v>
      </c>
      <c r="B73" s="164" t="s">
        <v>757</v>
      </c>
      <c r="C73" s="163">
        <f>VLOOKUP(A73, 'S07 Initial Parameters'!$A$2:$C$201, 3, 0)</f>
        <v>1425</v>
      </c>
      <c r="D73" s="165">
        <f t="shared" si="4"/>
        <v>1420043</v>
      </c>
      <c r="E73" s="166">
        <f t="shared" si="5"/>
        <v>9.724240997400045E-4</v>
      </c>
      <c r="F73" s="167">
        <f t="shared" si="6"/>
        <v>0.96904142867866372</v>
      </c>
    </row>
    <row r="74" spans="1:6" x14ac:dyDescent="0.2">
      <c r="A74" s="164" t="s">
        <v>514</v>
      </c>
      <c r="B74" s="164" t="s">
        <v>742</v>
      </c>
      <c r="C74" s="163">
        <f>VLOOKUP(A74, 'S07 Initial Parameters'!$A$2:$C$201, 3, 0)</f>
        <v>1413</v>
      </c>
      <c r="D74" s="165">
        <f t="shared" si="4"/>
        <v>1421456</v>
      </c>
      <c r="E74" s="166">
        <f t="shared" si="5"/>
        <v>9.6423526521587815E-4</v>
      </c>
      <c r="F74" s="167">
        <f t="shared" si="6"/>
        <v>0.97000566394387955</v>
      </c>
    </row>
    <row r="75" spans="1:6" x14ac:dyDescent="0.2">
      <c r="A75" s="164" t="s">
        <v>520</v>
      </c>
      <c r="B75" s="164" t="s">
        <v>748</v>
      </c>
      <c r="C75" s="163">
        <f>VLOOKUP(A75, 'S07 Initial Parameters'!$A$2:$C$201, 3, 0)</f>
        <v>1348</v>
      </c>
      <c r="D75" s="165">
        <f t="shared" si="4"/>
        <v>1422804</v>
      </c>
      <c r="E75" s="166">
        <f t="shared" si="5"/>
        <v>9.1987907821019371E-4</v>
      </c>
      <c r="F75" s="167">
        <f t="shared" si="6"/>
        <v>0.97092554302208978</v>
      </c>
    </row>
    <row r="76" spans="1:6" x14ac:dyDescent="0.2">
      <c r="A76" s="164" t="s">
        <v>265</v>
      </c>
      <c r="B76" s="164" t="s">
        <v>266</v>
      </c>
      <c r="C76" s="163">
        <f>VLOOKUP(A76, 'S07 Initial Parameters'!$A$2:$C$201, 3, 0)</f>
        <v>997</v>
      </c>
      <c r="D76" s="165">
        <f t="shared" si="4"/>
        <v>1423801</v>
      </c>
      <c r="E76" s="166">
        <f t="shared" si="5"/>
        <v>6.8035566837949791E-4</v>
      </c>
      <c r="F76" s="167">
        <f t="shared" si="6"/>
        <v>0.97160589869046932</v>
      </c>
    </row>
    <row r="77" spans="1:6" x14ac:dyDescent="0.2">
      <c r="A77" s="164" t="s">
        <v>267</v>
      </c>
      <c r="B77" s="164" t="s">
        <v>268</v>
      </c>
      <c r="C77" s="163">
        <f>VLOOKUP(A77, 'S07 Initial Parameters'!$A$2:$C$201, 3, 0)</f>
        <v>989</v>
      </c>
      <c r="D77" s="165">
        <f t="shared" si="4"/>
        <v>1424790</v>
      </c>
      <c r="E77" s="166">
        <f t="shared" si="5"/>
        <v>6.748964453634136E-4</v>
      </c>
      <c r="F77" s="167">
        <f t="shared" si="6"/>
        <v>0.97228079513583276</v>
      </c>
    </row>
    <row r="78" spans="1:6" x14ac:dyDescent="0.2">
      <c r="A78" s="164" t="s">
        <v>269</v>
      </c>
      <c r="B78" s="164" t="s">
        <v>270</v>
      </c>
      <c r="C78" s="163">
        <f>VLOOKUP(A78, 'S07 Initial Parameters'!$A$2:$C$201, 3, 0)</f>
        <v>981</v>
      </c>
      <c r="D78" s="165">
        <f t="shared" si="4"/>
        <v>1425771</v>
      </c>
      <c r="E78" s="166">
        <f t="shared" si="5"/>
        <v>6.694372223473294E-4</v>
      </c>
      <c r="F78" s="167">
        <f t="shared" si="6"/>
        <v>0.97295023235818012</v>
      </c>
    </row>
    <row r="79" spans="1:6" x14ac:dyDescent="0.2">
      <c r="A79" s="164" t="s">
        <v>271</v>
      </c>
      <c r="B79" s="164" t="s">
        <v>272</v>
      </c>
      <c r="C79" s="163">
        <f>VLOOKUP(A79, 'S07 Initial Parameters'!$A$2:$C$201, 3, 0)</f>
        <v>973</v>
      </c>
      <c r="D79" s="165">
        <f t="shared" si="4"/>
        <v>1426744</v>
      </c>
      <c r="E79" s="166">
        <f t="shared" si="5"/>
        <v>6.639779993312452E-4</v>
      </c>
      <c r="F79" s="167">
        <f t="shared" si="6"/>
        <v>0.97361421035751139</v>
      </c>
    </row>
    <row r="80" spans="1:6" x14ac:dyDescent="0.2">
      <c r="A80" s="164" t="s">
        <v>273</v>
      </c>
      <c r="B80" s="164" t="s">
        <v>274</v>
      </c>
      <c r="C80" s="163">
        <f>VLOOKUP(A80, 'S07 Initial Parameters'!$A$2:$C$201, 3, 0)</f>
        <v>965</v>
      </c>
      <c r="D80" s="165">
        <f t="shared" si="4"/>
        <v>1427709</v>
      </c>
      <c r="E80" s="166">
        <f t="shared" si="5"/>
        <v>6.5851877631516089E-4</v>
      </c>
      <c r="F80" s="167">
        <f t="shared" si="6"/>
        <v>0.97427272913382656</v>
      </c>
    </row>
    <row r="81" spans="1:6" x14ac:dyDescent="0.2">
      <c r="A81" s="164" t="s">
        <v>275</v>
      </c>
      <c r="B81" s="164" t="s">
        <v>276</v>
      </c>
      <c r="C81" s="163">
        <f>VLOOKUP(A81, 'S07 Initial Parameters'!$A$2:$C$201, 3, 0)</f>
        <v>957</v>
      </c>
      <c r="D81" s="165">
        <f t="shared" si="4"/>
        <v>1428666</v>
      </c>
      <c r="E81" s="166">
        <f t="shared" si="5"/>
        <v>6.5305955329907669E-4</v>
      </c>
      <c r="F81" s="167">
        <f t="shared" si="6"/>
        <v>0.97492578868712565</v>
      </c>
    </row>
    <row r="82" spans="1:6" x14ac:dyDescent="0.2">
      <c r="A82" s="164" t="s">
        <v>277</v>
      </c>
      <c r="B82" s="164" t="s">
        <v>278</v>
      </c>
      <c r="C82" s="163">
        <f>VLOOKUP(A82, 'S07 Initial Parameters'!$A$2:$C$201, 3, 0)</f>
        <v>949</v>
      </c>
      <c r="D82" s="165">
        <f t="shared" si="4"/>
        <v>1429615</v>
      </c>
      <c r="E82" s="166">
        <f t="shared" si="5"/>
        <v>6.4760033028299249E-4</v>
      </c>
      <c r="F82" s="167">
        <f t="shared" si="6"/>
        <v>0.97557338901740864</v>
      </c>
    </row>
    <row r="83" spans="1:6" x14ac:dyDescent="0.2">
      <c r="A83" s="164" t="s">
        <v>560</v>
      </c>
      <c r="B83" s="164" t="s">
        <v>718</v>
      </c>
      <c r="C83" s="163">
        <f>VLOOKUP(A83, 'S07 Initial Parameters'!$A$2:$C$201, 3, 0)</f>
        <v>941</v>
      </c>
      <c r="D83" s="165">
        <f t="shared" si="4"/>
        <v>1430556</v>
      </c>
      <c r="E83" s="166">
        <f t="shared" si="5"/>
        <v>6.4214110726690829E-4</v>
      </c>
      <c r="F83" s="167">
        <f t="shared" si="6"/>
        <v>0.97621553012467555</v>
      </c>
    </row>
    <row r="84" spans="1:6" x14ac:dyDescent="0.2">
      <c r="A84" s="164" t="s">
        <v>279</v>
      </c>
      <c r="B84" s="164" t="s">
        <v>280</v>
      </c>
      <c r="C84" s="163">
        <f>VLOOKUP(A84, 'S07 Initial Parameters'!$A$2:$C$201, 3, 0)</f>
        <v>941</v>
      </c>
      <c r="D84" s="165">
        <f t="shared" si="4"/>
        <v>1431497</v>
      </c>
      <c r="E84" s="166">
        <f t="shared" si="5"/>
        <v>6.4214110726690829E-4</v>
      </c>
      <c r="F84" s="167">
        <f t="shared" si="6"/>
        <v>0.97685767123194245</v>
      </c>
    </row>
    <row r="85" spans="1:6" x14ac:dyDescent="0.2">
      <c r="A85" s="164" t="s">
        <v>281</v>
      </c>
      <c r="B85" s="164" t="s">
        <v>282</v>
      </c>
      <c r="C85" s="163">
        <f>VLOOKUP(A85, 'S07 Initial Parameters'!$A$2:$C$201, 3, 0)</f>
        <v>933</v>
      </c>
      <c r="D85" s="165">
        <f t="shared" si="4"/>
        <v>1432430</v>
      </c>
      <c r="E85" s="166">
        <f t="shared" si="5"/>
        <v>6.3668188425082398E-4</v>
      </c>
      <c r="F85" s="167">
        <f t="shared" si="6"/>
        <v>0.97749435311619326</v>
      </c>
    </row>
    <row r="86" spans="1:6" x14ac:dyDescent="0.2">
      <c r="A86" s="164" t="s">
        <v>283</v>
      </c>
      <c r="B86" s="164" t="s">
        <v>284</v>
      </c>
      <c r="C86" s="163">
        <f>VLOOKUP(A86, 'S07 Initial Parameters'!$A$2:$C$201, 3, 0)</f>
        <v>925</v>
      </c>
      <c r="D86" s="165">
        <f t="shared" si="4"/>
        <v>1433355</v>
      </c>
      <c r="E86" s="166">
        <f t="shared" si="5"/>
        <v>6.3122266123473978E-4</v>
      </c>
      <c r="F86" s="167">
        <f t="shared" si="6"/>
        <v>0.97812557577742798</v>
      </c>
    </row>
    <row r="87" spans="1:6" x14ac:dyDescent="0.2">
      <c r="A87" s="164" t="s">
        <v>285</v>
      </c>
      <c r="B87" s="164" t="s">
        <v>286</v>
      </c>
      <c r="C87" s="163">
        <f>VLOOKUP(A87, 'S07 Initial Parameters'!$A$2:$C$201, 3, 0)</f>
        <v>917</v>
      </c>
      <c r="D87" s="165">
        <f t="shared" si="4"/>
        <v>1434272</v>
      </c>
      <c r="E87" s="166">
        <f t="shared" si="5"/>
        <v>6.2576343821865558E-4</v>
      </c>
      <c r="F87" s="167">
        <f t="shared" si="6"/>
        <v>0.97875133921564661</v>
      </c>
    </row>
    <row r="88" spans="1:6" x14ac:dyDescent="0.2">
      <c r="A88" s="164" t="s">
        <v>287</v>
      </c>
      <c r="B88" s="164" t="s">
        <v>288</v>
      </c>
      <c r="C88" s="163">
        <f>VLOOKUP(A88, 'S07 Initial Parameters'!$A$2:$C$201, 3, 0)</f>
        <v>909</v>
      </c>
      <c r="D88" s="165">
        <f t="shared" si="4"/>
        <v>1435181</v>
      </c>
      <c r="E88" s="166">
        <f t="shared" si="5"/>
        <v>6.2030421520257127E-4</v>
      </c>
      <c r="F88" s="167">
        <f t="shared" si="6"/>
        <v>0.97937164343084915</v>
      </c>
    </row>
    <row r="89" spans="1:6" x14ac:dyDescent="0.2">
      <c r="A89" s="164" t="s">
        <v>289</v>
      </c>
      <c r="B89" s="164" t="s">
        <v>290</v>
      </c>
      <c r="C89" s="163">
        <f>VLOOKUP(A89, 'S07 Initial Parameters'!$A$2:$C$201, 3, 0)</f>
        <v>901</v>
      </c>
      <c r="D89" s="165">
        <f t="shared" si="4"/>
        <v>1436082</v>
      </c>
      <c r="E89" s="166">
        <f t="shared" si="5"/>
        <v>6.1484499218648707E-4</v>
      </c>
      <c r="F89" s="167">
        <f t="shared" si="6"/>
        <v>0.9799864884230356</v>
      </c>
    </row>
    <row r="90" spans="1:6" x14ac:dyDescent="0.2">
      <c r="A90" s="164" t="s">
        <v>291</v>
      </c>
      <c r="B90" s="164" t="s">
        <v>292</v>
      </c>
      <c r="C90" s="163">
        <f>VLOOKUP(A90, 'S07 Initial Parameters'!$A$2:$C$201, 3, 0)</f>
        <v>893</v>
      </c>
      <c r="D90" s="165">
        <f t="shared" si="4"/>
        <v>1436975</v>
      </c>
      <c r="E90" s="166">
        <f t="shared" si="5"/>
        <v>6.0938576917040287E-4</v>
      </c>
      <c r="F90" s="167">
        <f t="shared" si="6"/>
        <v>0.98059587419220595</v>
      </c>
    </row>
    <row r="91" spans="1:6" x14ac:dyDescent="0.2">
      <c r="A91" s="164" t="s">
        <v>293</v>
      </c>
      <c r="B91" s="164" t="s">
        <v>294</v>
      </c>
      <c r="C91" s="163">
        <f>VLOOKUP(A91, 'S07 Initial Parameters'!$A$2:$C$201, 3, 0)</f>
        <v>885</v>
      </c>
      <c r="D91" s="165">
        <f t="shared" si="4"/>
        <v>1437860</v>
      </c>
      <c r="E91" s="166">
        <f t="shared" si="5"/>
        <v>6.0392654615431857E-4</v>
      </c>
      <c r="F91" s="167">
        <f t="shared" si="6"/>
        <v>0.98119980073836022</v>
      </c>
    </row>
    <row r="92" spans="1:6" x14ac:dyDescent="0.2">
      <c r="A92" s="164" t="s">
        <v>295</v>
      </c>
      <c r="B92" s="164" t="s">
        <v>296</v>
      </c>
      <c r="C92" s="163">
        <f>VLOOKUP(A92, 'S07 Initial Parameters'!$A$2:$C$201, 3, 0)</f>
        <v>877</v>
      </c>
      <c r="D92" s="165">
        <f t="shared" si="4"/>
        <v>1438737</v>
      </c>
      <c r="E92" s="166">
        <f t="shared" si="5"/>
        <v>5.9846732313823437E-4</v>
      </c>
      <c r="F92" s="167">
        <f t="shared" si="6"/>
        <v>0.9817982680614985</v>
      </c>
    </row>
    <row r="93" spans="1:6" x14ac:dyDescent="0.2">
      <c r="A93" s="164" t="s">
        <v>297</v>
      </c>
      <c r="B93" s="164" t="s">
        <v>298</v>
      </c>
      <c r="C93" s="163">
        <f>VLOOKUP(A93, 'S07 Initial Parameters'!$A$2:$C$201, 3, 0)</f>
        <v>869</v>
      </c>
      <c r="D93" s="165">
        <f t="shared" si="4"/>
        <v>1439606</v>
      </c>
      <c r="E93" s="166">
        <f t="shared" si="5"/>
        <v>5.9300810012215017E-4</v>
      </c>
      <c r="F93" s="167">
        <f t="shared" si="6"/>
        <v>0.9823912761616207</v>
      </c>
    </row>
    <row r="94" spans="1:6" x14ac:dyDescent="0.2">
      <c r="A94" s="164" t="s">
        <v>299</v>
      </c>
      <c r="B94" s="164" t="s">
        <v>300</v>
      </c>
      <c r="C94" s="163">
        <f>VLOOKUP(A94, 'S07 Initial Parameters'!$A$2:$C$201, 3, 0)</f>
        <v>861</v>
      </c>
      <c r="D94" s="165">
        <f t="shared" si="4"/>
        <v>1440467</v>
      </c>
      <c r="E94" s="166">
        <f t="shared" si="5"/>
        <v>5.8754887710606586E-4</v>
      </c>
      <c r="F94" s="167">
        <f t="shared" si="6"/>
        <v>0.9829788250387268</v>
      </c>
    </row>
    <row r="95" spans="1:6" x14ac:dyDescent="0.2">
      <c r="A95" s="164" t="s">
        <v>301</v>
      </c>
      <c r="B95" s="164" t="s">
        <v>302</v>
      </c>
      <c r="C95" s="163">
        <f>VLOOKUP(A95, 'S07 Initial Parameters'!$A$2:$C$201, 3, 0)</f>
        <v>853</v>
      </c>
      <c r="D95" s="165">
        <f t="shared" si="4"/>
        <v>1441320</v>
      </c>
      <c r="E95" s="166">
        <f t="shared" si="5"/>
        <v>5.8208965408998166E-4</v>
      </c>
      <c r="F95" s="167">
        <f t="shared" si="6"/>
        <v>0.98356091469281681</v>
      </c>
    </row>
    <row r="96" spans="1:6" x14ac:dyDescent="0.2">
      <c r="A96" s="164" t="s">
        <v>303</v>
      </c>
      <c r="B96" s="164" t="s">
        <v>304</v>
      </c>
      <c r="C96" s="163">
        <f>VLOOKUP(A96, 'S07 Initial Parameters'!$A$2:$C$201, 3, 0)</f>
        <v>845</v>
      </c>
      <c r="D96" s="165">
        <f t="shared" si="4"/>
        <v>1442165</v>
      </c>
      <c r="E96" s="166">
        <f t="shared" si="5"/>
        <v>5.7663043107389746E-4</v>
      </c>
      <c r="F96" s="167">
        <f t="shared" si="6"/>
        <v>0.98413754512389073</v>
      </c>
    </row>
    <row r="97" spans="1:6" x14ac:dyDescent="0.2">
      <c r="A97" s="164" t="s">
        <v>305</v>
      </c>
      <c r="B97" s="164" t="s">
        <v>306</v>
      </c>
      <c r="C97" s="163">
        <f>VLOOKUP(A97, 'S07 Initial Parameters'!$A$2:$C$201, 3, 0)</f>
        <v>837</v>
      </c>
      <c r="D97" s="165">
        <f t="shared" si="4"/>
        <v>1443002</v>
      </c>
      <c r="E97" s="166">
        <f t="shared" si="5"/>
        <v>5.7117120805781315E-4</v>
      </c>
      <c r="F97" s="167">
        <f t="shared" si="6"/>
        <v>0.98470871633194856</v>
      </c>
    </row>
    <row r="98" spans="1:6" x14ac:dyDescent="0.2">
      <c r="A98" s="164" t="s">
        <v>307</v>
      </c>
      <c r="B98" s="164" t="s">
        <v>308</v>
      </c>
      <c r="C98" s="163">
        <f>VLOOKUP(A98, 'S07 Initial Parameters'!$A$2:$C$201, 3, 0)</f>
        <v>829</v>
      </c>
      <c r="D98" s="165">
        <f t="shared" si="4"/>
        <v>1443831</v>
      </c>
      <c r="E98" s="166">
        <f t="shared" si="5"/>
        <v>5.6571198504172895E-4</v>
      </c>
      <c r="F98" s="167">
        <f t="shared" si="6"/>
        <v>0.9852744283169903</v>
      </c>
    </row>
    <row r="99" spans="1:6" x14ac:dyDescent="0.2">
      <c r="A99" s="164" t="s">
        <v>563</v>
      </c>
      <c r="B99" s="164" t="s">
        <v>721</v>
      </c>
      <c r="C99" s="163">
        <f>VLOOKUP(A99, 'S07 Initial Parameters'!$A$2:$C$201, 3, 0)</f>
        <v>771</v>
      </c>
      <c r="D99" s="165">
        <f t="shared" ref="D99:D130" si="7">C99+D98</f>
        <v>1444602</v>
      </c>
      <c r="E99" s="166">
        <f t="shared" si="5"/>
        <v>5.261326181751182E-4</v>
      </c>
      <c r="F99" s="167">
        <f t="shared" si="6"/>
        <v>0.98580056093516544</v>
      </c>
    </row>
    <row r="100" spans="1:6" x14ac:dyDescent="0.2">
      <c r="A100" s="164" t="s">
        <v>309</v>
      </c>
      <c r="B100" s="164" t="s">
        <v>310</v>
      </c>
      <c r="C100" s="163">
        <f>VLOOKUP(A100, 'S07 Initial Parameters'!$A$2:$C$201, 3, 0)</f>
        <v>732</v>
      </c>
      <c r="D100" s="165">
        <f t="shared" si="7"/>
        <v>1445334</v>
      </c>
      <c r="E100" s="166">
        <f t="shared" si="5"/>
        <v>4.995189059717076E-4</v>
      </c>
      <c r="F100" s="167">
        <f t="shared" si="6"/>
        <v>0.9863000798411371</v>
      </c>
    </row>
    <row r="101" spans="1:6" x14ac:dyDescent="0.2">
      <c r="A101" s="164" t="s">
        <v>227</v>
      </c>
      <c r="B101" s="164" t="s">
        <v>228</v>
      </c>
      <c r="C101" s="163">
        <f>VLOOKUP(A101, 'S07 Initial Parameters'!$A$2:$C$201, 3, 0)</f>
        <v>668</v>
      </c>
      <c r="D101" s="165">
        <f t="shared" si="7"/>
        <v>1446002</v>
      </c>
      <c r="E101" s="166">
        <f t="shared" si="5"/>
        <v>4.5584512184303368E-4</v>
      </c>
      <c r="F101" s="167">
        <f t="shared" si="6"/>
        <v>0.98675592496298015</v>
      </c>
    </row>
    <row r="102" spans="1:6" x14ac:dyDescent="0.2">
      <c r="A102" s="164" t="s">
        <v>311</v>
      </c>
      <c r="B102" s="164" t="s">
        <v>312</v>
      </c>
      <c r="C102" s="163">
        <f>VLOOKUP(A102, 'S07 Initial Parameters'!$A$2:$C$201, 3, 0)</f>
        <v>666</v>
      </c>
      <c r="D102" s="165">
        <f t="shared" si="7"/>
        <v>1446668</v>
      </c>
      <c r="E102" s="166">
        <f t="shared" si="5"/>
        <v>4.5448031608901266E-4</v>
      </c>
      <c r="F102" s="167">
        <f t="shared" si="6"/>
        <v>0.98721040527906911</v>
      </c>
    </row>
    <row r="103" spans="1:6" x14ac:dyDescent="0.2">
      <c r="A103" s="164" t="s">
        <v>313</v>
      </c>
      <c r="B103" s="164" t="s">
        <v>314</v>
      </c>
      <c r="C103" s="163">
        <f>VLOOKUP(A103, 'S07 Initial Parameters'!$A$2:$C$201, 3, 0)</f>
        <v>600</v>
      </c>
      <c r="D103" s="165">
        <f t="shared" si="7"/>
        <v>1447268</v>
      </c>
      <c r="E103" s="166">
        <f t="shared" si="5"/>
        <v>4.0944172620631771E-4</v>
      </c>
      <c r="F103" s="167">
        <f t="shared" si="6"/>
        <v>0.98761984700527539</v>
      </c>
    </row>
    <row r="104" spans="1:6" x14ac:dyDescent="0.2">
      <c r="A104" s="164" t="s">
        <v>315</v>
      </c>
      <c r="B104" s="164" t="s">
        <v>316</v>
      </c>
      <c r="C104" s="163">
        <f>VLOOKUP(A104, 'S07 Initial Parameters'!$A$2:$C$201, 3, 0)</f>
        <v>534</v>
      </c>
      <c r="D104" s="165">
        <f t="shared" si="7"/>
        <v>1447802</v>
      </c>
      <c r="E104" s="166">
        <f t="shared" si="5"/>
        <v>3.6440313632362276E-4</v>
      </c>
      <c r="F104" s="167">
        <f t="shared" si="6"/>
        <v>0.98798425014159896</v>
      </c>
    </row>
    <row r="105" spans="1:6" x14ac:dyDescent="0.2">
      <c r="A105" s="164" t="s">
        <v>317</v>
      </c>
      <c r="B105" s="164" t="s">
        <v>318</v>
      </c>
      <c r="C105" s="163">
        <f>VLOOKUP(A105, 'S07 Initial Parameters'!$A$2:$C$201, 3, 0)</f>
        <v>468</v>
      </c>
      <c r="D105" s="165">
        <f t="shared" si="7"/>
        <v>1448270</v>
      </c>
      <c r="E105" s="166">
        <f t="shared" si="5"/>
        <v>3.1936454644092781E-4</v>
      </c>
      <c r="F105" s="167">
        <f t="shared" si="6"/>
        <v>0.98830361468803984</v>
      </c>
    </row>
    <row r="106" spans="1:6" x14ac:dyDescent="0.2">
      <c r="A106" s="164" t="s">
        <v>562</v>
      </c>
      <c r="B106" s="164" t="s">
        <v>720</v>
      </c>
      <c r="C106" s="163">
        <f>VLOOKUP(A106, 'S07 Initial Parameters'!$A$2:$C$201, 3, 0)</f>
        <v>407</v>
      </c>
      <c r="D106" s="165">
        <f t="shared" si="7"/>
        <v>1448677</v>
      </c>
      <c r="E106" s="166">
        <f t="shared" si="5"/>
        <v>2.7773797094328548E-4</v>
      </c>
      <c r="F106" s="167">
        <f t="shared" si="6"/>
        <v>0.98858135265898317</v>
      </c>
    </row>
    <row r="107" spans="1:6" x14ac:dyDescent="0.2">
      <c r="A107" s="164" t="s">
        <v>319</v>
      </c>
      <c r="B107" s="164" t="s">
        <v>320</v>
      </c>
      <c r="C107" s="163">
        <f>VLOOKUP(A107, 'S07 Initial Parameters'!$A$2:$C$201, 3, 0)</f>
        <v>402</v>
      </c>
      <c r="D107" s="165">
        <f t="shared" si="7"/>
        <v>1449079</v>
      </c>
      <c r="E107" s="166">
        <f t="shared" si="5"/>
        <v>2.7432595655823286E-4</v>
      </c>
      <c r="F107" s="167">
        <f t="shared" si="6"/>
        <v>0.98885567861554136</v>
      </c>
    </row>
    <row r="108" spans="1:6" x14ac:dyDescent="0.2">
      <c r="A108" s="164" t="s">
        <v>321</v>
      </c>
      <c r="B108" s="164" t="s">
        <v>322</v>
      </c>
      <c r="C108" s="163">
        <f>VLOOKUP(A108, 'S07 Initial Parameters'!$A$2:$C$201, 3, 0)</f>
        <v>336</v>
      </c>
      <c r="D108" s="165">
        <f t="shared" si="7"/>
        <v>1449415</v>
      </c>
      <c r="E108" s="166">
        <f t="shared" si="5"/>
        <v>2.2928736667553792E-4</v>
      </c>
      <c r="F108" s="167">
        <f t="shared" si="6"/>
        <v>0.98908496598221685</v>
      </c>
    </row>
    <row r="109" spans="1:6" x14ac:dyDescent="0.2">
      <c r="A109" s="164" t="s">
        <v>323</v>
      </c>
      <c r="B109" s="164" t="s">
        <v>324</v>
      </c>
      <c r="C109" s="163">
        <f>VLOOKUP(A109, 'S07 Initial Parameters'!$A$2:$C$201, 3, 0)</f>
        <v>270</v>
      </c>
      <c r="D109" s="165">
        <f t="shared" si="7"/>
        <v>1449685</v>
      </c>
      <c r="E109" s="166">
        <f t="shared" si="5"/>
        <v>1.8424877679284297E-4</v>
      </c>
      <c r="F109" s="167">
        <f t="shared" si="6"/>
        <v>0.98926921475900964</v>
      </c>
    </row>
    <row r="110" spans="1:6" x14ac:dyDescent="0.2">
      <c r="A110" s="164" t="s">
        <v>213</v>
      </c>
      <c r="B110" s="164" t="s">
        <v>214</v>
      </c>
      <c r="C110" s="163">
        <f>VLOOKUP(A110, 'S07 Initial Parameters'!$A$2:$C$201, 3, 0)</f>
        <v>258</v>
      </c>
      <c r="D110" s="165">
        <f t="shared" si="7"/>
        <v>1449943</v>
      </c>
      <c r="E110" s="166">
        <f t="shared" si="5"/>
        <v>1.7605994226871661E-4</v>
      </c>
      <c r="F110" s="167">
        <f t="shared" si="6"/>
        <v>0.98944527470127841</v>
      </c>
    </row>
    <row r="111" spans="1:6" x14ac:dyDescent="0.2">
      <c r="A111" s="164" t="s">
        <v>527</v>
      </c>
      <c r="B111" s="164" t="s">
        <v>758</v>
      </c>
      <c r="C111" s="163">
        <f>VLOOKUP(A111, 'S07 Initial Parameters'!$A$2:$C$201, 3, 0)</f>
        <v>245</v>
      </c>
      <c r="D111" s="165">
        <f t="shared" si="7"/>
        <v>1450188</v>
      </c>
      <c r="E111" s="166">
        <f t="shared" si="5"/>
        <v>1.6718870486757972E-4</v>
      </c>
      <c r="F111" s="167">
        <f t="shared" si="6"/>
        <v>0.98961246340614595</v>
      </c>
    </row>
    <row r="112" spans="1:6" x14ac:dyDescent="0.2">
      <c r="A112" s="164" t="s">
        <v>559</v>
      </c>
      <c r="B112" s="164" t="s">
        <v>717</v>
      </c>
      <c r="C112" s="163">
        <f>VLOOKUP(A112, 'S07 Initial Parameters'!$A$2:$C$201, 3, 0)</f>
        <v>235</v>
      </c>
      <c r="D112" s="165">
        <f t="shared" si="7"/>
        <v>1450423</v>
      </c>
      <c r="E112" s="166">
        <f t="shared" si="5"/>
        <v>1.6036467609747442E-4</v>
      </c>
      <c r="F112" s="167">
        <f t="shared" si="6"/>
        <v>0.98977282808224343</v>
      </c>
    </row>
    <row r="113" spans="1:6" x14ac:dyDescent="0.2">
      <c r="A113" s="164" t="s">
        <v>229</v>
      </c>
      <c r="B113" s="164" t="s">
        <v>230</v>
      </c>
      <c r="C113" s="163">
        <f>VLOOKUP(A113, 'S07 Initial Parameters'!$A$2:$C$201, 3, 0)</f>
        <v>233</v>
      </c>
      <c r="D113" s="165">
        <f t="shared" si="7"/>
        <v>1450656</v>
      </c>
      <c r="E113" s="166">
        <f t="shared" si="5"/>
        <v>1.5899987034345337E-4</v>
      </c>
      <c r="F113" s="167">
        <f t="shared" si="6"/>
        <v>0.98993182795258683</v>
      </c>
    </row>
    <row r="114" spans="1:6" x14ac:dyDescent="0.2">
      <c r="A114" s="164" t="s">
        <v>231</v>
      </c>
      <c r="B114" s="164" t="s">
        <v>232</v>
      </c>
      <c r="C114" s="163">
        <f>VLOOKUP(A114, 'S07 Initial Parameters'!$A$2:$C$201, 3, 0)</f>
        <v>224</v>
      </c>
      <c r="D114" s="165">
        <f t="shared" si="7"/>
        <v>1450880</v>
      </c>
      <c r="E114" s="166">
        <f t="shared" si="5"/>
        <v>1.528582444503586E-4</v>
      </c>
      <c r="F114" s="167">
        <f t="shared" si="6"/>
        <v>0.99008468619703716</v>
      </c>
    </row>
    <row r="115" spans="1:6" x14ac:dyDescent="0.2">
      <c r="A115" s="164" t="s">
        <v>561</v>
      </c>
      <c r="B115" s="164" t="s">
        <v>719</v>
      </c>
      <c r="C115" s="163">
        <f>VLOOKUP(A115, 'S07 Initial Parameters'!$A$2:$C$201, 3, 0)</f>
        <v>220</v>
      </c>
      <c r="D115" s="165">
        <f t="shared" si="7"/>
        <v>1451100</v>
      </c>
      <c r="E115" s="166">
        <f t="shared" si="5"/>
        <v>1.5012863294231647E-4</v>
      </c>
      <c r="F115" s="167">
        <f t="shared" si="6"/>
        <v>0.99023481482997944</v>
      </c>
    </row>
    <row r="116" spans="1:6" x14ac:dyDescent="0.2">
      <c r="A116" s="164" t="s">
        <v>219</v>
      </c>
      <c r="B116" s="164" t="s">
        <v>220</v>
      </c>
      <c r="C116" s="163">
        <f>VLOOKUP(A116, 'S07 Initial Parameters'!$A$2:$C$201, 3, 0)</f>
        <v>215</v>
      </c>
      <c r="D116" s="165">
        <f t="shared" si="7"/>
        <v>1451315</v>
      </c>
      <c r="E116" s="166">
        <f t="shared" si="5"/>
        <v>1.4671661855726384E-4</v>
      </c>
      <c r="F116" s="167">
        <f t="shared" si="6"/>
        <v>0.99038153144853669</v>
      </c>
    </row>
    <row r="117" spans="1:6" x14ac:dyDescent="0.2">
      <c r="A117" s="164" t="s">
        <v>223</v>
      </c>
      <c r="B117" s="164" t="s">
        <v>224</v>
      </c>
      <c r="C117" s="163">
        <f>VLOOKUP(A117, 'S07 Initial Parameters'!$A$2:$C$201, 3, 0)</f>
        <v>213</v>
      </c>
      <c r="D117" s="165">
        <f t="shared" si="7"/>
        <v>1451528</v>
      </c>
      <c r="E117" s="166">
        <f t="shared" si="5"/>
        <v>1.4535181280324279E-4</v>
      </c>
      <c r="F117" s="167">
        <f t="shared" si="6"/>
        <v>0.99052688326133997</v>
      </c>
    </row>
    <row r="118" spans="1:6" x14ac:dyDescent="0.2">
      <c r="A118" s="164" t="s">
        <v>233</v>
      </c>
      <c r="B118" s="164" t="s">
        <v>234</v>
      </c>
      <c r="C118" s="163">
        <f>VLOOKUP(A118, 'S07 Initial Parameters'!$A$2:$C$201, 3, 0)</f>
        <v>213</v>
      </c>
      <c r="D118" s="165">
        <f t="shared" si="7"/>
        <v>1451741</v>
      </c>
      <c r="E118" s="166">
        <f t="shared" si="5"/>
        <v>1.4535181280324279E-4</v>
      </c>
      <c r="F118" s="167">
        <f t="shared" si="6"/>
        <v>0.99067223507414326</v>
      </c>
    </row>
    <row r="119" spans="1:6" x14ac:dyDescent="0.2">
      <c r="A119" s="164" t="s">
        <v>325</v>
      </c>
      <c r="B119" s="164" t="s">
        <v>326</v>
      </c>
      <c r="C119" s="163">
        <f>VLOOKUP(A119, 'S07 Initial Parameters'!$A$2:$C$201, 3, 0)</f>
        <v>204</v>
      </c>
      <c r="D119" s="165">
        <f t="shared" si="7"/>
        <v>1451945</v>
      </c>
      <c r="E119" s="166">
        <f t="shared" si="5"/>
        <v>1.3921018691014802E-4</v>
      </c>
      <c r="F119" s="167">
        <f t="shared" si="6"/>
        <v>0.99081144526105336</v>
      </c>
    </row>
    <row r="120" spans="1:6" x14ac:dyDescent="0.2">
      <c r="A120" s="164" t="s">
        <v>327</v>
      </c>
      <c r="B120" s="164" t="s">
        <v>328</v>
      </c>
      <c r="C120" s="163">
        <f>VLOOKUP(A120, 'S07 Initial Parameters'!$A$2:$C$201, 3, 0)</f>
        <v>203</v>
      </c>
      <c r="D120" s="165">
        <f t="shared" si="7"/>
        <v>1452148</v>
      </c>
      <c r="E120" s="166">
        <f t="shared" si="5"/>
        <v>1.3852778403313748E-4</v>
      </c>
      <c r="F120" s="167">
        <f t="shared" si="6"/>
        <v>0.99094997304508647</v>
      </c>
    </row>
    <row r="121" spans="1:6" x14ac:dyDescent="0.2">
      <c r="A121" s="164" t="s">
        <v>235</v>
      </c>
      <c r="B121" s="164" t="s">
        <v>236</v>
      </c>
      <c r="C121" s="163">
        <f>VLOOKUP(A121, 'S07 Initial Parameters'!$A$2:$C$201, 3, 0)</f>
        <v>202</v>
      </c>
      <c r="D121" s="165">
        <f t="shared" si="7"/>
        <v>1452350</v>
      </c>
      <c r="E121" s="166">
        <f t="shared" si="5"/>
        <v>1.3784538115612694E-4</v>
      </c>
      <c r="F121" s="167">
        <f t="shared" si="6"/>
        <v>0.99108781842624261</v>
      </c>
    </row>
    <row r="122" spans="1:6" x14ac:dyDescent="0.2">
      <c r="A122" s="164" t="s">
        <v>329</v>
      </c>
      <c r="B122" s="164" t="s">
        <v>330</v>
      </c>
      <c r="C122" s="163">
        <f>VLOOKUP(A122, 'S07 Initial Parameters'!$A$2:$C$201, 3, 0)</f>
        <v>202</v>
      </c>
      <c r="D122" s="165">
        <f t="shared" si="7"/>
        <v>1452552</v>
      </c>
      <c r="E122" s="166">
        <f t="shared" si="5"/>
        <v>1.3784538115612694E-4</v>
      </c>
      <c r="F122" s="167">
        <f t="shared" si="6"/>
        <v>0.99122566380739874</v>
      </c>
    </row>
    <row r="123" spans="1:6" x14ac:dyDescent="0.2">
      <c r="A123" s="164" t="s">
        <v>331</v>
      </c>
      <c r="B123" s="164" t="s">
        <v>332</v>
      </c>
      <c r="C123" s="163">
        <f>VLOOKUP(A123, 'S07 Initial Parameters'!$A$2:$C$201, 3, 0)</f>
        <v>201</v>
      </c>
      <c r="D123" s="165">
        <f t="shared" si="7"/>
        <v>1452753</v>
      </c>
      <c r="E123" s="166">
        <f t="shared" si="5"/>
        <v>1.3716297827911643E-4</v>
      </c>
      <c r="F123" s="167">
        <f t="shared" si="6"/>
        <v>0.99136282678567789</v>
      </c>
    </row>
    <row r="124" spans="1:6" x14ac:dyDescent="0.2">
      <c r="A124" s="164" t="s">
        <v>333</v>
      </c>
      <c r="B124" s="164" t="s">
        <v>334</v>
      </c>
      <c r="C124" s="163">
        <f>VLOOKUP(A124, 'S07 Initial Parameters'!$A$2:$C$201, 3, 0)</f>
        <v>200</v>
      </c>
      <c r="D124" s="165">
        <f t="shared" si="7"/>
        <v>1452953</v>
      </c>
      <c r="E124" s="166">
        <f t="shared" si="5"/>
        <v>1.3648057540210589E-4</v>
      </c>
      <c r="F124" s="167">
        <f t="shared" si="6"/>
        <v>0.99149930736107994</v>
      </c>
    </row>
    <row r="125" spans="1:6" x14ac:dyDescent="0.2">
      <c r="A125" s="164" t="s">
        <v>335</v>
      </c>
      <c r="B125" s="164" t="s">
        <v>336</v>
      </c>
      <c r="C125" s="163">
        <f>VLOOKUP(A125, 'S07 Initial Parameters'!$A$2:$C$201, 3, 0)</f>
        <v>199</v>
      </c>
      <c r="D125" s="165">
        <f t="shared" si="7"/>
        <v>1453152</v>
      </c>
      <c r="E125" s="166">
        <f t="shared" si="5"/>
        <v>1.3579817252509536E-4</v>
      </c>
      <c r="F125" s="167">
        <f t="shared" si="6"/>
        <v>0.99163510553360501</v>
      </c>
    </row>
    <row r="126" spans="1:6" x14ac:dyDescent="0.2">
      <c r="A126" s="164" t="s">
        <v>337</v>
      </c>
      <c r="B126" s="164" t="s">
        <v>338</v>
      </c>
      <c r="C126" s="163">
        <f>VLOOKUP(A126, 'S07 Initial Parameters'!$A$2:$C$201, 3, 0)</f>
        <v>198</v>
      </c>
      <c r="D126" s="165">
        <f t="shared" si="7"/>
        <v>1453350</v>
      </c>
      <c r="E126" s="166">
        <f t="shared" si="5"/>
        <v>1.3511576964808484E-4</v>
      </c>
      <c r="F126" s="167">
        <f t="shared" si="6"/>
        <v>0.9917702213032531</v>
      </c>
    </row>
    <row r="127" spans="1:6" x14ac:dyDescent="0.2">
      <c r="A127" s="164" t="s">
        <v>339</v>
      </c>
      <c r="B127" s="164" t="s">
        <v>340</v>
      </c>
      <c r="C127" s="163">
        <f>VLOOKUP(A127, 'S07 Initial Parameters'!$A$2:$C$201, 3, 0)</f>
        <v>197</v>
      </c>
      <c r="D127" s="165">
        <f t="shared" si="7"/>
        <v>1453547</v>
      </c>
      <c r="E127" s="166">
        <f t="shared" si="5"/>
        <v>1.3443336677107431E-4</v>
      </c>
      <c r="F127" s="167">
        <f t="shared" si="6"/>
        <v>0.9919046546700242</v>
      </c>
    </row>
    <row r="128" spans="1:6" x14ac:dyDescent="0.2">
      <c r="A128" s="164" t="s">
        <v>341</v>
      </c>
      <c r="B128" s="164" t="s">
        <v>342</v>
      </c>
      <c r="C128" s="163">
        <f>VLOOKUP(A128, 'S07 Initial Parameters'!$A$2:$C$201, 3, 0)</f>
        <v>196</v>
      </c>
      <c r="D128" s="165">
        <f t="shared" si="7"/>
        <v>1453743</v>
      </c>
      <c r="E128" s="166">
        <f t="shared" si="5"/>
        <v>1.3375096389406377E-4</v>
      </c>
      <c r="F128" s="167">
        <f t="shared" si="6"/>
        <v>0.99203840563391832</v>
      </c>
    </row>
    <row r="129" spans="1:6" x14ac:dyDescent="0.2">
      <c r="A129" s="164" t="s">
        <v>343</v>
      </c>
      <c r="B129" s="164" t="s">
        <v>344</v>
      </c>
      <c r="C129" s="163">
        <f>VLOOKUP(A129, 'S07 Initial Parameters'!$A$2:$C$201, 3, 0)</f>
        <v>195</v>
      </c>
      <c r="D129" s="165">
        <f t="shared" si="7"/>
        <v>1453938</v>
      </c>
      <c r="E129" s="166">
        <f t="shared" si="5"/>
        <v>1.3306856101705326E-4</v>
      </c>
      <c r="F129" s="167">
        <f t="shared" si="6"/>
        <v>0.99217147419493534</v>
      </c>
    </row>
    <row r="130" spans="1:6" x14ac:dyDescent="0.2">
      <c r="A130" s="164" t="s">
        <v>345</v>
      </c>
      <c r="B130" s="164" t="s">
        <v>346</v>
      </c>
      <c r="C130" s="163">
        <f>VLOOKUP(A130, 'S07 Initial Parameters'!$A$2:$C$201, 3, 0)</f>
        <v>194</v>
      </c>
      <c r="D130" s="165">
        <f t="shared" si="7"/>
        <v>1454132</v>
      </c>
      <c r="E130" s="166">
        <f t="shared" si="5"/>
        <v>1.3238615814004272E-4</v>
      </c>
      <c r="F130" s="167">
        <f t="shared" si="6"/>
        <v>0.99230386035307538</v>
      </c>
    </row>
    <row r="131" spans="1:6" x14ac:dyDescent="0.2">
      <c r="A131" s="164" t="s">
        <v>347</v>
      </c>
      <c r="B131" s="164" t="s">
        <v>348</v>
      </c>
      <c r="C131" s="163">
        <f>VLOOKUP(A131, 'S07 Initial Parameters'!$A$2:$C$201, 3, 0)</f>
        <v>193</v>
      </c>
      <c r="D131" s="165">
        <f t="shared" ref="D131:D162" si="8">C131+D130</f>
        <v>1454325</v>
      </c>
      <c r="E131" s="166">
        <f t="shared" si="5"/>
        <v>1.3170375526303218E-4</v>
      </c>
      <c r="F131" s="167">
        <f t="shared" si="6"/>
        <v>0.99243556410833844</v>
      </c>
    </row>
    <row r="132" spans="1:6" x14ac:dyDescent="0.2">
      <c r="A132" s="164" t="s">
        <v>349</v>
      </c>
      <c r="B132" s="164" t="s">
        <v>350</v>
      </c>
      <c r="C132" s="163">
        <f>VLOOKUP(A132, 'S07 Initial Parameters'!$A$2:$C$201, 3, 0)</f>
        <v>192</v>
      </c>
      <c r="D132" s="165">
        <f t="shared" si="8"/>
        <v>1454517</v>
      </c>
      <c r="E132" s="166">
        <f t="shared" ref="E132:E195" si="9">C132/SUM($C$3:$C$202)</f>
        <v>1.3102135238602167E-4</v>
      </c>
      <c r="F132" s="167">
        <f t="shared" ref="F132:F195" si="10">E132+F131</f>
        <v>0.99256658546072452</v>
      </c>
    </row>
    <row r="133" spans="1:6" x14ac:dyDescent="0.2">
      <c r="A133" s="164" t="s">
        <v>237</v>
      </c>
      <c r="B133" s="164" t="s">
        <v>238</v>
      </c>
      <c r="C133" s="163">
        <f>VLOOKUP(A133, 'S07 Initial Parameters'!$A$2:$C$201, 3, 0)</f>
        <v>191</v>
      </c>
      <c r="D133" s="165">
        <f t="shared" si="8"/>
        <v>1454708</v>
      </c>
      <c r="E133" s="166">
        <f t="shared" si="9"/>
        <v>1.3033894950901113E-4</v>
      </c>
      <c r="F133" s="167">
        <f t="shared" si="10"/>
        <v>0.99269692441023349</v>
      </c>
    </row>
    <row r="134" spans="1:6" x14ac:dyDescent="0.2">
      <c r="A134" s="164" t="s">
        <v>351</v>
      </c>
      <c r="B134" s="164" t="s">
        <v>352</v>
      </c>
      <c r="C134" s="163">
        <f>VLOOKUP(A134, 'S07 Initial Parameters'!$A$2:$C$201, 3, 0)</f>
        <v>191</v>
      </c>
      <c r="D134" s="165">
        <f t="shared" si="8"/>
        <v>1454899</v>
      </c>
      <c r="E134" s="166">
        <f t="shared" si="9"/>
        <v>1.3033894950901113E-4</v>
      </c>
      <c r="F134" s="167">
        <f t="shared" si="10"/>
        <v>0.99282726335974247</v>
      </c>
    </row>
    <row r="135" spans="1:6" x14ac:dyDescent="0.2">
      <c r="A135" s="164" t="s">
        <v>353</v>
      </c>
      <c r="B135" s="164" t="s">
        <v>354</v>
      </c>
      <c r="C135" s="163">
        <f>VLOOKUP(A135, 'S07 Initial Parameters'!$A$2:$C$201, 3, 0)</f>
        <v>190</v>
      </c>
      <c r="D135" s="165">
        <f t="shared" si="8"/>
        <v>1455089</v>
      </c>
      <c r="E135" s="166">
        <f t="shared" si="9"/>
        <v>1.2965654663200059E-4</v>
      </c>
      <c r="F135" s="167">
        <f t="shared" si="10"/>
        <v>0.99295691990637447</v>
      </c>
    </row>
    <row r="136" spans="1:6" x14ac:dyDescent="0.2">
      <c r="A136" s="164" t="s">
        <v>355</v>
      </c>
      <c r="B136" s="164" t="s">
        <v>356</v>
      </c>
      <c r="C136" s="163">
        <f>VLOOKUP(A136, 'S07 Initial Parameters'!$A$2:$C$201, 3, 0)</f>
        <v>189</v>
      </c>
      <c r="D136" s="165">
        <f t="shared" si="8"/>
        <v>1455278</v>
      </c>
      <c r="E136" s="166">
        <f t="shared" si="9"/>
        <v>1.2897414375499008E-4</v>
      </c>
      <c r="F136" s="167">
        <f t="shared" si="10"/>
        <v>0.99308589405012948</v>
      </c>
    </row>
    <row r="137" spans="1:6" x14ac:dyDescent="0.2">
      <c r="A137" s="164" t="s">
        <v>357</v>
      </c>
      <c r="B137" s="164" t="s">
        <v>358</v>
      </c>
      <c r="C137" s="163">
        <f>VLOOKUP(A137, 'S07 Initial Parameters'!$A$2:$C$201, 3, 0)</f>
        <v>188</v>
      </c>
      <c r="D137" s="165">
        <f t="shared" si="8"/>
        <v>1455466</v>
      </c>
      <c r="E137" s="166">
        <f t="shared" si="9"/>
        <v>1.2829174087797954E-4</v>
      </c>
      <c r="F137" s="167">
        <f t="shared" si="10"/>
        <v>0.99321418579100751</v>
      </c>
    </row>
    <row r="138" spans="1:6" x14ac:dyDescent="0.2">
      <c r="A138" s="164" t="s">
        <v>359</v>
      </c>
      <c r="B138" s="164" t="s">
        <v>360</v>
      </c>
      <c r="C138" s="163">
        <f>VLOOKUP(A138, 'S07 Initial Parameters'!$A$2:$C$201, 3, 0)</f>
        <v>187</v>
      </c>
      <c r="D138" s="165">
        <f t="shared" si="8"/>
        <v>1455653</v>
      </c>
      <c r="E138" s="166">
        <f t="shared" si="9"/>
        <v>1.27609338000969E-4</v>
      </c>
      <c r="F138" s="167">
        <f t="shared" si="10"/>
        <v>0.99334179512900844</v>
      </c>
    </row>
    <row r="139" spans="1:6" x14ac:dyDescent="0.2">
      <c r="A139" s="164" t="s">
        <v>361</v>
      </c>
      <c r="B139" s="164" t="s">
        <v>362</v>
      </c>
      <c r="C139" s="163">
        <f>VLOOKUP(A139, 'S07 Initial Parameters'!$A$2:$C$201, 3, 0)</f>
        <v>186</v>
      </c>
      <c r="D139" s="165">
        <f t="shared" si="8"/>
        <v>1455839</v>
      </c>
      <c r="E139" s="166">
        <f t="shared" si="9"/>
        <v>1.2692693512395849E-4</v>
      </c>
      <c r="F139" s="167">
        <f t="shared" si="10"/>
        <v>0.99346872206413239</v>
      </c>
    </row>
    <row r="140" spans="1:6" x14ac:dyDescent="0.2">
      <c r="A140" s="164" t="s">
        <v>363</v>
      </c>
      <c r="B140" s="164" t="s">
        <v>364</v>
      </c>
      <c r="C140" s="163">
        <f>VLOOKUP(A140, 'S07 Initial Parameters'!$A$2:$C$201, 3, 0)</f>
        <v>185</v>
      </c>
      <c r="D140" s="165">
        <f t="shared" si="8"/>
        <v>1456024</v>
      </c>
      <c r="E140" s="166">
        <f t="shared" si="9"/>
        <v>1.2624453224694795E-4</v>
      </c>
      <c r="F140" s="167">
        <f t="shared" si="10"/>
        <v>0.99359496659637936</v>
      </c>
    </row>
    <row r="141" spans="1:6" x14ac:dyDescent="0.2">
      <c r="A141" s="164" t="s">
        <v>365</v>
      </c>
      <c r="B141" s="164" t="s">
        <v>366</v>
      </c>
      <c r="C141" s="163">
        <f>VLOOKUP(A141, 'S07 Initial Parameters'!$A$2:$C$201, 3, 0)</f>
        <v>184</v>
      </c>
      <c r="D141" s="165">
        <f t="shared" si="8"/>
        <v>1456208</v>
      </c>
      <c r="E141" s="166">
        <f t="shared" si="9"/>
        <v>1.2556212936993741E-4</v>
      </c>
      <c r="F141" s="167">
        <f t="shared" si="10"/>
        <v>0.99372052872574934</v>
      </c>
    </row>
    <row r="142" spans="1:6" x14ac:dyDescent="0.2">
      <c r="A142" s="164" t="s">
        <v>367</v>
      </c>
      <c r="B142" s="164" t="s">
        <v>368</v>
      </c>
      <c r="C142" s="163">
        <f>VLOOKUP(A142, 'S07 Initial Parameters'!$A$2:$C$201, 3, 0)</f>
        <v>183</v>
      </c>
      <c r="D142" s="165">
        <f t="shared" si="8"/>
        <v>1456391</v>
      </c>
      <c r="E142" s="166">
        <f t="shared" si="9"/>
        <v>1.248797264929269E-4</v>
      </c>
      <c r="F142" s="167">
        <f t="shared" si="10"/>
        <v>0.99384540845224223</v>
      </c>
    </row>
    <row r="143" spans="1:6" x14ac:dyDescent="0.2">
      <c r="A143" s="164" t="s">
        <v>369</v>
      </c>
      <c r="B143" s="164" t="s">
        <v>370</v>
      </c>
      <c r="C143" s="163">
        <f>VLOOKUP(A143, 'S07 Initial Parameters'!$A$2:$C$201, 3, 0)</f>
        <v>182</v>
      </c>
      <c r="D143" s="165">
        <f t="shared" si="8"/>
        <v>1456573</v>
      </c>
      <c r="E143" s="166">
        <f t="shared" si="9"/>
        <v>1.2419732361591636E-4</v>
      </c>
      <c r="F143" s="167">
        <f t="shared" si="10"/>
        <v>0.99396960577585813</v>
      </c>
    </row>
    <row r="144" spans="1:6" x14ac:dyDescent="0.2">
      <c r="A144" s="164" t="s">
        <v>371</v>
      </c>
      <c r="B144" s="164" t="s">
        <v>372</v>
      </c>
      <c r="C144" s="163">
        <f>VLOOKUP(A144, 'S07 Initial Parameters'!$A$2:$C$201, 3, 0)</f>
        <v>181</v>
      </c>
      <c r="D144" s="165">
        <f t="shared" si="8"/>
        <v>1456754</v>
      </c>
      <c r="E144" s="166">
        <f t="shared" si="9"/>
        <v>1.2351492073890582E-4</v>
      </c>
      <c r="F144" s="167">
        <f t="shared" si="10"/>
        <v>0.99409312069659705</v>
      </c>
    </row>
    <row r="145" spans="1:6" x14ac:dyDescent="0.2">
      <c r="A145" s="164" t="s">
        <v>239</v>
      </c>
      <c r="B145" s="164" t="s">
        <v>240</v>
      </c>
      <c r="C145" s="163">
        <f>VLOOKUP(A145, 'S07 Initial Parameters'!$A$2:$C$201, 3, 0)</f>
        <v>180</v>
      </c>
      <c r="D145" s="165">
        <f t="shared" si="8"/>
        <v>1456934</v>
      </c>
      <c r="E145" s="166">
        <f t="shared" si="9"/>
        <v>1.2283251786189531E-4</v>
      </c>
      <c r="F145" s="167">
        <f t="shared" si="10"/>
        <v>0.99421595321445899</v>
      </c>
    </row>
    <row r="146" spans="1:6" x14ac:dyDescent="0.2">
      <c r="A146" s="164" t="s">
        <v>373</v>
      </c>
      <c r="B146" s="164" t="s">
        <v>374</v>
      </c>
      <c r="C146" s="163">
        <f>VLOOKUP(A146, 'S07 Initial Parameters'!$A$2:$C$201, 3, 0)</f>
        <v>180</v>
      </c>
      <c r="D146" s="165">
        <f t="shared" si="8"/>
        <v>1457114</v>
      </c>
      <c r="E146" s="166">
        <f t="shared" si="9"/>
        <v>1.2283251786189531E-4</v>
      </c>
      <c r="F146" s="167">
        <f t="shared" si="10"/>
        <v>0.99433878573232093</v>
      </c>
    </row>
    <row r="147" spans="1:6" x14ac:dyDescent="0.2">
      <c r="A147" s="164" t="s">
        <v>375</v>
      </c>
      <c r="B147" s="164" t="s">
        <v>376</v>
      </c>
      <c r="C147" s="163">
        <f>VLOOKUP(A147, 'S07 Initial Parameters'!$A$2:$C$201, 3, 0)</f>
        <v>179</v>
      </c>
      <c r="D147" s="165">
        <f t="shared" si="8"/>
        <v>1457293</v>
      </c>
      <c r="E147" s="166">
        <f t="shared" si="9"/>
        <v>1.2215011498488477E-4</v>
      </c>
      <c r="F147" s="167">
        <f t="shared" si="10"/>
        <v>0.99446093584730577</v>
      </c>
    </row>
    <row r="148" spans="1:6" x14ac:dyDescent="0.2">
      <c r="A148" s="164" t="s">
        <v>377</v>
      </c>
      <c r="B148" s="164" t="s">
        <v>378</v>
      </c>
      <c r="C148" s="163">
        <f>VLOOKUP(A148, 'S07 Initial Parameters'!$A$2:$C$201, 3, 0)</f>
        <v>178</v>
      </c>
      <c r="D148" s="165">
        <f t="shared" si="8"/>
        <v>1457471</v>
      </c>
      <c r="E148" s="166">
        <f t="shared" si="9"/>
        <v>1.2146771210787425E-4</v>
      </c>
      <c r="F148" s="167">
        <f t="shared" si="10"/>
        <v>0.99458240355941363</v>
      </c>
    </row>
    <row r="149" spans="1:6" x14ac:dyDescent="0.2">
      <c r="A149" s="164" t="s">
        <v>379</v>
      </c>
      <c r="B149" s="164" t="s">
        <v>380</v>
      </c>
      <c r="C149" s="163">
        <f>VLOOKUP(A149, 'S07 Initial Parameters'!$A$2:$C$201, 3, 0)</f>
        <v>177</v>
      </c>
      <c r="D149" s="165">
        <f t="shared" si="8"/>
        <v>1457648</v>
      </c>
      <c r="E149" s="166">
        <f t="shared" si="9"/>
        <v>1.2078530923086372E-4</v>
      </c>
      <c r="F149" s="167">
        <f t="shared" si="10"/>
        <v>0.99470318886864451</v>
      </c>
    </row>
    <row r="150" spans="1:6" x14ac:dyDescent="0.2">
      <c r="A150" s="164" t="s">
        <v>381</v>
      </c>
      <c r="B150" s="164" t="s">
        <v>382</v>
      </c>
      <c r="C150" s="163">
        <f>VLOOKUP(A150, 'S07 Initial Parameters'!$A$2:$C$201, 3, 0)</f>
        <v>176</v>
      </c>
      <c r="D150" s="165">
        <f t="shared" si="8"/>
        <v>1457824</v>
      </c>
      <c r="E150" s="166">
        <f t="shared" si="9"/>
        <v>1.2010290635385319E-4</v>
      </c>
      <c r="F150" s="167">
        <f t="shared" si="10"/>
        <v>0.9948232917749984</v>
      </c>
    </row>
    <row r="151" spans="1:6" x14ac:dyDescent="0.2">
      <c r="A151" s="164" t="s">
        <v>383</v>
      </c>
      <c r="B151" s="164" t="s">
        <v>384</v>
      </c>
      <c r="C151" s="163">
        <f>VLOOKUP(A151, 'S07 Initial Parameters'!$A$2:$C$201, 3, 0)</f>
        <v>175</v>
      </c>
      <c r="D151" s="165">
        <f t="shared" si="8"/>
        <v>1457999</v>
      </c>
      <c r="E151" s="166">
        <f t="shared" si="9"/>
        <v>1.1942050347684266E-4</v>
      </c>
      <c r="F151" s="167">
        <f t="shared" si="10"/>
        <v>0.99494271227847519</v>
      </c>
    </row>
    <row r="152" spans="1:6" x14ac:dyDescent="0.2">
      <c r="A152" s="164" t="s">
        <v>385</v>
      </c>
      <c r="B152" s="164" t="s">
        <v>386</v>
      </c>
      <c r="C152" s="163">
        <f>VLOOKUP(A152, 'S07 Initial Parameters'!$A$2:$C$201, 3, 0)</f>
        <v>174</v>
      </c>
      <c r="D152" s="165">
        <f t="shared" si="8"/>
        <v>1458173</v>
      </c>
      <c r="E152" s="166">
        <f t="shared" si="9"/>
        <v>1.1873810059983214E-4</v>
      </c>
      <c r="F152" s="167">
        <f t="shared" si="10"/>
        <v>0.99506145037907501</v>
      </c>
    </row>
    <row r="153" spans="1:6" x14ac:dyDescent="0.2">
      <c r="A153" s="164" t="s">
        <v>387</v>
      </c>
      <c r="B153" s="164" t="s">
        <v>388</v>
      </c>
      <c r="C153" s="163">
        <f>VLOOKUP(A153, 'S07 Initial Parameters'!$A$2:$C$201, 3, 0)</f>
        <v>173</v>
      </c>
      <c r="D153" s="165">
        <f t="shared" si="8"/>
        <v>1458346</v>
      </c>
      <c r="E153" s="166">
        <f t="shared" si="9"/>
        <v>1.180556977228216E-4</v>
      </c>
      <c r="F153" s="167">
        <f t="shared" si="10"/>
        <v>0.99517950607679784</v>
      </c>
    </row>
    <row r="154" spans="1:6" x14ac:dyDescent="0.2">
      <c r="A154" s="164" t="s">
        <v>389</v>
      </c>
      <c r="B154" s="164" t="s">
        <v>390</v>
      </c>
      <c r="C154" s="163">
        <f>VLOOKUP(A154, 'S07 Initial Parameters'!$A$2:$C$201, 3, 0)</f>
        <v>172</v>
      </c>
      <c r="D154" s="165">
        <f t="shared" si="8"/>
        <v>1458518</v>
      </c>
      <c r="E154" s="166">
        <f t="shared" si="9"/>
        <v>1.1737329484581107E-4</v>
      </c>
      <c r="F154" s="167">
        <f t="shared" si="10"/>
        <v>0.99529687937164368</v>
      </c>
    </row>
    <row r="155" spans="1:6" x14ac:dyDescent="0.2">
      <c r="A155" s="164" t="s">
        <v>391</v>
      </c>
      <c r="B155" s="164" t="s">
        <v>392</v>
      </c>
      <c r="C155" s="163">
        <f>VLOOKUP(A155, 'S07 Initial Parameters'!$A$2:$C$201, 3, 0)</f>
        <v>171</v>
      </c>
      <c r="D155" s="165">
        <f t="shared" si="8"/>
        <v>1458689</v>
      </c>
      <c r="E155" s="166">
        <f t="shared" si="9"/>
        <v>1.1669089196880055E-4</v>
      </c>
      <c r="F155" s="167">
        <f t="shared" si="10"/>
        <v>0.99541357026361243</v>
      </c>
    </row>
    <row r="156" spans="1:6" x14ac:dyDescent="0.2">
      <c r="A156" s="164" t="s">
        <v>393</v>
      </c>
      <c r="B156" s="164" t="s">
        <v>394</v>
      </c>
      <c r="C156" s="163">
        <f>VLOOKUP(A156, 'S07 Initial Parameters'!$A$2:$C$201, 3, 0)</f>
        <v>170</v>
      </c>
      <c r="D156" s="165">
        <f t="shared" si="8"/>
        <v>1458859</v>
      </c>
      <c r="E156" s="166">
        <f t="shared" si="9"/>
        <v>1.1600848909179001E-4</v>
      </c>
      <c r="F156" s="167">
        <f t="shared" si="10"/>
        <v>0.9955295787527042</v>
      </c>
    </row>
    <row r="157" spans="1:6" x14ac:dyDescent="0.2">
      <c r="A157" s="164" t="s">
        <v>241</v>
      </c>
      <c r="B157" s="164" t="s">
        <v>242</v>
      </c>
      <c r="C157" s="163">
        <f>VLOOKUP(A157, 'S07 Initial Parameters'!$A$2:$C$201, 3, 0)</f>
        <v>169</v>
      </c>
      <c r="D157" s="165">
        <f t="shared" si="8"/>
        <v>1459028</v>
      </c>
      <c r="E157" s="166">
        <f t="shared" si="9"/>
        <v>1.1532608621477948E-4</v>
      </c>
      <c r="F157" s="167">
        <f t="shared" si="10"/>
        <v>0.99564490483891899</v>
      </c>
    </row>
    <row r="158" spans="1:6" x14ac:dyDescent="0.2">
      <c r="A158" s="164" t="s">
        <v>395</v>
      </c>
      <c r="B158" s="164" t="s">
        <v>396</v>
      </c>
      <c r="C158" s="163">
        <f>VLOOKUP(A158, 'S07 Initial Parameters'!$A$2:$C$201, 3, 0)</f>
        <v>169</v>
      </c>
      <c r="D158" s="165">
        <f t="shared" si="8"/>
        <v>1459197</v>
      </c>
      <c r="E158" s="166">
        <f t="shared" si="9"/>
        <v>1.1532608621477948E-4</v>
      </c>
      <c r="F158" s="167">
        <f t="shared" si="10"/>
        <v>0.99576023092513377</v>
      </c>
    </row>
    <row r="159" spans="1:6" x14ac:dyDescent="0.2">
      <c r="A159" s="164" t="s">
        <v>397</v>
      </c>
      <c r="B159" s="164" t="s">
        <v>398</v>
      </c>
      <c r="C159" s="163">
        <f>VLOOKUP(A159, 'S07 Initial Parameters'!$A$2:$C$201, 3, 0)</f>
        <v>168</v>
      </c>
      <c r="D159" s="165">
        <f t="shared" si="8"/>
        <v>1459365</v>
      </c>
      <c r="E159" s="166">
        <f t="shared" si="9"/>
        <v>1.1464368333776896E-4</v>
      </c>
      <c r="F159" s="167">
        <f t="shared" si="10"/>
        <v>0.99587487460847157</v>
      </c>
    </row>
    <row r="160" spans="1:6" x14ac:dyDescent="0.2">
      <c r="A160" s="164" t="s">
        <v>399</v>
      </c>
      <c r="B160" s="164" t="s">
        <v>400</v>
      </c>
      <c r="C160" s="163">
        <f>VLOOKUP(A160, 'S07 Initial Parameters'!$A$2:$C$201, 3, 0)</f>
        <v>167</v>
      </c>
      <c r="D160" s="165">
        <f t="shared" si="8"/>
        <v>1459532</v>
      </c>
      <c r="E160" s="166">
        <f t="shared" si="9"/>
        <v>1.1396128046075842E-4</v>
      </c>
      <c r="F160" s="167">
        <f t="shared" si="10"/>
        <v>0.99598883588893228</v>
      </c>
    </row>
    <row r="161" spans="1:6" x14ac:dyDescent="0.2">
      <c r="A161" s="164" t="s">
        <v>401</v>
      </c>
      <c r="B161" s="164" t="s">
        <v>402</v>
      </c>
      <c r="C161" s="163">
        <f>VLOOKUP(A161, 'S07 Initial Parameters'!$A$2:$C$201, 3, 0)</f>
        <v>166</v>
      </c>
      <c r="D161" s="165">
        <f t="shared" si="8"/>
        <v>1459698</v>
      </c>
      <c r="E161" s="166">
        <f t="shared" si="9"/>
        <v>1.1327887758374789E-4</v>
      </c>
      <c r="F161" s="167">
        <f t="shared" si="10"/>
        <v>0.996102114766516</v>
      </c>
    </row>
    <row r="162" spans="1:6" x14ac:dyDescent="0.2">
      <c r="A162" s="164" t="s">
        <v>403</v>
      </c>
      <c r="B162" s="164" t="s">
        <v>404</v>
      </c>
      <c r="C162" s="163">
        <f>VLOOKUP(A162, 'S07 Initial Parameters'!$A$2:$C$201, 3, 0)</f>
        <v>165</v>
      </c>
      <c r="D162" s="165">
        <f t="shared" si="8"/>
        <v>1459863</v>
      </c>
      <c r="E162" s="166">
        <f t="shared" si="9"/>
        <v>1.1259647470673737E-4</v>
      </c>
      <c r="F162" s="167">
        <f t="shared" si="10"/>
        <v>0.99621471124122274</v>
      </c>
    </row>
    <row r="163" spans="1:6" x14ac:dyDescent="0.2">
      <c r="A163" s="164" t="s">
        <v>405</v>
      </c>
      <c r="B163" s="164" t="s">
        <v>406</v>
      </c>
      <c r="C163" s="163">
        <f>VLOOKUP(A163, 'S07 Initial Parameters'!$A$2:$C$201, 3, 0)</f>
        <v>164</v>
      </c>
      <c r="D163" s="165">
        <f t="shared" ref="D163:D194" si="11">C163+D162</f>
        <v>1460027</v>
      </c>
      <c r="E163" s="166">
        <f t="shared" si="9"/>
        <v>1.1191407182972683E-4</v>
      </c>
      <c r="F163" s="167">
        <f t="shared" si="10"/>
        <v>0.99632662531305249</v>
      </c>
    </row>
    <row r="164" spans="1:6" x14ac:dyDescent="0.2">
      <c r="A164" s="164" t="s">
        <v>407</v>
      </c>
      <c r="B164" s="164" t="s">
        <v>408</v>
      </c>
      <c r="C164" s="163">
        <f>VLOOKUP(A164, 'S07 Initial Parameters'!$A$2:$C$201, 3, 0)</f>
        <v>163</v>
      </c>
      <c r="D164" s="165">
        <f t="shared" si="11"/>
        <v>1460190</v>
      </c>
      <c r="E164" s="166">
        <f t="shared" si="9"/>
        <v>1.1123166895271631E-4</v>
      </c>
      <c r="F164" s="167">
        <f t="shared" si="10"/>
        <v>0.99643785698200527</v>
      </c>
    </row>
    <row r="165" spans="1:6" x14ac:dyDescent="0.2">
      <c r="A165" s="164" t="s">
        <v>409</v>
      </c>
      <c r="B165" s="164" t="s">
        <v>410</v>
      </c>
      <c r="C165" s="163">
        <f>VLOOKUP(A165, 'S07 Initial Parameters'!$A$2:$C$201, 3, 0)</f>
        <v>162</v>
      </c>
      <c r="D165" s="165">
        <f t="shared" si="11"/>
        <v>1460352</v>
      </c>
      <c r="E165" s="166">
        <f t="shared" si="9"/>
        <v>1.1054926607570578E-4</v>
      </c>
      <c r="F165" s="167">
        <f t="shared" si="10"/>
        <v>0.99654840624808094</v>
      </c>
    </row>
    <row r="166" spans="1:6" x14ac:dyDescent="0.2">
      <c r="A166" s="164" t="s">
        <v>411</v>
      </c>
      <c r="B166" s="164" t="s">
        <v>412</v>
      </c>
      <c r="C166" s="163">
        <f>VLOOKUP(A166, 'S07 Initial Parameters'!$A$2:$C$201, 3, 0)</f>
        <v>161</v>
      </c>
      <c r="D166" s="165">
        <f t="shared" si="11"/>
        <v>1460513</v>
      </c>
      <c r="E166" s="166">
        <f t="shared" si="9"/>
        <v>1.0986686319869524E-4</v>
      </c>
      <c r="F166" s="167">
        <f t="shared" si="10"/>
        <v>0.99665827311127964</v>
      </c>
    </row>
    <row r="167" spans="1:6" x14ac:dyDescent="0.2">
      <c r="A167" s="164" t="s">
        <v>413</v>
      </c>
      <c r="B167" s="164" t="s">
        <v>414</v>
      </c>
      <c r="C167" s="163">
        <f>VLOOKUP(A167, 'S07 Initial Parameters'!$A$2:$C$201, 3, 0)</f>
        <v>160</v>
      </c>
      <c r="D167" s="165">
        <f t="shared" si="11"/>
        <v>1460673</v>
      </c>
      <c r="E167" s="166">
        <f t="shared" si="9"/>
        <v>1.0918446032168472E-4</v>
      </c>
      <c r="F167" s="167">
        <f t="shared" si="10"/>
        <v>0.99676745757160135</v>
      </c>
    </row>
    <row r="168" spans="1:6" x14ac:dyDescent="0.2">
      <c r="A168" s="164" t="s">
        <v>243</v>
      </c>
      <c r="B168" s="164" t="s">
        <v>244</v>
      </c>
      <c r="C168" s="163">
        <f>VLOOKUP(A168, 'S07 Initial Parameters'!$A$2:$C$201, 3, 0)</f>
        <v>159</v>
      </c>
      <c r="D168" s="165">
        <f t="shared" si="11"/>
        <v>1460832</v>
      </c>
      <c r="E168" s="166">
        <f t="shared" si="9"/>
        <v>1.0850205744467419E-4</v>
      </c>
      <c r="F168" s="167">
        <f t="shared" si="10"/>
        <v>0.99687595962904607</v>
      </c>
    </row>
    <row r="169" spans="1:6" x14ac:dyDescent="0.2">
      <c r="A169" s="164" t="s">
        <v>415</v>
      </c>
      <c r="B169" s="164" t="s">
        <v>416</v>
      </c>
      <c r="C169" s="163">
        <f>VLOOKUP(A169, 'S07 Initial Parameters'!$A$2:$C$201, 3, 0)</f>
        <v>159</v>
      </c>
      <c r="D169" s="165">
        <f t="shared" si="11"/>
        <v>1460991</v>
      </c>
      <c r="E169" s="166">
        <f t="shared" si="9"/>
        <v>1.0850205744467419E-4</v>
      </c>
      <c r="F169" s="167">
        <f t="shared" si="10"/>
        <v>0.9969844616864908</v>
      </c>
    </row>
    <row r="170" spans="1:6" x14ac:dyDescent="0.2">
      <c r="A170" s="164" t="s">
        <v>417</v>
      </c>
      <c r="B170" s="164" t="s">
        <v>418</v>
      </c>
      <c r="C170" s="163">
        <f>VLOOKUP(A170, 'S07 Initial Parameters'!$A$2:$C$201, 3, 0)</f>
        <v>158</v>
      </c>
      <c r="D170" s="165">
        <f t="shared" si="11"/>
        <v>1461149</v>
      </c>
      <c r="E170" s="166">
        <f t="shared" si="9"/>
        <v>1.0781965456766365E-4</v>
      </c>
      <c r="F170" s="167">
        <f t="shared" si="10"/>
        <v>0.99709228134105843</v>
      </c>
    </row>
    <row r="171" spans="1:6" x14ac:dyDescent="0.2">
      <c r="A171" s="164" t="s">
        <v>419</v>
      </c>
      <c r="B171" s="164" t="s">
        <v>420</v>
      </c>
      <c r="C171" s="163">
        <f>VLOOKUP(A171, 'S07 Initial Parameters'!$A$2:$C$201, 3, 0)</f>
        <v>157</v>
      </c>
      <c r="D171" s="165">
        <f t="shared" si="11"/>
        <v>1461306</v>
      </c>
      <c r="E171" s="166">
        <f t="shared" si="9"/>
        <v>1.0713725169065313E-4</v>
      </c>
      <c r="F171" s="167">
        <f t="shared" si="10"/>
        <v>0.99719941859274908</v>
      </c>
    </row>
    <row r="172" spans="1:6" x14ac:dyDescent="0.2">
      <c r="A172" s="164" t="s">
        <v>421</v>
      </c>
      <c r="B172" s="164" t="s">
        <v>422</v>
      </c>
      <c r="C172" s="163">
        <f>VLOOKUP(A172, 'S07 Initial Parameters'!$A$2:$C$201, 3, 0)</f>
        <v>156</v>
      </c>
      <c r="D172" s="165">
        <f t="shared" si="11"/>
        <v>1461462</v>
      </c>
      <c r="E172" s="166">
        <f t="shared" si="9"/>
        <v>1.064548488136426E-4</v>
      </c>
      <c r="F172" s="167">
        <f t="shared" si="10"/>
        <v>0.99730587344156274</v>
      </c>
    </row>
    <row r="173" spans="1:6" x14ac:dyDescent="0.2">
      <c r="A173" s="164" t="s">
        <v>423</v>
      </c>
      <c r="B173" s="164" t="s">
        <v>424</v>
      </c>
      <c r="C173" s="163">
        <f>VLOOKUP(A173, 'S07 Initial Parameters'!$A$2:$C$201, 3, 0)</f>
        <v>155</v>
      </c>
      <c r="D173" s="165">
        <f t="shared" si="11"/>
        <v>1461617</v>
      </c>
      <c r="E173" s="166">
        <f t="shared" si="9"/>
        <v>1.0577244593663207E-4</v>
      </c>
      <c r="F173" s="167">
        <f t="shared" si="10"/>
        <v>0.99741164588749942</v>
      </c>
    </row>
    <row r="174" spans="1:6" x14ac:dyDescent="0.2">
      <c r="A174" s="164" t="s">
        <v>425</v>
      </c>
      <c r="B174" s="164" t="s">
        <v>426</v>
      </c>
      <c r="C174" s="163">
        <f>VLOOKUP(A174, 'S07 Initial Parameters'!$A$2:$C$201, 3, 0)</f>
        <v>154</v>
      </c>
      <c r="D174" s="165">
        <f t="shared" si="11"/>
        <v>1461771</v>
      </c>
      <c r="E174" s="166">
        <f t="shared" si="9"/>
        <v>1.0509004305962154E-4</v>
      </c>
      <c r="F174" s="167">
        <f t="shared" si="10"/>
        <v>0.99751673593055901</v>
      </c>
    </row>
    <row r="175" spans="1:6" x14ac:dyDescent="0.2">
      <c r="A175" s="164" t="s">
        <v>427</v>
      </c>
      <c r="B175" s="164" t="s">
        <v>428</v>
      </c>
      <c r="C175" s="163">
        <f>VLOOKUP(A175, 'S07 Initial Parameters'!$A$2:$C$201, 3, 0)</f>
        <v>153</v>
      </c>
      <c r="D175" s="165">
        <f t="shared" si="11"/>
        <v>1461924</v>
      </c>
      <c r="E175" s="166">
        <f t="shared" si="9"/>
        <v>1.0440764018261102E-4</v>
      </c>
      <c r="F175" s="167">
        <f t="shared" si="10"/>
        <v>0.99762114357074161</v>
      </c>
    </row>
    <row r="176" spans="1:6" x14ac:dyDescent="0.2">
      <c r="A176" s="164" t="s">
        <v>429</v>
      </c>
      <c r="B176" s="164" t="s">
        <v>430</v>
      </c>
      <c r="C176" s="163">
        <f>VLOOKUP(A176, 'S07 Initial Parameters'!$A$2:$C$201, 3, 0)</f>
        <v>152</v>
      </c>
      <c r="D176" s="165">
        <f t="shared" si="11"/>
        <v>1462076</v>
      </c>
      <c r="E176" s="166">
        <f t="shared" si="9"/>
        <v>1.0372523730560048E-4</v>
      </c>
      <c r="F176" s="167">
        <f t="shared" si="10"/>
        <v>0.99772486880804723</v>
      </c>
    </row>
    <row r="177" spans="1:6" x14ac:dyDescent="0.2">
      <c r="A177" s="164" t="s">
        <v>431</v>
      </c>
      <c r="B177" s="164" t="s">
        <v>432</v>
      </c>
      <c r="C177" s="163">
        <f>VLOOKUP(A177, 'S07 Initial Parameters'!$A$2:$C$201, 3, 0)</f>
        <v>151</v>
      </c>
      <c r="D177" s="165">
        <f t="shared" si="11"/>
        <v>1462227</v>
      </c>
      <c r="E177" s="166">
        <f t="shared" si="9"/>
        <v>1.0304283442858995E-4</v>
      </c>
      <c r="F177" s="167">
        <f t="shared" si="10"/>
        <v>0.99782791164247586</v>
      </c>
    </row>
    <row r="178" spans="1:6" x14ac:dyDescent="0.2">
      <c r="A178" s="164" t="s">
        <v>433</v>
      </c>
      <c r="B178" s="164" t="s">
        <v>434</v>
      </c>
      <c r="C178" s="163">
        <f>VLOOKUP(A178, 'S07 Initial Parameters'!$A$2:$C$201, 3, 0)</f>
        <v>150</v>
      </c>
      <c r="D178" s="165">
        <f t="shared" si="11"/>
        <v>1462377</v>
      </c>
      <c r="E178" s="166">
        <f t="shared" si="9"/>
        <v>1.0236043155157943E-4</v>
      </c>
      <c r="F178" s="167">
        <f t="shared" si="10"/>
        <v>0.9979302720740274</v>
      </c>
    </row>
    <row r="179" spans="1:6" x14ac:dyDescent="0.2">
      <c r="A179" s="164" t="s">
        <v>435</v>
      </c>
      <c r="B179" s="164" t="s">
        <v>436</v>
      </c>
      <c r="C179" s="163">
        <f>VLOOKUP(A179, 'S07 Initial Parameters'!$A$2:$C$201, 3, 0)</f>
        <v>149</v>
      </c>
      <c r="D179" s="165">
        <f t="shared" si="11"/>
        <v>1462526</v>
      </c>
      <c r="E179" s="166">
        <f t="shared" si="9"/>
        <v>1.0167802867456889E-4</v>
      </c>
      <c r="F179" s="167">
        <f t="shared" si="10"/>
        <v>0.99803195010270196</v>
      </c>
    </row>
    <row r="180" spans="1:6" x14ac:dyDescent="0.2">
      <c r="A180" s="164" t="s">
        <v>245</v>
      </c>
      <c r="B180" s="164" t="s">
        <v>246</v>
      </c>
      <c r="C180" s="163">
        <f>VLOOKUP(A180, 'S07 Initial Parameters'!$A$2:$C$201, 3, 0)</f>
        <v>148</v>
      </c>
      <c r="D180" s="165">
        <f t="shared" si="11"/>
        <v>1462674</v>
      </c>
      <c r="E180" s="166">
        <f t="shared" si="9"/>
        <v>1.0099562579755836E-4</v>
      </c>
      <c r="F180" s="167">
        <f t="shared" si="10"/>
        <v>0.99813294572849953</v>
      </c>
    </row>
    <row r="181" spans="1:6" x14ac:dyDescent="0.2">
      <c r="A181" s="164" t="s">
        <v>437</v>
      </c>
      <c r="B181" s="164" t="s">
        <v>438</v>
      </c>
      <c r="C181" s="163">
        <f>VLOOKUP(A181, 'S07 Initial Parameters'!$A$2:$C$201, 3, 0)</f>
        <v>148</v>
      </c>
      <c r="D181" s="165">
        <f t="shared" si="11"/>
        <v>1462822</v>
      </c>
      <c r="E181" s="166">
        <f t="shared" si="9"/>
        <v>1.0099562579755836E-4</v>
      </c>
      <c r="F181" s="167">
        <f t="shared" si="10"/>
        <v>0.99823394135429711</v>
      </c>
    </row>
    <row r="182" spans="1:6" x14ac:dyDescent="0.2">
      <c r="A182" s="164" t="s">
        <v>439</v>
      </c>
      <c r="B182" s="164" t="s">
        <v>440</v>
      </c>
      <c r="C182" s="163">
        <f>VLOOKUP(A182, 'S07 Initial Parameters'!$A$2:$C$201, 3, 0)</f>
        <v>147</v>
      </c>
      <c r="D182" s="165">
        <f t="shared" si="11"/>
        <v>1462969</v>
      </c>
      <c r="E182" s="166">
        <f t="shared" si="9"/>
        <v>1.0031322292054784E-4</v>
      </c>
      <c r="F182" s="167">
        <f t="shared" si="10"/>
        <v>0.99833425457721769</v>
      </c>
    </row>
    <row r="183" spans="1:6" x14ac:dyDescent="0.2">
      <c r="A183" s="164" t="s">
        <v>441</v>
      </c>
      <c r="B183" s="164" t="s">
        <v>442</v>
      </c>
      <c r="C183" s="163">
        <f>VLOOKUP(A183, 'S07 Initial Parameters'!$A$2:$C$201, 3, 0)</f>
        <v>146</v>
      </c>
      <c r="D183" s="165">
        <f t="shared" si="11"/>
        <v>1463115</v>
      </c>
      <c r="E183" s="166">
        <f t="shared" si="9"/>
        <v>9.96308200435373E-5</v>
      </c>
      <c r="F183" s="167">
        <f t="shared" si="10"/>
        <v>0.99843388539726119</v>
      </c>
    </row>
    <row r="184" spans="1:6" x14ac:dyDescent="0.2">
      <c r="A184" s="164" t="s">
        <v>443</v>
      </c>
      <c r="B184" s="164" t="s">
        <v>444</v>
      </c>
      <c r="C184" s="163">
        <f>VLOOKUP(A184, 'S07 Initial Parameters'!$A$2:$C$201, 3, 0)</f>
        <v>145</v>
      </c>
      <c r="D184" s="165">
        <f t="shared" si="11"/>
        <v>1463260</v>
      </c>
      <c r="E184" s="166">
        <f t="shared" si="9"/>
        <v>9.8948417166526775E-5</v>
      </c>
      <c r="F184" s="167">
        <f t="shared" si="10"/>
        <v>0.9985328338144277</v>
      </c>
    </row>
    <row r="185" spans="1:6" x14ac:dyDescent="0.2">
      <c r="A185" s="164" t="s">
        <v>445</v>
      </c>
      <c r="B185" s="164" t="s">
        <v>446</v>
      </c>
      <c r="C185" s="163">
        <f>VLOOKUP(A185, 'S07 Initial Parameters'!$A$2:$C$201, 3, 0)</f>
        <v>144</v>
      </c>
      <c r="D185" s="165">
        <f t="shared" si="11"/>
        <v>1463404</v>
      </c>
      <c r="E185" s="166">
        <f t="shared" si="9"/>
        <v>9.826601428951625E-5</v>
      </c>
      <c r="F185" s="167">
        <f t="shared" si="10"/>
        <v>0.99863109982871723</v>
      </c>
    </row>
    <row r="186" spans="1:6" x14ac:dyDescent="0.2">
      <c r="A186" s="164" t="s">
        <v>447</v>
      </c>
      <c r="B186" s="164" t="s">
        <v>448</v>
      </c>
      <c r="C186" s="163">
        <f>VLOOKUP(A186, 'S07 Initial Parameters'!$A$2:$C$201, 3, 0)</f>
        <v>143</v>
      </c>
      <c r="D186" s="165">
        <f t="shared" si="11"/>
        <v>1463547</v>
      </c>
      <c r="E186" s="166">
        <f t="shared" si="9"/>
        <v>9.7583611412505711E-5</v>
      </c>
      <c r="F186" s="167">
        <f t="shared" si="10"/>
        <v>0.99872868344012977</v>
      </c>
    </row>
    <row r="187" spans="1:6" x14ac:dyDescent="0.2">
      <c r="A187" s="164" t="s">
        <v>449</v>
      </c>
      <c r="B187" s="164" t="s">
        <v>450</v>
      </c>
      <c r="C187" s="163">
        <f>VLOOKUP(A187, 'S07 Initial Parameters'!$A$2:$C$201, 3, 0)</f>
        <v>142</v>
      </c>
      <c r="D187" s="165">
        <f t="shared" si="11"/>
        <v>1463689</v>
      </c>
      <c r="E187" s="166">
        <f t="shared" si="9"/>
        <v>9.6901208535495186E-5</v>
      </c>
      <c r="F187" s="167">
        <f t="shared" si="10"/>
        <v>0.99882558464866522</v>
      </c>
    </row>
    <row r="188" spans="1:6" x14ac:dyDescent="0.2">
      <c r="A188" s="164" t="s">
        <v>451</v>
      </c>
      <c r="B188" s="164" t="s">
        <v>452</v>
      </c>
      <c r="C188" s="163">
        <f>VLOOKUP(A188, 'S07 Initial Parameters'!$A$2:$C$201, 3, 0)</f>
        <v>141</v>
      </c>
      <c r="D188" s="165">
        <f t="shared" si="11"/>
        <v>1463830</v>
      </c>
      <c r="E188" s="166">
        <f t="shared" si="9"/>
        <v>9.6218805658484661E-5</v>
      </c>
      <c r="F188" s="167">
        <f t="shared" si="10"/>
        <v>0.99892180345432369</v>
      </c>
    </row>
    <row r="189" spans="1:6" x14ac:dyDescent="0.2">
      <c r="A189" s="164" t="s">
        <v>453</v>
      </c>
      <c r="B189" s="164" t="s">
        <v>454</v>
      </c>
      <c r="C189" s="163">
        <f>VLOOKUP(A189, 'S07 Initial Parameters'!$A$2:$C$201, 3, 0)</f>
        <v>140</v>
      </c>
      <c r="D189" s="165">
        <f t="shared" si="11"/>
        <v>1463970</v>
      </c>
      <c r="E189" s="166">
        <f t="shared" si="9"/>
        <v>9.5536402781474123E-5</v>
      </c>
      <c r="F189" s="167">
        <f t="shared" si="10"/>
        <v>0.99901733985710517</v>
      </c>
    </row>
    <row r="190" spans="1:6" x14ac:dyDescent="0.2">
      <c r="A190" s="164" t="s">
        <v>455</v>
      </c>
      <c r="B190" s="164" t="s">
        <v>456</v>
      </c>
      <c r="C190" s="163">
        <f>VLOOKUP(A190, 'S07 Initial Parameters'!$A$2:$C$201, 3, 0)</f>
        <v>139</v>
      </c>
      <c r="D190" s="165">
        <f t="shared" si="11"/>
        <v>1464109</v>
      </c>
      <c r="E190" s="166">
        <f t="shared" si="9"/>
        <v>9.4853999904463598E-5</v>
      </c>
      <c r="F190" s="167">
        <f t="shared" si="10"/>
        <v>0.99911219385700967</v>
      </c>
    </row>
    <row r="191" spans="1:6" x14ac:dyDescent="0.2">
      <c r="A191" s="164" t="s">
        <v>457</v>
      </c>
      <c r="B191" s="164" t="s">
        <v>458</v>
      </c>
      <c r="C191" s="163">
        <f>VLOOKUP(A191, 'S07 Initial Parameters'!$A$2:$C$201, 3, 0)</f>
        <v>138</v>
      </c>
      <c r="D191" s="165">
        <f t="shared" si="11"/>
        <v>1464247</v>
      </c>
      <c r="E191" s="166">
        <f t="shared" si="9"/>
        <v>9.4171597027453073E-5</v>
      </c>
      <c r="F191" s="167">
        <f t="shared" si="10"/>
        <v>0.99920636545403707</v>
      </c>
    </row>
    <row r="192" spans="1:6" x14ac:dyDescent="0.2">
      <c r="A192" s="164" t="s">
        <v>247</v>
      </c>
      <c r="B192" s="164" t="s">
        <v>248</v>
      </c>
      <c r="C192" s="163">
        <f>VLOOKUP(A192, 'S07 Initial Parameters'!$A$2:$C$201, 3, 0)</f>
        <v>137</v>
      </c>
      <c r="D192" s="165">
        <f t="shared" si="11"/>
        <v>1464384</v>
      </c>
      <c r="E192" s="166">
        <f t="shared" si="9"/>
        <v>9.3489194150442534E-5</v>
      </c>
      <c r="F192" s="167">
        <f t="shared" si="10"/>
        <v>0.99929985464818749</v>
      </c>
    </row>
    <row r="193" spans="1:6" x14ac:dyDescent="0.2">
      <c r="A193" s="164" t="s">
        <v>249</v>
      </c>
      <c r="B193" s="164" t="s">
        <v>250</v>
      </c>
      <c r="C193" s="163">
        <f>VLOOKUP(A193, 'S07 Initial Parameters'!$A$2:$C$201, 3, 0)</f>
        <v>126</v>
      </c>
      <c r="D193" s="165">
        <f t="shared" si="11"/>
        <v>1464510</v>
      </c>
      <c r="E193" s="166">
        <f t="shared" si="9"/>
        <v>8.5982762503326719E-5</v>
      </c>
      <c r="F193" s="167">
        <f t="shared" si="10"/>
        <v>0.99938583741069087</v>
      </c>
    </row>
    <row r="194" spans="1:6" x14ac:dyDescent="0.2">
      <c r="A194" s="164" t="s">
        <v>251</v>
      </c>
      <c r="B194" s="164" t="s">
        <v>252</v>
      </c>
      <c r="C194" s="163">
        <f>VLOOKUP(A194, 'S07 Initial Parameters'!$A$2:$C$201, 3, 0)</f>
        <v>115</v>
      </c>
      <c r="D194" s="165">
        <f t="shared" si="11"/>
        <v>1464625</v>
      </c>
      <c r="E194" s="166">
        <f t="shared" si="9"/>
        <v>7.847633085621089E-5</v>
      </c>
      <c r="F194" s="167">
        <f t="shared" si="10"/>
        <v>0.99946431374154709</v>
      </c>
    </row>
    <row r="195" spans="1:6" x14ac:dyDescent="0.2">
      <c r="A195" s="164" t="s">
        <v>225</v>
      </c>
      <c r="B195" s="164" t="s">
        <v>226</v>
      </c>
      <c r="C195" s="163">
        <f>VLOOKUP(A195, 'S07 Initial Parameters'!$A$2:$C$201, 3, 0)</f>
        <v>104</v>
      </c>
      <c r="D195" s="165">
        <f t="shared" ref="D195:D202" si="12">C195+D194</f>
        <v>1464729</v>
      </c>
      <c r="E195" s="166">
        <f t="shared" si="9"/>
        <v>7.096989920909506E-5</v>
      </c>
      <c r="F195" s="167">
        <f t="shared" si="10"/>
        <v>0.99953528364075617</v>
      </c>
    </row>
    <row r="196" spans="1:6" x14ac:dyDescent="0.2">
      <c r="A196" s="164" t="s">
        <v>253</v>
      </c>
      <c r="B196" s="164" t="s">
        <v>254</v>
      </c>
      <c r="C196" s="163">
        <f>VLOOKUP(A196, 'S07 Initial Parameters'!$A$2:$C$201, 3, 0)</f>
        <v>104</v>
      </c>
      <c r="D196" s="165">
        <f t="shared" si="12"/>
        <v>1464833</v>
      </c>
      <c r="E196" s="166">
        <f t="shared" ref="E196:E202" si="13">C196/SUM($C$3:$C$202)</f>
        <v>7.096989920909506E-5</v>
      </c>
      <c r="F196" s="167">
        <f t="shared" ref="F196:F202" si="14">E196+F195</f>
        <v>0.99960625353996524</v>
      </c>
    </row>
    <row r="197" spans="1:6" x14ac:dyDescent="0.2">
      <c r="A197" s="164" t="s">
        <v>255</v>
      </c>
      <c r="B197" s="164" t="s">
        <v>256</v>
      </c>
      <c r="C197" s="163">
        <f>VLOOKUP(A197, 'S07 Initial Parameters'!$A$2:$C$201, 3, 0)</f>
        <v>103</v>
      </c>
      <c r="D197" s="165">
        <f t="shared" si="12"/>
        <v>1464936</v>
      </c>
      <c r="E197" s="166">
        <f t="shared" si="13"/>
        <v>7.0287496332084535E-5</v>
      </c>
      <c r="F197" s="167">
        <f t="shared" si="14"/>
        <v>0.99967654103629733</v>
      </c>
    </row>
    <row r="198" spans="1:6" x14ac:dyDescent="0.2">
      <c r="A198" s="164" t="s">
        <v>257</v>
      </c>
      <c r="B198" s="164" t="s">
        <v>258</v>
      </c>
      <c r="C198" s="163">
        <f>VLOOKUP(A198, 'S07 Initial Parameters'!$A$2:$C$201, 3, 0)</f>
        <v>102</v>
      </c>
      <c r="D198" s="165">
        <f t="shared" si="12"/>
        <v>1465038</v>
      </c>
      <c r="E198" s="166">
        <f t="shared" si="13"/>
        <v>6.960509345507401E-5</v>
      </c>
      <c r="F198" s="167">
        <f t="shared" si="14"/>
        <v>0.99974614612975243</v>
      </c>
    </row>
    <row r="199" spans="1:6" x14ac:dyDescent="0.2">
      <c r="A199" s="164" t="s">
        <v>259</v>
      </c>
      <c r="B199" s="164" t="s">
        <v>260</v>
      </c>
      <c r="C199" s="163">
        <f>VLOOKUP(A199, 'S07 Initial Parameters'!$A$2:$C$201, 3, 0)</f>
        <v>102</v>
      </c>
      <c r="D199" s="165">
        <f t="shared" si="12"/>
        <v>1465140</v>
      </c>
      <c r="E199" s="166">
        <f t="shared" si="13"/>
        <v>6.960509345507401E-5</v>
      </c>
      <c r="F199" s="167">
        <f t="shared" si="14"/>
        <v>0.99981575122320754</v>
      </c>
    </row>
    <row r="200" spans="1:6" x14ac:dyDescent="0.2">
      <c r="A200" s="164" t="s">
        <v>261</v>
      </c>
      <c r="B200" s="164" t="s">
        <v>262</v>
      </c>
      <c r="C200" s="163">
        <f>VLOOKUP(A200, 'S07 Initial Parameters'!$A$2:$C$201, 3, 0)</f>
        <v>101</v>
      </c>
      <c r="D200" s="165">
        <f t="shared" si="12"/>
        <v>1465241</v>
      </c>
      <c r="E200" s="166">
        <f t="shared" si="13"/>
        <v>6.8922690578063472E-5</v>
      </c>
      <c r="F200" s="167">
        <f t="shared" si="14"/>
        <v>0.99988467391378555</v>
      </c>
    </row>
    <row r="201" spans="1:6" x14ac:dyDescent="0.2">
      <c r="A201" s="164" t="s">
        <v>263</v>
      </c>
      <c r="B201" s="164" t="s">
        <v>264</v>
      </c>
      <c r="C201" s="163">
        <f>VLOOKUP(A201, 'S07 Initial Parameters'!$A$2:$C$201, 3, 0)</f>
        <v>100</v>
      </c>
      <c r="D201" s="165">
        <f t="shared" si="12"/>
        <v>1465341</v>
      </c>
      <c r="E201" s="166">
        <f t="shared" si="13"/>
        <v>6.8240287701052947E-5</v>
      </c>
      <c r="F201" s="167">
        <f t="shared" si="14"/>
        <v>0.99995291420148658</v>
      </c>
    </row>
    <row r="202" spans="1:6" x14ac:dyDescent="0.2">
      <c r="A202" s="164" t="s">
        <v>564</v>
      </c>
      <c r="B202" s="164" t="s">
        <v>709</v>
      </c>
      <c r="C202" s="163">
        <f>VLOOKUP(A202, 'S07 Initial Parameters'!$A$2:$C$201, 3, 0)</f>
        <v>69</v>
      </c>
      <c r="D202" s="165">
        <f t="shared" si="12"/>
        <v>1465410</v>
      </c>
      <c r="E202" s="166">
        <f t="shared" si="13"/>
        <v>4.7085798513726536E-5</v>
      </c>
      <c r="F202" s="167">
        <f t="shared" si="14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B87D-9206-E94C-A7F9-64076E85D3B9}">
  <sheetPr codeName="Sheet9"/>
  <dimension ref="A1"/>
  <sheetViews>
    <sheetView zoomScale="125" workbookViewId="0">
      <selection activeCell="L18" sqref="L18"/>
    </sheetView>
  </sheetViews>
  <sheetFormatPr baseColWidth="10" defaultColWidth="8.83203125" defaultRowHeight="16" x14ac:dyDescent="0.2"/>
  <cols>
    <col min="1" max="1" width="6.1640625" customWidth="1"/>
    <col min="2" max="10" width="2.83203125" customWidth="1"/>
    <col min="11" max="11" width="8.6640625" customWidth="1"/>
    <col min="12" max="12" width="22" bestFit="1" customWidth="1"/>
    <col min="13" max="13" width="32.6640625" customWidth="1"/>
    <col min="14" max="14" width="6.5" customWidth="1"/>
    <col min="15" max="15" width="7" customWidth="1"/>
    <col min="16" max="16" width="7.83203125" customWidth="1"/>
    <col min="17" max="17" width="10" customWidth="1"/>
    <col min="18" max="18" width="6.6640625" customWidth="1"/>
    <col min="19" max="20" width="22" customWidth="1"/>
    <col min="21" max="21" width="14.1640625" customWidth="1"/>
    <col min="22" max="23" width="22" customWidth="1"/>
    <col min="24" max="24" width="37.1640625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zoomScale="157" workbookViewId="0">
      <selection activeCell="B14" sqref="B14"/>
    </sheetView>
  </sheetViews>
  <sheetFormatPr baseColWidth="10" defaultColWidth="11" defaultRowHeight="16" x14ac:dyDescent="0.2"/>
  <cols>
    <col min="1" max="1" width="14.5" customWidth="1"/>
    <col min="2" max="2" width="20.5" bestFit="1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 x14ac:dyDescent="0.2">
      <c r="A2" s="5" t="s">
        <v>623</v>
      </c>
      <c r="B2" s="5" t="e">
        <f>'S09 BOM'!#REF!</f>
        <v>#REF!</v>
      </c>
      <c r="C2" s="5" t="e">
        <f>'S09 BOM'!#REF!</f>
        <v>#REF!</v>
      </c>
      <c r="D2" s="5"/>
      <c r="E2" s="5"/>
      <c r="F2" s="5"/>
      <c r="G2" s="5"/>
      <c r="H2" s="5"/>
      <c r="I2" s="5"/>
    </row>
    <row r="3" spans="1:9" x14ac:dyDescent="0.2">
      <c r="A3" s="5" t="s">
        <v>624</v>
      </c>
      <c r="B3" s="5" t="e">
        <f>'S09 BOM'!#REF!</f>
        <v>#REF!</v>
      </c>
      <c r="C3" s="5"/>
      <c r="D3" s="5"/>
      <c r="E3" s="5"/>
      <c r="F3" s="5"/>
      <c r="G3" s="5"/>
      <c r="H3" s="5"/>
      <c r="I3" s="5"/>
    </row>
    <row r="4" spans="1:9" x14ac:dyDescent="0.2">
      <c r="A4" s="70" t="s">
        <v>0</v>
      </c>
      <c r="B4" s="5" t="s">
        <v>625</v>
      </c>
      <c r="C4" s="5" t="s">
        <v>573</v>
      </c>
      <c r="D4" s="5" t="s">
        <v>626</v>
      </c>
      <c r="E4" s="5" t="s">
        <v>627</v>
      </c>
      <c r="F4" s="5" t="s">
        <v>628</v>
      </c>
      <c r="G4" s="5" t="s">
        <v>629</v>
      </c>
      <c r="H4" s="5" t="s">
        <v>630</v>
      </c>
      <c r="I4" s="5" t="s">
        <v>631</v>
      </c>
    </row>
    <row r="5" spans="1:9" x14ac:dyDescent="0.2">
      <c r="A5" s="3">
        <v>10</v>
      </c>
      <c r="B5" s="3" t="s">
        <v>632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 x14ac:dyDescent="0.2">
      <c r="A6" s="3">
        <v>20</v>
      </c>
      <c r="B6" s="3" t="s">
        <v>633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 x14ac:dyDescent="0.2">
      <c r="A7" s="3">
        <v>30</v>
      </c>
      <c r="B7" s="3" t="s">
        <v>634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 x14ac:dyDescent="0.2">
      <c r="A8" s="3">
        <v>40</v>
      </c>
      <c r="B8" s="3" t="s">
        <v>635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 x14ac:dyDescent="0.2">
      <c r="A9" s="3">
        <v>50</v>
      </c>
      <c r="B9" s="3" t="s">
        <v>636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637</v>
      </c>
    </row>
    <row r="10" spans="1:9" x14ac:dyDescent="0.2">
      <c r="A10" s="3">
        <v>60</v>
      </c>
      <c r="B10" s="3" t="s">
        <v>638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 x14ac:dyDescent="0.2">
      <c r="A11" s="3">
        <v>70</v>
      </c>
      <c r="B11" s="3" t="s">
        <v>639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 x14ac:dyDescent="0.2">
      <c r="A12" s="3">
        <v>80</v>
      </c>
      <c r="B12" s="3" t="s">
        <v>640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topLeftCell="A22" zoomScale="193" workbookViewId="0">
      <selection activeCell="C2" sqref="C2"/>
    </sheetView>
  </sheetViews>
  <sheetFormatPr baseColWidth="10" defaultColWidth="11" defaultRowHeight="16" x14ac:dyDescent="0.2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 x14ac:dyDescent="0.2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 x14ac:dyDescent="0.2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 x14ac:dyDescent="0.2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 x14ac:dyDescent="0.2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 x14ac:dyDescent="0.2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 x14ac:dyDescent="0.2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 x14ac:dyDescent="0.2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 x14ac:dyDescent="0.2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 x14ac:dyDescent="0.2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 x14ac:dyDescent="0.2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 x14ac:dyDescent="0.2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 x14ac:dyDescent="0.2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 x14ac:dyDescent="0.2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 x14ac:dyDescent="0.2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 x14ac:dyDescent="0.2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 x14ac:dyDescent="0.2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 x14ac:dyDescent="0.2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 x14ac:dyDescent="0.2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 x14ac:dyDescent="0.2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 x14ac:dyDescent="0.2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 x14ac:dyDescent="0.2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 x14ac:dyDescent="0.2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 x14ac:dyDescent="0.2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 x14ac:dyDescent="0.2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 x14ac:dyDescent="0.2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 x14ac:dyDescent="0.2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 x14ac:dyDescent="0.2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 x14ac:dyDescent="0.2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 x14ac:dyDescent="0.2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 x14ac:dyDescent="0.2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 x14ac:dyDescent="0.2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 x14ac:dyDescent="0.2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 x14ac:dyDescent="0.2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 x14ac:dyDescent="0.2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 x14ac:dyDescent="0.2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 x14ac:dyDescent="0.2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 x14ac:dyDescent="0.2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 x14ac:dyDescent="0.2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 x14ac:dyDescent="0.2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 x14ac:dyDescent="0.2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 x14ac:dyDescent="0.2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 x14ac:dyDescent="0.2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 x14ac:dyDescent="0.2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 x14ac:dyDescent="0.2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 x14ac:dyDescent="0.2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H534"/>
  <sheetViews>
    <sheetView zoomScale="125" zoomScaleNormal="100" workbookViewId="0">
      <pane ySplit="1" topLeftCell="A498" activePane="bottomLeft" state="frozen"/>
      <selection pane="bottomLeft" activeCell="A68" sqref="A68:XFD75"/>
    </sheetView>
  </sheetViews>
  <sheetFormatPr baseColWidth="10" defaultColWidth="11" defaultRowHeight="16" x14ac:dyDescent="0.2"/>
  <cols>
    <col min="1" max="1" width="14.33203125" customWidth="1"/>
    <col min="2" max="2" width="12.33203125" customWidth="1"/>
    <col min="3" max="3" width="17.33203125" customWidth="1"/>
    <col min="4" max="4" width="12" customWidth="1"/>
    <col min="5" max="6" width="23" customWidth="1"/>
    <col min="7" max="7" width="25.5" customWidth="1"/>
  </cols>
  <sheetData>
    <row r="1" spans="1:8" x14ac:dyDescent="0.2">
      <c r="A1" s="1" t="s">
        <v>812</v>
      </c>
      <c r="B1" s="1" t="s">
        <v>811</v>
      </c>
      <c r="C1" s="1" t="s">
        <v>170</v>
      </c>
      <c r="D1" s="1" t="s">
        <v>504</v>
      </c>
      <c r="E1" s="1" t="s">
        <v>573</v>
      </c>
      <c r="F1" s="1" t="s">
        <v>621</v>
      </c>
      <c r="G1" s="1" t="s">
        <v>505</v>
      </c>
      <c r="H1" s="1" t="s">
        <v>506</v>
      </c>
    </row>
    <row r="2" spans="1:8" s="44" customFormat="1" x14ac:dyDescent="0.2">
      <c r="A2" s="214" t="str">
        <f>C2&amp;"-"&amp;E2</f>
        <v>I-001-WS-08</v>
      </c>
      <c r="B2" s="214" t="str">
        <f>C2&amp;"-"&amp;D2</f>
        <v>I-001-30</v>
      </c>
      <c r="C2" s="42" t="s">
        <v>507</v>
      </c>
      <c r="D2" s="42">
        <v>30</v>
      </c>
      <c r="E2" s="42" t="s">
        <v>581</v>
      </c>
      <c r="F2" s="42" t="str">
        <f>VLOOKUP(E2, 'S11 Work Stations'!$A$2:$B$45, 2, 0)</f>
        <v>MIL-10-150-401</v>
      </c>
      <c r="G2" s="42">
        <v>600</v>
      </c>
      <c r="H2" s="43">
        <v>200</v>
      </c>
    </row>
    <row r="3" spans="1:8" s="44" customFormat="1" x14ac:dyDescent="0.2">
      <c r="A3" s="214" t="str">
        <f>C3&amp;"-"&amp;E3</f>
        <v>I-001-WS-20</v>
      </c>
      <c r="B3" s="214" t="str">
        <f>C3&amp;"-"&amp;D3</f>
        <v>I-001-40</v>
      </c>
      <c r="C3" s="45" t="s">
        <v>507</v>
      </c>
      <c r="D3" s="45">
        <v>40</v>
      </c>
      <c r="E3" s="45" t="s">
        <v>593</v>
      </c>
      <c r="F3" s="42" t="str">
        <f>VLOOKUP(E3, 'S11 Work Stations'!$A$2:$B$45, 2, 0)</f>
        <v>MIL-H21-604</v>
      </c>
      <c r="G3" s="45">
        <v>480</v>
      </c>
      <c r="H3" s="3">
        <v>200</v>
      </c>
    </row>
    <row r="4" spans="1:8" s="44" customFormat="1" x14ac:dyDescent="0.2">
      <c r="A4" s="214" t="str">
        <f>C4&amp;"-"&amp;E4</f>
        <v>I-001-WS-26</v>
      </c>
      <c r="B4" s="214" t="str">
        <f>C4&amp;"-"&amp;D4</f>
        <v>I-001-50</v>
      </c>
      <c r="C4" s="45" t="s">
        <v>507</v>
      </c>
      <c r="D4" s="45">
        <v>50</v>
      </c>
      <c r="E4" s="45" t="s">
        <v>599</v>
      </c>
      <c r="F4" s="42" t="str">
        <f>VLOOKUP(E4, 'S11 Work Stations'!$A$2:$B$45, 2, 0)</f>
        <v>DR-2A2-202</v>
      </c>
      <c r="G4" s="45">
        <v>180</v>
      </c>
      <c r="H4" s="3">
        <v>200</v>
      </c>
    </row>
    <row r="5" spans="1:8" s="44" customFormat="1" x14ac:dyDescent="0.2">
      <c r="A5" s="214" t="str">
        <f>C5&amp;"-"&amp;E5</f>
        <v>I-001-WS-32</v>
      </c>
      <c r="B5" s="214" t="str">
        <f>C5&amp;"-"&amp;D5</f>
        <v>I-001-60</v>
      </c>
      <c r="C5" s="45" t="s">
        <v>507</v>
      </c>
      <c r="D5" s="45">
        <v>60</v>
      </c>
      <c r="E5" s="45" t="s">
        <v>605</v>
      </c>
      <c r="F5" s="42" t="str">
        <f>VLOOKUP(E5, 'S11 Work Stations'!$A$2:$B$45, 2, 0)</f>
        <v>SAW-30-150-251</v>
      </c>
      <c r="G5" s="45">
        <v>720</v>
      </c>
      <c r="H5" s="3">
        <v>200</v>
      </c>
    </row>
    <row r="6" spans="1:8" s="44" customFormat="1" x14ac:dyDescent="0.2">
      <c r="A6" s="214" t="str">
        <f>C6&amp;"-"&amp;E6</f>
        <v>I-001-WS-36</v>
      </c>
      <c r="B6" s="214" t="str">
        <f>C6&amp;"-"&amp;D6</f>
        <v>I-001-20</v>
      </c>
      <c r="C6" s="45" t="s">
        <v>507</v>
      </c>
      <c r="D6" s="45">
        <v>20</v>
      </c>
      <c r="E6" s="45" t="s">
        <v>609</v>
      </c>
      <c r="F6" s="42" t="str">
        <f>VLOOKUP(E6, 'S11 Work Stations'!$A$2:$B$45, 2, 0)</f>
        <v>SAW-10-421</v>
      </c>
      <c r="G6" s="45">
        <v>120</v>
      </c>
      <c r="H6" s="3">
        <v>200</v>
      </c>
    </row>
    <row r="7" spans="1:8" s="44" customFormat="1" x14ac:dyDescent="0.2">
      <c r="A7" s="214" t="str">
        <f>C7&amp;"-"&amp;E7</f>
        <v>I-001-WS-42</v>
      </c>
      <c r="B7" s="214" t="str">
        <f>C7&amp;"-"&amp;D7</f>
        <v>I-001-70</v>
      </c>
      <c r="C7" s="45" t="s">
        <v>507</v>
      </c>
      <c r="D7" s="45">
        <v>70</v>
      </c>
      <c r="E7" s="45" t="s">
        <v>615</v>
      </c>
      <c r="F7" s="42" t="str">
        <f>VLOOKUP(E7, 'S11 Work Stations'!$A$2:$B$45, 2, 0)</f>
        <v>TEMP-A01-202</v>
      </c>
      <c r="G7" s="45">
        <v>300</v>
      </c>
      <c r="H7" s="3">
        <v>200</v>
      </c>
    </row>
    <row r="8" spans="1:8" s="44" customFormat="1" x14ac:dyDescent="0.2">
      <c r="A8" s="214" t="str">
        <f>C8&amp;"-"&amp;E8</f>
        <v>I-001-WS-43</v>
      </c>
      <c r="B8" s="214" t="str">
        <f>C8&amp;"-"&amp;D8</f>
        <v>I-001-10</v>
      </c>
      <c r="C8" s="45" t="s">
        <v>507</v>
      </c>
      <c r="D8" s="45">
        <v>10</v>
      </c>
      <c r="E8" s="45" t="s">
        <v>616</v>
      </c>
      <c r="F8" s="42" t="str">
        <f>VLOOKUP(E8, 'S11 Work Stations'!$A$2:$B$45, 2, 0)</f>
        <v>RAW-MAT-INV</v>
      </c>
      <c r="G8" s="45">
        <v>0</v>
      </c>
      <c r="H8" s="3">
        <v>200</v>
      </c>
    </row>
    <row r="9" spans="1:8" s="44" customFormat="1" x14ac:dyDescent="0.2">
      <c r="A9" s="214" t="str">
        <f>C9&amp;"-"&amp;E9</f>
        <v>I-001-WS-44</v>
      </c>
      <c r="B9" s="214" t="str">
        <f>C9&amp;"-"&amp;D9</f>
        <v>I-001-80</v>
      </c>
      <c r="C9" s="45" t="s">
        <v>507</v>
      </c>
      <c r="D9" s="45">
        <v>80</v>
      </c>
      <c r="E9" s="45" t="s">
        <v>617</v>
      </c>
      <c r="F9" s="42" t="str">
        <f>VLOOKUP(E9, 'S11 Work Stations'!$A$2:$B$45, 2, 0)</f>
        <v>FIN-GOOD-INV</v>
      </c>
      <c r="G9" s="45">
        <v>0</v>
      </c>
      <c r="H9" s="3">
        <v>200</v>
      </c>
    </row>
    <row r="10" spans="1:8" s="44" customFormat="1" x14ac:dyDescent="0.2">
      <c r="A10" s="214" t="str">
        <f>C10&amp;"-"&amp;E10</f>
        <v>I-002-WS-08</v>
      </c>
      <c r="B10" s="214" t="str">
        <f>C10&amp;"-"&amp;D10</f>
        <v>I-002-30</v>
      </c>
      <c r="C10" s="45" t="s">
        <v>508</v>
      </c>
      <c r="D10" s="45">
        <v>30</v>
      </c>
      <c r="E10" s="45" t="s">
        <v>581</v>
      </c>
      <c r="F10" s="42" t="str">
        <f>VLOOKUP(E10, 'S11 Work Stations'!$A$2:$B$45, 2, 0)</f>
        <v>MIL-10-150-401</v>
      </c>
      <c r="G10" s="45">
        <v>900</v>
      </c>
      <c r="H10" s="3">
        <v>200</v>
      </c>
    </row>
    <row r="11" spans="1:8" s="44" customFormat="1" x14ac:dyDescent="0.2">
      <c r="A11" s="214" t="str">
        <f>C11&amp;"-"&amp;E11</f>
        <v>I-002-WS-20</v>
      </c>
      <c r="B11" s="214" t="str">
        <f>C11&amp;"-"&amp;D11</f>
        <v>I-002-40</v>
      </c>
      <c r="C11" s="45" t="s">
        <v>508</v>
      </c>
      <c r="D11" s="45">
        <v>40</v>
      </c>
      <c r="E11" s="45" t="s">
        <v>593</v>
      </c>
      <c r="F11" s="42" t="str">
        <f>VLOOKUP(E11, 'S11 Work Stations'!$A$2:$B$45, 2, 0)</f>
        <v>MIL-H21-604</v>
      </c>
      <c r="G11" s="45">
        <v>480</v>
      </c>
      <c r="H11" s="3">
        <v>200</v>
      </c>
    </row>
    <row r="12" spans="1:8" s="44" customFormat="1" x14ac:dyDescent="0.2">
      <c r="A12" s="214" t="str">
        <f>C12&amp;"-"&amp;E12</f>
        <v>I-002-WS-26</v>
      </c>
      <c r="B12" s="214" t="str">
        <f>C12&amp;"-"&amp;D12</f>
        <v>I-002-50</v>
      </c>
      <c r="C12" s="45" t="s">
        <v>508</v>
      </c>
      <c r="D12" s="45">
        <v>50</v>
      </c>
      <c r="E12" s="45" t="s">
        <v>599</v>
      </c>
      <c r="F12" s="42" t="str">
        <f>VLOOKUP(E12, 'S11 Work Stations'!$A$2:$B$45, 2, 0)</f>
        <v>DR-2A2-202</v>
      </c>
      <c r="G12" s="45">
        <v>240</v>
      </c>
      <c r="H12" s="3">
        <v>200</v>
      </c>
    </row>
    <row r="13" spans="1:8" s="44" customFormat="1" x14ac:dyDescent="0.2">
      <c r="A13" s="214" t="str">
        <f>C13&amp;"-"&amp;E13</f>
        <v>I-002-WS-32</v>
      </c>
      <c r="B13" s="214" t="str">
        <f>C13&amp;"-"&amp;D13</f>
        <v>I-002-60</v>
      </c>
      <c r="C13" s="45" t="s">
        <v>508</v>
      </c>
      <c r="D13" s="45">
        <v>60</v>
      </c>
      <c r="E13" s="45" t="s">
        <v>605</v>
      </c>
      <c r="F13" s="42" t="str">
        <f>VLOOKUP(E13, 'S11 Work Stations'!$A$2:$B$45, 2, 0)</f>
        <v>SAW-30-150-251</v>
      </c>
      <c r="G13" s="45">
        <v>720</v>
      </c>
      <c r="H13" s="3">
        <v>200</v>
      </c>
    </row>
    <row r="14" spans="1:8" s="44" customFormat="1" x14ac:dyDescent="0.2">
      <c r="A14" s="214" t="str">
        <f>C14&amp;"-"&amp;E14</f>
        <v>I-002-WS-36</v>
      </c>
      <c r="B14" s="214" t="str">
        <f>C14&amp;"-"&amp;D14</f>
        <v>I-002-20</v>
      </c>
      <c r="C14" s="45" t="s">
        <v>508</v>
      </c>
      <c r="D14" s="45">
        <v>20</v>
      </c>
      <c r="E14" s="45" t="s">
        <v>609</v>
      </c>
      <c r="F14" s="42" t="str">
        <f>VLOOKUP(E14, 'S11 Work Stations'!$A$2:$B$45, 2, 0)</f>
        <v>SAW-10-421</v>
      </c>
      <c r="G14" s="45">
        <v>120</v>
      </c>
      <c r="H14" s="3">
        <v>200</v>
      </c>
    </row>
    <row r="15" spans="1:8" s="44" customFormat="1" x14ac:dyDescent="0.2">
      <c r="A15" s="214" t="str">
        <f>C15&amp;"-"&amp;E15</f>
        <v>I-002-WS-43</v>
      </c>
      <c r="B15" s="214" t="str">
        <f>C15&amp;"-"&amp;D15</f>
        <v>I-002-10</v>
      </c>
      <c r="C15" s="45" t="s">
        <v>508</v>
      </c>
      <c r="D15" s="45">
        <v>10</v>
      </c>
      <c r="E15" s="45" t="s">
        <v>616</v>
      </c>
      <c r="F15" s="42" t="str">
        <f>VLOOKUP(E15, 'S11 Work Stations'!$A$2:$B$45, 2, 0)</f>
        <v>RAW-MAT-INV</v>
      </c>
      <c r="G15" s="45">
        <v>0</v>
      </c>
      <c r="H15" s="3">
        <v>200</v>
      </c>
    </row>
    <row r="16" spans="1:8" s="44" customFormat="1" x14ac:dyDescent="0.2">
      <c r="A16" s="214" t="str">
        <f>C16&amp;"-"&amp;E16</f>
        <v>I-002-WS-44</v>
      </c>
      <c r="B16" s="214" t="str">
        <f>C16&amp;"-"&amp;D16</f>
        <v>I-002-70</v>
      </c>
      <c r="C16" s="45" t="s">
        <v>508</v>
      </c>
      <c r="D16" s="45">
        <v>70</v>
      </c>
      <c r="E16" s="45" t="s">
        <v>617</v>
      </c>
      <c r="F16" s="42" t="str">
        <f>VLOOKUP(E16, 'S11 Work Stations'!$A$2:$B$45, 2, 0)</f>
        <v>FIN-GOOD-INV</v>
      </c>
      <c r="G16" s="45">
        <v>0</v>
      </c>
      <c r="H16" s="3">
        <v>200</v>
      </c>
    </row>
    <row r="17" spans="1:8" s="44" customFormat="1" x14ac:dyDescent="0.2">
      <c r="A17" s="214" t="str">
        <f>C17&amp;"-"&amp;E17</f>
        <v>I-003-WS-08</v>
      </c>
      <c r="B17" s="214" t="str">
        <f>C17&amp;"-"&amp;D17</f>
        <v>I-003-30</v>
      </c>
      <c r="C17" s="45" t="s">
        <v>509</v>
      </c>
      <c r="D17" s="45">
        <v>30</v>
      </c>
      <c r="E17" s="45" t="s">
        <v>581</v>
      </c>
      <c r="F17" s="42" t="str">
        <f>VLOOKUP(E17, 'S11 Work Stations'!$A$2:$B$45, 2, 0)</f>
        <v>MIL-10-150-401</v>
      </c>
      <c r="G17" s="45">
        <v>600</v>
      </c>
      <c r="H17" s="3">
        <v>200</v>
      </c>
    </row>
    <row r="18" spans="1:8" s="44" customFormat="1" x14ac:dyDescent="0.2">
      <c r="A18" s="214" t="str">
        <f>C18&amp;"-"&amp;E18</f>
        <v>I-003-WS-19</v>
      </c>
      <c r="B18" s="214" t="str">
        <f>C18&amp;"-"&amp;D18</f>
        <v>I-003-40</v>
      </c>
      <c r="C18" s="45" t="s">
        <v>509</v>
      </c>
      <c r="D18" s="45">
        <v>40</v>
      </c>
      <c r="E18" s="45" t="s">
        <v>592</v>
      </c>
      <c r="F18" s="42" t="str">
        <f>VLOOKUP(E18, 'S11 Work Stations'!$A$2:$B$45, 2, 0)</f>
        <v>MIL-V31-603</v>
      </c>
      <c r="G18" s="45">
        <v>480</v>
      </c>
      <c r="H18" s="3">
        <v>200</v>
      </c>
    </row>
    <row r="19" spans="1:8" s="44" customFormat="1" x14ac:dyDescent="0.2">
      <c r="A19" s="214" t="str">
        <f>C19&amp;"-"&amp;E19</f>
        <v>I-003-WS-26</v>
      </c>
      <c r="B19" s="214" t="str">
        <f>C19&amp;"-"&amp;D19</f>
        <v>I-003-50</v>
      </c>
      <c r="C19" s="45" t="s">
        <v>509</v>
      </c>
      <c r="D19" s="45">
        <v>50</v>
      </c>
      <c r="E19" s="45" t="s">
        <v>599</v>
      </c>
      <c r="F19" s="42" t="str">
        <f>VLOOKUP(E19, 'S11 Work Stations'!$A$2:$B$45, 2, 0)</f>
        <v>DR-2A2-202</v>
      </c>
      <c r="G19" s="45">
        <v>300</v>
      </c>
      <c r="H19" s="3">
        <v>200</v>
      </c>
    </row>
    <row r="20" spans="1:8" s="44" customFormat="1" x14ac:dyDescent="0.2">
      <c r="A20" s="214" t="str">
        <f>C20&amp;"-"&amp;E20</f>
        <v>I-003-WS-32</v>
      </c>
      <c r="B20" s="214" t="str">
        <f>C20&amp;"-"&amp;D20</f>
        <v>I-003-60</v>
      </c>
      <c r="C20" s="45" t="s">
        <v>509</v>
      </c>
      <c r="D20" s="45">
        <v>60</v>
      </c>
      <c r="E20" s="45" t="s">
        <v>605</v>
      </c>
      <c r="F20" s="42" t="str">
        <f>VLOOKUP(E20, 'S11 Work Stations'!$A$2:$B$45, 2, 0)</f>
        <v>SAW-30-150-251</v>
      </c>
      <c r="G20" s="45">
        <v>600</v>
      </c>
      <c r="H20" s="3">
        <v>200</v>
      </c>
    </row>
    <row r="21" spans="1:8" s="44" customFormat="1" x14ac:dyDescent="0.2">
      <c r="A21" s="214" t="str">
        <f>C21&amp;"-"&amp;E21</f>
        <v>I-003-WS-36</v>
      </c>
      <c r="B21" s="214" t="str">
        <f>C21&amp;"-"&amp;D21</f>
        <v>I-003-20</v>
      </c>
      <c r="C21" s="45" t="s">
        <v>509</v>
      </c>
      <c r="D21" s="45">
        <v>20</v>
      </c>
      <c r="E21" s="45" t="s">
        <v>609</v>
      </c>
      <c r="F21" s="42" t="str">
        <f>VLOOKUP(E21, 'S11 Work Stations'!$A$2:$B$45, 2, 0)</f>
        <v>SAW-10-421</v>
      </c>
      <c r="G21" s="45">
        <v>120</v>
      </c>
      <c r="H21" s="3">
        <v>200</v>
      </c>
    </row>
    <row r="22" spans="1:8" s="44" customFormat="1" x14ac:dyDescent="0.2">
      <c r="A22" s="214" t="str">
        <f>C22&amp;"-"&amp;E22</f>
        <v>I-003-WS-42</v>
      </c>
      <c r="B22" s="214" t="str">
        <f>C22&amp;"-"&amp;D22</f>
        <v>I-003-70</v>
      </c>
      <c r="C22" s="45" t="s">
        <v>509</v>
      </c>
      <c r="D22" s="45">
        <v>70</v>
      </c>
      <c r="E22" s="45" t="s">
        <v>615</v>
      </c>
      <c r="F22" s="42" t="str">
        <f>VLOOKUP(E22, 'S11 Work Stations'!$A$2:$B$45, 2, 0)</f>
        <v>TEMP-A01-202</v>
      </c>
      <c r="G22" s="45">
        <v>300</v>
      </c>
      <c r="H22" s="3">
        <v>200</v>
      </c>
    </row>
    <row r="23" spans="1:8" s="44" customFormat="1" x14ac:dyDescent="0.2">
      <c r="A23" s="214" t="str">
        <f>C23&amp;"-"&amp;E23</f>
        <v>I-003-WS-43</v>
      </c>
      <c r="B23" s="214" t="str">
        <f>C23&amp;"-"&amp;D23</f>
        <v>I-003-10</v>
      </c>
      <c r="C23" s="45" t="s">
        <v>509</v>
      </c>
      <c r="D23" s="45">
        <v>10</v>
      </c>
      <c r="E23" s="45" t="s">
        <v>616</v>
      </c>
      <c r="F23" s="42" t="str">
        <f>VLOOKUP(E23, 'S11 Work Stations'!$A$2:$B$45, 2, 0)</f>
        <v>RAW-MAT-INV</v>
      </c>
      <c r="G23" s="45">
        <v>0</v>
      </c>
      <c r="H23" s="3">
        <v>200</v>
      </c>
    </row>
    <row r="24" spans="1:8" s="44" customFormat="1" x14ac:dyDescent="0.2">
      <c r="A24" s="214" t="str">
        <f>C24&amp;"-"&amp;E24</f>
        <v>I-003-WS-44</v>
      </c>
      <c r="B24" s="214" t="str">
        <f>C24&amp;"-"&amp;D24</f>
        <v>I-003-80</v>
      </c>
      <c r="C24" s="45" t="s">
        <v>509</v>
      </c>
      <c r="D24" s="45">
        <v>80</v>
      </c>
      <c r="E24" s="45" t="s">
        <v>617</v>
      </c>
      <c r="F24" s="42" t="str">
        <f>VLOOKUP(E24, 'S11 Work Stations'!$A$2:$B$45, 2, 0)</f>
        <v>FIN-GOOD-INV</v>
      </c>
      <c r="G24" s="45">
        <v>0</v>
      </c>
      <c r="H24" s="3">
        <v>200</v>
      </c>
    </row>
    <row r="25" spans="1:8" s="44" customFormat="1" x14ac:dyDescent="0.2">
      <c r="A25" s="214" t="str">
        <f>C25&amp;"-"&amp;E25</f>
        <v>I-004-WS-05</v>
      </c>
      <c r="B25" s="214" t="str">
        <f>C25&amp;"-"&amp;D25</f>
        <v>I-004-30</v>
      </c>
      <c r="C25" s="45" t="s">
        <v>178</v>
      </c>
      <c r="D25" s="45">
        <v>30</v>
      </c>
      <c r="E25" s="45" t="s">
        <v>578</v>
      </c>
      <c r="F25" s="42" t="str">
        <f>VLOOKUP(E25, 'S11 Work Stations'!$A$2:$B$45, 2, 0)</f>
        <v>MIL-A2-365</v>
      </c>
      <c r="G25" s="45">
        <v>480</v>
      </c>
      <c r="H25" s="3">
        <v>200</v>
      </c>
    </row>
    <row r="26" spans="1:8" s="44" customFormat="1" x14ac:dyDescent="0.2">
      <c r="A26" s="214" t="str">
        <f>C26&amp;"-"&amp;E26</f>
        <v>I-004-WS-25</v>
      </c>
      <c r="B26" s="214" t="str">
        <f>C26&amp;"-"&amp;D26</f>
        <v>I-004-40</v>
      </c>
      <c r="C26" s="45" t="s">
        <v>178</v>
      </c>
      <c r="D26" s="45">
        <v>40</v>
      </c>
      <c r="E26" s="45" t="s">
        <v>598</v>
      </c>
      <c r="F26" s="42" t="str">
        <f>VLOOKUP(E26, 'S11 Work Stations'!$A$2:$B$45, 2, 0)</f>
        <v>DR-2A-201</v>
      </c>
      <c r="G26" s="45">
        <v>480</v>
      </c>
      <c r="H26" s="3">
        <v>200</v>
      </c>
    </row>
    <row r="27" spans="1:8" s="44" customFormat="1" x14ac:dyDescent="0.2">
      <c r="A27" s="214" t="str">
        <f>C27&amp;"-"&amp;E27</f>
        <v>I-004-WS-34</v>
      </c>
      <c r="B27" s="214" t="str">
        <f>C27&amp;"-"&amp;D27</f>
        <v>I-004-50</v>
      </c>
      <c r="C27" s="45" t="s">
        <v>178</v>
      </c>
      <c r="D27" s="45">
        <v>50</v>
      </c>
      <c r="E27" s="45" t="s">
        <v>607</v>
      </c>
      <c r="F27" s="42" t="str">
        <f>VLOOKUP(E27, 'S11 Work Stations'!$A$2:$B$45, 2, 0)</f>
        <v>SAW-30-160-252</v>
      </c>
      <c r="G27" s="45">
        <v>600</v>
      </c>
      <c r="H27" s="3">
        <v>200</v>
      </c>
    </row>
    <row r="28" spans="1:8" s="44" customFormat="1" x14ac:dyDescent="0.2">
      <c r="A28" s="214" t="str">
        <f>C28&amp;"-"&amp;E28</f>
        <v>I-004-WS-36</v>
      </c>
      <c r="B28" s="214" t="str">
        <f>C28&amp;"-"&amp;D28</f>
        <v>I-004-20</v>
      </c>
      <c r="C28" s="45" t="s">
        <v>178</v>
      </c>
      <c r="D28" s="45">
        <v>20</v>
      </c>
      <c r="E28" s="45" t="s">
        <v>609</v>
      </c>
      <c r="F28" s="42" t="str">
        <f>VLOOKUP(E28, 'S11 Work Stations'!$A$2:$B$45, 2, 0)</f>
        <v>SAW-10-421</v>
      </c>
      <c r="G28" s="45">
        <v>120</v>
      </c>
      <c r="H28" s="3">
        <v>200</v>
      </c>
    </row>
    <row r="29" spans="1:8" s="44" customFormat="1" x14ac:dyDescent="0.2">
      <c r="A29" s="214" t="str">
        <f>C29&amp;"-"&amp;E29</f>
        <v>I-004-WS-43</v>
      </c>
      <c r="B29" s="214" t="str">
        <f>C29&amp;"-"&amp;D29</f>
        <v>I-004-10</v>
      </c>
      <c r="C29" s="45" t="s">
        <v>178</v>
      </c>
      <c r="D29" s="45">
        <v>10</v>
      </c>
      <c r="E29" s="45" t="s">
        <v>616</v>
      </c>
      <c r="F29" s="42" t="str">
        <f>VLOOKUP(E29, 'S11 Work Stations'!$A$2:$B$45, 2, 0)</f>
        <v>RAW-MAT-INV</v>
      </c>
      <c r="G29" s="45">
        <v>0</v>
      </c>
      <c r="H29" s="3">
        <v>200</v>
      </c>
    </row>
    <row r="30" spans="1:8" s="44" customFormat="1" x14ac:dyDescent="0.2">
      <c r="A30" s="214" t="str">
        <f>C30&amp;"-"&amp;E30</f>
        <v>I-004-WS-44</v>
      </c>
      <c r="B30" s="214" t="str">
        <f>C30&amp;"-"&amp;D30</f>
        <v>I-004-60</v>
      </c>
      <c r="C30" s="45" t="s">
        <v>178</v>
      </c>
      <c r="D30" s="45">
        <v>60</v>
      </c>
      <c r="E30" s="45" t="s">
        <v>617</v>
      </c>
      <c r="F30" s="42" t="str">
        <f>VLOOKUP(E30, 'S11 Work Stations'!$A$2:$B$45, 2, 0)</f>
        <v>FIN-GOOD-INV</v>
      </c>
      <c r="G30" s="45">
        <v>0</v>
      </c>
      <c r="H30" s="3">
        <v>200</v>
      </c>
    </row>
    <row r="31" spans="1:8" s="44" customFormat="1" x14ac:dyDescent="0.2">
      <c r="A31" s="214" t="str">
        <f>C31&amp;"-"&amp;E31</f>
        <v>I-005-WS-04</v>
      </c>
      <c r="B31" s="214" t="str">
        <f>C31&amp;"-"&amp;D31</f>
        <v>I-005-30</v>
      </c>
      <c r="C31" s="45" t="s">
        <v>510</v>
      </c>
      <c r="D31" s="45">
        <v>30</v>
      </c>
      <c r="E31" s="45" t="s">
        <v>577</v>
      </c>
      <c r="F31" s="42" t="str">
        <f>VLOOKUP(E31, 'S11 Work Stations'!$A$2:$B$45, 2, 0)</f>
        <v>TUR-A4-364</v>
      </c>
      <c r="G31" s="45">
        <v>600</v>
      </c>
      <c r="H31" s="3">
        <v>200</v>
      </c>
    </row>
    <row r="32" spans="1:8" s="44" customFormat="1" x14ac:dyDescent="0.2">
      <c r="A32" s="214" t="str">
        <f>C32&amp;"-"&amp;E32</f>
        <v>I-005-WS-20</v>
      </c>
      <c r="B32" s="214" t="str">
        <f>C32&amp;"-"&amp;D32</f>
        <v>I-005-40</v>
      </c>
      <c r="C32" s="45" t="s">
        <v>510</v>
      </c>
      <c r="D32" s="45">
        <v>40</v>
      </c>
      <c r="E32" s="45" t="s">
        <v>593</v>
      </c>
      <c r="F32" s="42" t="str">
        <f>VLOOKUP(E32, 'S11 Work Stations'!$A$2:$B$45, 2, 0)</f>
        <v>MIL-H21-604</v>
      </c>
      <c r="G32" s="45">
        <v>480</v>
      </c>
      <c r="H32" s="3">
        <v>200</v>
      </c>
    </row>
    <row r="33" spans="1:8" s="44" customFormat="1" x14ac:dyDescent="0.2">
      <c r="A33" s="214" t="str">
        <f>C33&amp;"-"&amp;E33</f>
        <v>I-005-WS-31</v>
      </c>
      <c r="B33" s="214" t="str">
        <f>C33&amp;"-"&amp;D33</f>
        <v>I-005-50</v>
      </c>
      <c r="C33" s="45" t="s">
        <v>510</v>
      </c>
      <c r="D33" s="45">
        <v>50</v>
      </c>
      <c r="E33" s="45" t="s">
        <v>604</v>
      </c>
      <c r="F33" s="42" t="str">
        <f>VLOOKUP(E33, 'S11 Work Stations'!$A$2:$B$45, 2, 0)</f>
        <v>DR-3AW-207</v>
      </c>
      <c r="G33" s="45">
        <v>300</v>
      </c>
      <c r="H33" s="3">
        <v>200</v>
      </c>
    </row>
    <row r="34" spans="1:8" s="44" customFormat="1" x14ac:dyDescent="0.2">
      <c r="A34" s="214" t="str">
        <f>C34&amp;"-"&amp;E34</f>
        <v>I-005-WS-32</v>
      </c>
      <c r="B34" s="214" t="str">
        <f>C34&amp;"-"&amp;D34</f>
        <v>I-005-60</v>
      </c>
      <c r="C34" s="45" t="s">
        <v>510</v>
      </c>
      <c r="D34" s="45">
        <v>60</v>
      </c>
      <c r="E34" s="45" t="s">
        <v>605</v>
      </c>
      <c r="F34" s="42" t="str">
        <f>VLOOKUP(E34, 'S11 Work Stations'!$A$2:$B$45, 2, 0)</f>
        <v>SAW-30-150-251</v>
      </c>
      <c r="G34" s="45">
        <v>600</v>
      </c>
      <c r="H34" s="3">
        <v>200</v>
      </c>
    </row>
    <row r="35" spans="1:8" s="44" customFormat="1" x14ac:dyDescent="0.2">
      <c r="A35" s="214" t="str">
        <f>C35&amp;"-"&amp;E35</f>
        <v>I-005-WS-40</v>
      </c>
      <c r="B35" s="214" t="str">
        <f>C35&amp;"-"&amp;D35</f>
        <v>I-005-20</v>
      </c>
      <c r="C35" s="45" t="s">
        <v>510</v>
      </c>
      <c r="D35" s="45">
        <v>20</v>
      </c>
      <c r="E35" s="45" t="s">
        <v>613</v>
      </c>
      <c r="F35" s="42" t="str">
        <f>VLOOKUP(E35, 'S11 Work Stations'!$A$2:$B$45, 2, 0)</f>
        <v>SAW-CNC-40-425</v>
      </c>
      <c r="G35" s="45">
        <v>120</v>
      </c>
      <c r="H35" s="3">
        <v>200</v>
      </c>
    </row>
    <row r="36" spans="1:8" s="44" customFormat="1" x14ac:dyDescent="0.2">
      <c r="A36" s="214" t="str">
        <f>C36&amp;"-"&amp;E36</f>
        <v>I-005-WS-42</v>
      </c>
      <c r="B36" s="214" t="str">
        <f>C36&amp;"-"&amp;D36</f>
        <v>I-005-10</v>
      </c>
      <c r="C36" s="45" t="s">
        <v>510</v>
      </c>
      <c r="D36" s="45">
        <v>10</v>
      </c>
      <c r="E36" s="45" t="s">
        <v>615</v>
      </c>
      <c r="F36" s="42" t="str">
        <f>VLOOKUP(E36, 'S11 Work Stations'!$A$2:$B$45, 2, 0)</f>
        <v>TEMP-A01-202</v>
      </c>
      <c r="G36" s="45">
        <v>300</v>
      </c>
      <c r="H36" s="3">
        <v>200</v>
      </c>
    </row>
    <row r="37" spans="1:8" s="44" customFormat="1" x14ac:dyDescent="0.2">
      <c r="A37" s="214" t="str">
        <f>C37&amp;"-"&amp;E37</f>
        <v>I-005-WS-44</v>
      </c>
      <c r="B37" s="214" t="str">
        <f>C37&amp;"-"&amp;D37</f>
        <v>I-005-70</v>
      </c>
      <c r="C37" s="45" t="s">
        <v>510</v>
      </c>
      <c r="D37" s="45">
        <v>70</v>
      </c>
      <c r="E37" s="45" t="s">
        <v>617</v>
      </c>
      <c r="F37" s="42" t="str">
        <f>VLOOKUP(E37, 'S11 Work Stations'!$A$2:$B$45, 2, 0)</f>
        <v>FIN-GOOD-INV</v>
      </c>
      <c r="G37" s="45">
        <v>0</v>
      </c>
      <c r="H37" s="3">
        <v>200</v>
      </c>
    </row>
    <row r="38" spans="1:8" s="44" customFormat="1" x14ac:dyDescent="0.2">
      <c r="A38" s="214" t="str">
        <f>C38&amp;"-"&amp;E38</f>
        <v>I-006-WS-02</v>
      </c>
      <c r="B38" s="214" t="str">
        <f>C38&amp;"-"&amp;D38</f>
        <v>I-006-30</v>
      </c>
      <c r="C38" s="45" t="s">
        <v>198</v>
      </c>
      <c r="D38" s="45">
        <v>30</v>
      </c>
      <c r="E38" s="45" t="s">
        <v>575</v>
      </c>
      <c r="F38" s="42" t="str">
        <f>VLOOKUP(E38, 'S11 Work Stations'!$A$2:$B$45, 2, 0)</f>
        <v>TUR-B2-362</v>
      </c>
      <c r="G38" s="45">
        <v>600</v>
      </c>
      <c r="H38" s="3">
        <v>200</v>
      </c>
    </row>
    <row r="39" spans="1:8" s="44" customFormat="1" x14ac:dyDescent="0.2">
      <c r="A39" s="214" t="str">
        <f>C39&amp;"-"&amp;E39</f>
        <v>I-006-WS-18</v>
      </c>
      <c r="B39" s="214" t="str">
        <f>C39&amp;"-"&amp;D39</f>
        <v>I-006-40</v>
      </c>
      <c r="C39" s="45" t="s">
        <v>198</v>
      </c>
      <c r="D39" s="45">
        <v>40</v>
      </c>
      <c r="E39" s="45" t="s">
        <v>591</v>
      </c>
      <c r="F39" s="42" t="str">
        <f>VLOOKUP(E39, 'S11 Work Stations'!$A$2:$B$45, 2, 0)</f>
        <v>MIL-V2-602</v>
      </c>
      <c r="G39" s="45">
        <v>480</v>
      </c>
      <c r="H39" s="3">
        <v>200</v>
      </c>
    </row>
    <row r="40" spans="1:8" s="44" customFormat="1" x14ac:dyDescent="0.2">
      <c r="A40" s="214" t="str">
        <f>C40&amp;"-"&amp;E40</f>
        <v>I-006-WS-24</v>
      </c>
      <c r="B40" s="214" t="str">
        <f>C40&amp;"-"&amp;D40</f>
        <v>I-006-50</v>
      </c>
      <c r="C40" s="45" t="s">
        <v>198</v>
      </c>
      <c r="D40" s="45">
        <v>50</v>
      </c>
      <c r="E40" s="45" t="s">
        <v>597</v>
      </c>
      <c r="F40" s="42" t="str">
        <f>VLOOKUP(E40, 'S11 Work Stations'!$A$2:$B$45, 2, 0)</f>
        <v>MIL-V5-608</v>
      </c>
      <c r="G40" s="45">
        <v>180</v>
      </c>
      <c r="H40" s="3">
        <v>200</v>
      </c>
    </row>
    <row r="41" spans="1:8" s="44" customFormat="1" x14ac:dyDescent="0.2">
      <c r="A41" s="214" t="str">
        <f>C41&amp;"-"&amp;E41</f>
        <v>I-006-WS-29</v>
      </c>
      <c r="B41" s="214" t="str">
        <f>C41&amp;"-"&amp;D41</f>
        <v>I-006-60</v>
      </c>
      <c r="C41" s="45" t="s">
        <v>198</v>
      </c>
      <c r="D41" s="45">
        <v>60</v>
      </c>
      <c r="E41" s="45" t="s">
        <v>602</v>
      </c>
      <c r="F41" s="42" t="str">
        <f>VLOOKUP(E41, 'S11 Work Stations'!$A$2:$B$45, 2, 0)</f>
        <v>GR-T11-250</v>
      </c>
      <c r="G41" s="45">
        <v>480</v>
      </c>
      <c r="H41" s="3">
        <v>200</v>
      </c>
    </row>
    <row r="42" spans="1:8" s="44" customFormat="1" x14ac:dyDescent="0.2">
      <c r="A42" s="214" t="str">
        <f>C42&amp;"-"&amp;E42</f>
        <v>I-006-WS-33</v>
      </c>
      <c r="B42" s="214" t="str">
        <f>C42&amp;"-"&amp;D42</f>
        <v>I-006-70</v>
      </c>
      <c r="C42" s="45" t="s">
        <v>198</v>
      </c>
      <c r="D42" s="45">
        <v>70</v>
      </c>
      <c r="E42" s="45" t="s">
        <v>606</v>
      </c>
      <c r="F42" s="42" t="str">
        <f>VLOOKUP(E42, 'S11 Work Stations'!$A$2:$B$45, 2, 0)</f>
        <v>SAW-50-150-252</v>
      </c>
      <c r="G42" s="45">
        <v>600</v>
      </c>
      <c r="H42" s="3">
        <v>200</v>
      </c>
    </row>
    <row r="43" spans="1:8" s="44" customFormat="1" x14ac:dyDescent="0.2">
      <c r="A43" s="214" t="str">
        <f>C43&amp;"-"&amp;E43</f>
        <v>I-006-WS-40</v>
      </c>
      <c r="B43" s="214" t="str">
        <f>C43&amp;"-"&amp;D43</f>
        <v>I-006-20</v>
      </c>
      <c r="C43" s="45" t="s">
        <v>198</v>
      </c>
      <c r="D43" s="45">
        <v>20</v>
      </c>
      <c r="E43" s="45" t="s">
        <v>613</v>
      </c>
      <c r="F43" s="42" t="str">
        <f>VLOOKUP(E43, 'S11 Work Stations'!$A$2:$B$45, 2, 0)</f>
        <v>SAW-CNC-40-425</v>
      </c>
      <c r="G43" s="45">
        <v>120</v>
      </c>
      <c r="H43" s="3">
        <v>200</v>
      </c>
    </row>
    <row r="44" spans="1:8" s="44" customFormat="1" x14ac:dyDescent="0.2">
      <c r="A44" s="214" t="str">
        <f>C44&amp;"-"&amp;E44</f>
        <v>I-006-WS-43</v>
      </c>
      <c r="B44" s="214" t="str">
        <f>C44&amp;"-"&amp;D44</f>
        <v>I-006-10</v>
      </c>
      <c r="C44" s="45" t="s">
        <v>198</v>
      </c>
      <c r="D44" s="45">
        <v>10</v>
      </c>
      <c r="E44" s="45" t="s">
        <v>616</v>
      </c>
      <c r="F44" s="42" t="str">
        <f>VLOOKUP(E44, 'S11 Work Stations'!$A$2:$B$45, 2, 0)</f>
        <v>RAW-MAT-INV</v>
      </c>
      <c r="G44" s="45">
        <v>0</v>
      </c>
      <c r="H44" s="3">
        <v>200</v>
      </c>
    </row>
    <row r="45" spans="1:8" s="44" customFormat="1" x14ac:dyDescent="0.2">
      <c r="A45" s="214" t="str">
        <f>C45&amp;"-"&amp;E45</f>
        <v>I-006-WS-44</v>
      </c>
      <c r="B45" s="214" t="str">
        <f>C45&amp;"-"&amp;D45</f>
        <v>I-006-80</v>
      </c>
      <c r="C45" s="45" t="s">
        <v>198</v>
      </c>
      <c r="D45" s="45">
        <v>80</v>
      </c>
      <c r="E45" s="45" t="s">
        <v>617</v>
      </c>
      <c r="F45" s="42" t="str">
        <f>VLOOKUP(E45, 'S11 Work Stations'!$A$2:$B$45, 2, 0)</f>
        <v>FIN-GOOD-INV</v>
      </c>
      <c r="G45" s="45">
        <v>0</v>
      </c>
      <c r="H45" s="3">
        <v>200</v>
      </c>
    </row>
    <row r="46" spans="1:8" s="44" customFormat="1" x14ac:dyDescent="0.2">
      <c r="A46" s="214" t="str">
        <f>C46&amp;"-"&amp;E46</f>
        <v>I-007-WS-02</v>
      </c>
      <c r="B46" s="214" t="str">
        <f>C46&amp;"-"&amp;D46</f>
        <v>I-007-30</v>
      </c>
      <c r="C46" s="45" t="s">
        <v>203</v>
      </c>
      <c r="D46" s="45">
        <v>30</v>
      </c>
      <c r="E46" s="45" t="s">
        <v>575</v>
      </c>
      <c r="F46" s="42" t="str">
        <f>VLOOKUP(E46, 'S11 Work Stations'!$A$2:$B$45, 2, 0)</f>
        <v>TUR-B2-362</v>
      </c>
      <c r="G46" s="45">
        <v>360</v>
      </c>
      <c r="H46" s="3">
        <v>200</v>
      </c>
    </row>
    <row r="47" spans="1:8" s="44" customFormat="1" x14ac:dyDescent="0.2">
      <c r="A47" s="214" t="str">
        <f>C47&amp;"-"&amp;E47</f>
        <v>I-007-WS-18</v>
      </c>
      <c r="B47" s="214" t="str">
        <f>C47&amp;"-"&amp;D47</f>
        <v>I-007-40</v>
      </c>
      <c r="C47" s="45" t="s">
        <v>203</v>
      </c>
      <c r="D47" s="45">
        <v>40</v>
      </c>
      <c r="E47" s="45" t="s">
        <v>591</v>
      </c>
      <c r="F47" s="42" t="str">
        <f>VLOOKUP(E47, 'S11 Work Stations'!$A$2:$B$45, 2, 0)</f>
        <v>MIL-V2-602</v>
      </c>
      <c r="G47" s="45">
        <v>360</v>
      </c>
      <c r="H47" s="3">
        <v>200</v>
      </c>
    </row>
    <row r="48" spans="1:8" s="44" customFormat="1" x14ac:dyDescent="0.2">
      <c r="A48" s="214" t="str">
        <f>C48&amp;"-"&amp;E48</f>
        <v>I-007-WS-24</v>
      </c>
      <c r="B48" s="214" t="str">
        <f>C48&amp;"-"&amp;D48</f>
        <v>I-007-50</v>
      </c>
      <c r="C48" s="45" t="s">
        <v>203</v>
      </c>
      <c r="D48" s="45">
        <v>50</v>
      </c>
      <c r="E48" s="45" t="s">
        <v>597</v>
      </c>
      <c r="F48" s="42" t="str">
        <f>VLOOKUP(E48, 'S11 Work Stations'!$A$2:$B$45, 2, 0)</f>
        <v>MIL-V5-608</v>
      </c>
      <c r="G48" s="45">
        <v>120</v>
      </c>
      <c r="H48" s="3">
        <v>200</v>
      </c>
    </row>
    <row r="49" spans="1:8" s="44" customFormat="1" x14ac:dyDescent="0.2">
      <c r="A49" s="214" t="str">
        <f>C49&amp;"-"&amp;E49</f>
        <v>I-007-WS-29</v>
      </c>
      <c r="B49" s="214" t="str">
        <f>C49&amp;"-"&amp;D49</f>
        <v>I-007-60</v>
      </c>
      <c r="C49" s="45" t="s">
        <v>203</v>
      </c>
      <c r="D49" s="45">
        <v>60</v>
      </c>
      <c r="E49" s="45" t="s">
        <v>602</v>
      </c>
      <c r="F49" s="42" t="str">
        <f>VLOOKUP(E49, 'S11 Work Stations'!$A$2:$B$45, 2, 0)</f>
        <v>GR-T11-250</v>
      </c>
      <c r="G49" s="45">
        <v>120</v>
      </c>
      <c r="H49" s="3">
        <v>200</v>
      </c>
    </row>
    <row r="50" spans="1:8" s="44" customFormat="1" x14ac:dyDescent="0.2">
      <c r="A50" s="214" t="str">
        <f>C50&amp;"-"&amp;E50</f>
        <v>I-007-WS-33</v>
      </c>
      <c r="B50" s="214" t="str">
        <f>C50&amp;"-"&amp;D50</f>
        <v>I-007-70</v>
      </c>
      <c r="C50" s="45" t="s">
        <v>203</v>
      </c>
      <c r="D50" s="45">
        <v>70</v>
      </c>
      <c r="E50" s="45" t="s">
        <v>606</v>
      </c>
      <c r="F50" s="42" t="str">
        <f>VLOOKUP(E50, 'S11 Work Stations'!$A$2:$B$45, 2, 0)</f>
        <v>SAW-50-150-252</v>
      </c>
      <c r="G50" s="45">
        <v>180</v>
      </c>
      <c r="H50" s="3">
        <v>200</v>
      </c>
    </row>
    <row r="51" spans="1:8" s="44" customFormat="1" x14ac:dyDescent="0.2">
      <c r="A51" s="214" t="str">
        <f>C51&amp;"-"&amp;E51</f>
        <v>I-007-WS-40</v>
      </c>
      <c r="B51" s="214" t="str">
        <f>C51&amp;"-"&amp;D51</f>
        <v>I-007-20</v>
      </c>
      <c r="C51" s="45" t="s">
        <v>203</v>
      </c>
      <c r="D51" s="45">
        <v>20</v>
      </c>
      <c r="E51" s="45" t="s">
        <v>613</v>
      </c>
      <c r="F51" s="42" t="str">
        <f>VLOOKUP(E51, 'S11 Work Stations'!$A$2:$B$45, 2, 0)</f>
        <v>SAW-CNC-40-425</v>
      </c>
      <c r="G51" s="45">
        <v>120</v>
      </c>
      <c r="H51" s="3">
        <v>200</v>
      </c>
    </row>
    <row r="52" spans="1:8" s="44" customFormat="1" x14ac:dyDescent="0.2">
      <c r="A52" s="214" t="str">
        <f>C52&amp;"-"&amp;E52</f>
        <v>I-007-WS-43</v>
      </c>
      <c r="B52" s="214" t="str">
        <f>C52&amp;"-"&amp;D52</f>
        <v>I-007-10</v>
      </c>
      <c r="C52" s="45" t="s">
        <v>203</v>
      </c>
      <c r="D52" s="45">
        <v>10</v>
      </c>
      <c r="E52" s="45" t="s">
        <v>616</v>
      </c>
      <c r="F52" s="42" t="str">
        <f>VLOOKUP(E52, 'S11 Work Stations'!$A$2:$B$45, 2, 0)</f>
        <v>RAW-MAT-INV</v>
      </c>
      <c r="G52" s="45">
        <v>0</v>
      </c>
      <c r="H52" s="3">
        <v>200</v>
      </c>
    </row>
    <row r="53" spans="1:8" s="44" customFormat="1" x14ac:dyDescent="0.2">
      <c r="A53" s="214" t="str">
        <f>C53&amp;"-"&amp;E53</f>
        <v>I-007-WS-44</v>
      </c>
      <c r="B53" s="214" t="str">
        <f>C53&amp;"-"&amp;D53</f>
        <v>I-007-80</v>
      </c>
      <c r="C53" s="45" t="s">
        <v>203</v>
      </c>
      <c r="D53" s="45">
        <v>80</v>
      </c>
      <c r="E53" s="45" t="s">
        <v>617</v>
      </c>
      <c r="F53" s="42" t="str">
        <f>VLOOKUP(E53, 'S11 Work Stations'!$A$2:$B$45, 2, 0)</f>
        <v>FIN-GOOD-INV</v>
      </c>
      <c r="G53" s="45">
        <v>0</v>
      </c>
      <c r="H53" s="3">
        <v>200</v>
      </c>
    </row>
    <row r="54" spans="1:8" s="44" customFormat="1" x14ac:dyDescent="0.2">
      <c r="A54" s="214" t="str">
        <f>C54&amp;"-"&amp;E54</f>
        <v>I-008-WS-02</v>
      </c>
      <c r="B54" s="214" t="str">
        <f>C54&amp;"-"&amp;D54</f>
        <v>I-008-30</v>
      </c>
      <c r="C54" s="45" t="s">
        <v>217</v>
      </c>
      <c r="D54" s="45">
        <v>30</v>
      </c>
      <c r="E54" s="45" t="s">
        <v>575</v>
      </c>
      <c r="F54" s="42" t="str">
        <f>VLOOKUP(E54, 'S11 Work Stations'!$A$2:$B$45, 2, 0)</f>
        <v>TUR-B2-362</v>
      </c>
      <c r="G54" s="45">
        <v>540</v>
      </c>
      <c r="H54" s="3">
        <v>200</v>
      </c>
    </row>
    <row r="55" spans="1:8" s="44" customFormat="1" x14ac:dyDescent="0.2">
      <c r="A55" s="214" t="str">
        <f>C55&amp;"-"&amp;E55</f>
        <v>I-008-WS-18</v>
      </c>
      <c r="B55" s="214" t="str">
        <f>C55&amp;"-"&amp;D55</f>
        <v>I-008-40</v>
      </c>
      <c r="C55" s="45" t="s">
        <v>217</v>
      </c>
      <c r="D55" s="45">
        <v>40</v>
      </c>
      <c r="E55" s="45" t="s">
        <v>591</v>
      </c>
      <c r="F55" s="42" t="str">
        <f>VLOOKUP(E55, 'S11 Work Stations'!$A$2:$B$45, 2, 0)</f>
        <v>MIL-V2-602</v>
      </c>
      <c r="G55" s="45">
        <v>300</v>
      </c>
      <c r="H55" s="3">
        <v>200</v>
      </c>
    </row>
    <row r="56" spans="1:8" s="44" customFormat="1" x14ac:dyDescent="0.2">
      <c r="A56" s="214" t="str">
        <f>C56&amp;"-"&amp;E56</f>
        <v>I-008-WS-24</v>
      </c>
      <c r="B56" s="214" t="str">
        <f>C56&amp;"-"&amp;D56</f>
        <v>I-008-50</v>
      </c>
      <c r="C56" s="45" t="s">
        <v>217</v>
      </c>
      <c r="D56" s="45">
        <v>50</v>
      </c>
      <c r="E56" s="45" t="s">
        <v>597</v>
      </c>
      <c r="F56" s="42" t="str">
        <f>VLOOKUP(E56, 'S11 Work Stations'!$A$2:$B$45, 2, 0)</f>
        <v>MIL-V5-608</v>
      </c>
      <c r="G56" s="45">
        <v>300</v>
      </c>
      <c r="H56" s="3">
        <v>200</v>
      </c>
    </row>
    <row r="57" spans="1:8" s="44" customFormat="1" x14ac:dyDescent="0.2">
      <c r="A57" s="214" t="str">
        <f>C57&amp;"-"&amp;E57</f>
        <v>I-008-WS-29</v>
      </c>
      <c r="B57" s="214" t="str">
        <f>C57&amp;"-"&amp;D57</f>
        <v>I-008-60</v>
      </c>
      <c r="C57" s="45" t="s">
        <v>217</v>
      </c>
      <c r="D57" s="45">
        <v>60</v>
      </c>
      <c r="E57" s="45" t="s">
        <v>602</v>
      </c>
      <c r="F57" s="42" t="str">
        <f>VLOOKUP(E57, 'S11 Work Stations'!$A$2:$B$45, 2, 0)</f>
        <v>GR-T11-250</v>
      </c>
      <c r="G57" s="45">
        <v>300</v>
      </c>
      <c r="H57" s="3">
        <v>200</v>
      </c>
    </row>
    <row r="58" spans="1:8" s="44" customFormat="1" x14ac:dyDescent="0.2">
      <c r="A58" s="214" t="str">
        <f>C58&amp;"-"&amp;E58</f>
        <v>I-008-WS-33</v>
      </c>
      <c r="B58" s="214" t="str">
        <f>C58&amp;"-"&amp;D58</f>
        <v>I-008-70</v>
      </c>
      <c r="C58" s="45" t="s">
        <v>217</v>
      </c>
      <c r="D58" s="45">
        <v>70</v>
      </c>
      <c r="E58" s="45" t="s">
        <v>606</v>
      </c>
      <c r="F58" s="42" t="str">
        <f>VLOOKUP(E58, 'S11 Work Stations'!$A$2:$B$45, 2, 0)</f>
        <v>SAW-50-150-252</v>
      </c>
      <c r="G58" s="45">
        <v>180</v>
      </c>
      <c r="H58" s="3">
        <v>200</v>
      </c>
    </row>
    <row r="59" spans="1:8" s="44" customFormat="1" x14ac:dyDescent="0.2">
      <c r="A59" s="214" t="str">
        <f>C59&amp;"-"&amp;E59</f>
        <v>I-008-WS-40</v>
      </c>
      <c r="B59" s="214" t="str">
        <f>C59&amp;"-"&amp;D59</f>
        <v>I-008-20</v>
      </c>
      <c r="C59" s="45" t="s">
        <v>217</v>
      </c>
      <c r="D59" s="45">
        <v>20</v>
      </c>
      <c r="E59" s="45" t="s">
        <v>613</v>
      </c>
      <c r="F59" s="42" t="str">
        <f>VLOOKUP(E59, 'S11 Work Stations'!$A$2:$B$45, 2, 0)</f>
        <v>SAW-CNC-40-425</v>
      </c>
      <c r="G59" s="45">
        <v>120</v>
      </c>
      <c r="H59" s="3">
        <v>200</v>
      </c>
    </row>
    <row r="60" spans="1:8" s="44" customFormat="1" x14ac:dyDescent="0.2">
      <c r="A60" s="214" t="str">
        <f>C60&amp;"-"&amp;E60</f>
        <v>I-008-WS-43</v>
      </c>
      <c r="B60" s="214" t="str">
        <f>C60&amp;"-"&amp;D60</f>
        <v>I-008-10</v>
      </c>
      <c r="C60" s="45" t="s">
        <v>217</v>
      </c>
      <c r="D60" s="45">
        <v>10</v>
      </c>
      <c r="E60" s="45" t="s">
        <v>616</v>
      </c>
      <c r="F60" s="42" t="str">
        <f>VLOOKUP(E60, 'S11 Work Stations'!$A$2:$B$45, 2, 0)</f>
        <v>RAW-MAT-INV</v>
      </c>
      <c r="G60" s="45">
        <v>0</v>
      </c>
      <c r="H60" s="3">
        <v>200</v>
      </c>
    </row>
    <row r="61" spans="1:8" s="44" customFormat="1" x14ac:dyDescent="0.2">
      <c r="A61" s="214" t="str">
        <f>C61&amp;"-"&amp;E61</f>
        <v>I-008-WS-44</v>
      </c>
      <c r="B61" s="214" t="str">
        <f>C61&amp;"-"&amp;D61</f>
        <v>I-008-80</v>
      </c>
      <c r="C61" s="45" t="s">
        <v>217</v>
      </c>
      <c r="D61" s="45">
        <v>80</v>
      </c>
      <c r="E61" s="45" t="s">
        <v>617</v>
      </c>
      <c r="F61" s="42" t="str">
        <f>VLOOKUP(E61, 'S11 Work Stations'!$A$2:$B$45, 2, 0)</f>
        <v>FIN-GOOD-INV</v>
      </c>
      <c r="G61" s="45">
        <v>0</v>
      </c>
      <c r="H61" s="3">
        <v>200</v>
      </c>
    </row>
    <row r="62" spans="1:8" s="44" customFormat="1" x14ac:dyDescent="0.2">
      <c r="A62" s="214" t="str">
        <f>C62&amp;"-"&amp;E62</f>
        <v>I-009-WS-03</v>
      </c>
      <c r="B62" s="214" t="str">
        <f>C62&amp;"-"&amp;D62</f>
        <v>I-009-30</v>
      </c>
      <c r="C62" s="45" t="s">
        <v>511</v>
      </c>
      <c r="D62" s="45">
        <v>30</v>
      </c>
      <c r="E62" s="45" t="s">
        <v>576</v>
      </c>
      <c r="F62" s="42" t="str">
        <f>VLOOKUP(E62, 'S11 Work Stations'!$A$2:$B$45, 2, 0)</f>
        <v>MIL-A31-363</v>
      </c>
      <c r="G62" s="45">
        <v>540</v>
      </c>
      <c r="H62" s="3">
        <v>200</v>
      </c>
    </row>
    <row r="63" spans="1:8" s="44" customFormat="1" x14ac:dyDescent="0.2">
      <c r="A63" s="214" t="str">
        <f>C63&amp;"-"&amp;E63</f>
        <v>I-009-WS-18</v>
      </c>
      <c r="B63" s="214" t="str">
        <f>C63&amp;"-"&amp;D63</f>
        <v>I-009-40</v>
      </c>
      <c r="C63" s="45" t="s">
        <v>511</v>
      </c>
      <c r="D63" s="45">
        <v>40</v>
      </c>
      <c r="E63" s="45" t="s">
        <v>591</v>
      </c>
      <c r="F63" s="42" t="str">
        <f>VLOOKUP(E63, 'S11 Work Stations'!$A$2:$B$45, 2, 0)</f>
        <v>MIL-V2-602</v>
      </c>
      <c r="G63" s="45">
        <v>360</v>
      </c>
      <c r="H63" s="3">
        <v>200</v>
      </c>
    </row>
    <row r="64" spans="1:8" s="44" customFormat="1" x14ac:dyDescent="0.2">
      <c r="A64" s="214" t="str">
        <f>C64&amp;"-"&amp;E64</f>
        <v>I-009-WS-29</v>
      </c>
      <c r="B64" s="214" t="str">
        <f>C64&amp;"-"&amp;D64</f>
        <v>I-009-50</v>
      </c>
      <c r="C64" s="45" t="s">
        <v>511</v>
      </c>
      <c r="D64" s="45">
        <v>50</v>
      </c>
      <c r="E64" s="45" t="s">
        <v>602</v>
      </c>
      <c r="F64" s="42" t="str">
        <f>VLOOKUP(E64, 'S11 Work Stations'!$A$2:$B$45, 2, 0)</f>
        <v>GR-T11-250</v>
      </c>
      <c r="G64" s="45">
        <v>360</v>
      </c>
      <c r="H64" s="3">
        <v>200</v>
      </c>
    </row>
    <row r="65" spans="1:8" s="44" customFormat="1" x14ac:dyDescent="0.2">
      <c r="A65" s="214" t="str">
        <f>C65&amp;"-"&amp;E65</f>
        <v>I-009-WS-40</v>
      </c>
      <c r="B65" s="214" t="str">
        <f>C65&amp;"-"&amp;D65</f>
        <v>I-009-20</v>
      </c>
      <c r="C65" s="45" t="s">
        <v>511</v>
      </c>
      <c r="D65" s="45">
        <v>20</v>
      </c>
      <c r="E65" s="45" t="s">
        <v>613</v>
      </c>
      <c r="F65" s="42" t="str">
        <f>VLOOKUP(E65, 'S11 Work Stations'!$A$2:$B$45, 2, 0)</f>
        <v>SAW-CNC-40-425</v>
      </c>
      <c r="G65" s="45">
        <v>120</v>
      </c>
      <c r="H65" s="3">
        <v>200</v>
      </c>
    </row>
    <row r="66" spans="1:8" s="44" customFormat="1" x14ac:dyDescent="0.2">
      <c r="A66" s="214" t="str">
        <f>C66&amp;"-"&amp;E66</f>
        <v>I-009-WS-43</v>
      </c>
      <c r="B66" s="214" t="str">
        <f>C66&amp;"-"&amp;D66</f>
        <v>I-009-10</v>
      </c>
      <c r="C66" s="45" t="s">
        <v>511</v>
      </c>
      <c r="D66" s="45">
        <v>10</v>
      </c>
      <c r="E66" s="45" t="s">
        <v>616</v>
      </c>
      <c r="F66" s="42" t="str">
        <f>VLOOKUP(E66, 'S11 Work Stations'!$A$2:$B$45, 2, 0)</f>
        <v>RAW-MAT-INV</v>
      </c>
      <c r="G66" s="45">
        <v>0</v>
      </c>
      <c r="H66" s="3">
        <v>200</v>
      </c>
    </row>
    <row r="67" spans="1:8" s="44" customFormat="1" x14ac:dyDescent="0.2">
      <c r="A67" s="214" t="str">
        <f>C67&amp;"-"&amp;E67</f>
        <v>I-009-WS-44</v>
      </c>
      <c r="B67" s="214" t="str">
        <f>C67&amp;"-"&amp;D67</f>
        <v>I-009-60</v>
      </c>
      <c r="C67" s="45" t="s">
        <v>511</v>
      </c>
      <c r="D67" s="45">
        <v>60</v>
      </c>
      <c r="E67" s="45" t="s">
        <v>617</v>
      </c>
      <c r="F67" s="42" t="str">
        <f>VLOOKUP(E67, 'S11 Work Stations'!$A$2:$B$45, 2, 0)</f>
        <v>FIN-GOOD-INV</v>
      </c>
      <c r="G67" s="45">
        <v>0</v>
      </c>
      <c r="H67" s="3">
        <v>200</v>
      </c>
    </row>
    <row r="68" spans="1:8" s="44" customFormat="1" x14ac:dyDescent="0.2">
      <c r="A68" s="214" t="str">
        <f>C68&amp;"-"&amp;E68</f>
        <v>I-010-WS-02</v>
      </c>
      <c r="B68" s="214" t="str">
        <f>C68&amp;"-"&amp;D68</f>
        <v>I-010-30</v>
      </c>
      <c r="C68" s="45" t="s">
        <v>176</v>
      </c>
      <c r="D68" s="45">
        <v>30</v>
      </c>
      <c r="E68" s="45" t="s">
        <v>575</v>
      </c>
      <c r="F68" s="42" t="str">
        <f>VLOOKUP(E68, 'S11 Work Stations'!$A$2:$B$45, 2, 0)</f>
        <v>TUR-B2-362</v>
      </c>
      <c r="G68" s="45">
        <v>360</v>
      </c>
      <c r="H68" s="3">
        <v>200</v>
      </c>
    </row>
    <row r="69" spans="1:8" s="44" customFormat="1" x14ac:dyDescent="0.2">
      <c r="A69" s="214" t="str">
        <f>C69&amp;"-"&amp;E69</f>
        <v>I-010-WS-18</v>
      </c>
      <c r="B69" s="214" t="str">
        <f>C69&amp;"-"&amp;D69</f>
        <v>I-010-40</v>
      </c>
      <c r="C69" s="45" t="s">
        <v>176</v>
      </c>
      <c r="D69" s="45">
        <v>40</v>
      </c>
      <c r="E69" s="45" t="s">
        <v>591</v>
      </c>
      <c r="F69" s="42" t="str">
        <f>VLOOKUP(E69, 'S11 Work Stations'!$A$2:$B$45, 2, 0)</f>
        <v>MIL-V2-602</v>
      </c>
      <c r="G69" s="45">
        <v>420</v>
      </c>
      <c r="H69" s="3">
        <v>200</v>
      </c>
    </row>
    <row r="70" spans="1:8" s="44" customFormat="1" x14ac:dyDescent="0.2">
      <c r="A70" s="214" t="str">
        <f>C70&amp;"-"&amp;E70</f>
        <v>I-010-WS-24</v>
      </c>
      <c r="B70" s="214" t="str">
        <f>C70&amp;"-"&amp;D70</f>
        <v>I-010-50</v>
      </c>
      <c r="C70" s="45" t="s">
        <v>176</v>
      </c>
      <c r="D70" s="45">
        <v>50</v>
      </c>
      <c r="E70" s="45" t="s">
        <v>597</v>
      </c>
      <c r="F70" s="42" t="str">
        <f>VLOOKUP(E70, 'S11 Work Stations'!$A$2:$B$45, 2, 0)</f>
        <v>MIL-V5-608</v>
      </c>
      <c r="G70" s="45">
        <v>360</v>
      </c>
      <c r="H70" s="3">
        <v>200</v>
      </c>
    </row>
    <row r="71" spans="1:8" s="44" customFormat="1" x14ac:dyDescent="0.2">
      <c r="A71" s="214" t="str">
        <f>C71&amp;"-"&amp;E71</f>
        <v>I-010-WS-29</v>
      </c>
      <c r="B71" s="214" t="str">
        <f>C71&amp;"-"&amp;D71</f>
        <v>I-010-60</v>
      </c>
      <c r="C71" s="45" t="s">
        <v>176</v>
      </c>
      <c r="D71" s="45">
        <v>60</v>
      </c>
      <c r="E71" s="45" t="s">
        <v>602</v>
      </c>
      <c r="F71" s="42" t="str">
        <f>VLOOKUP(E71, 'S11 Work Stations'!$A$2:$B$45, 2, 0)</f>
        <v>GR-T11-250</v>
      </c>
      <c r="G71" s="45">
        <v>420</v>
      </c>
      <c r="H71" s="3">
        <v>200</v>
      </c>
    </row>
    <row r="72" spans="1:8" s="44" customFormat="1" x14ac:dyDescent="0.2">
      <c r="A72" s="214" t="str">
        <f>C72&amp;"-"&amp;E72</f>
        <v>I-010-WS-33</v>
      </c>
      <c r="B72" s="214" t="str">
        <f>C72&amp;"-"&amp;D72</f>
        <v>I-010-70</v>
      </c>
      <c r="C72" s="45" t="s">
        <v>176</v>
      </c>
      <c r="D72" s="45">
        <v>70</v>
      </c>
      <c r="E72" s="45" t="s">
        <v>606</v>
      </c>
      <c r="F72" s="42" t="str">
        <f>VLOOKUP(E72, 'S11 Work Stations'!$A$2:$B$45, 2, 0)</f>
        <v>SAW-50-150-252</v>
      </c>
      <c r="G72" s="45">
        <v>180</v>
      </c>
      <c r="H72" s="3">
        <v>200</v>
      </c>
    </row>
    <row r="73" spans="1:8" s="44" customFormat="1" x14ac:dyDescent="0.2">
      <c r="A73" s="214" t="str">
        <f>C73&amp;"-"&amp;E73</f>
        <v>I-010-WS-40</v>
      </c>
      <c r="B73" s="214" t="str">
        <f>C73&amp;"-"&amp;D73</f>
        <v>I-010-20</v>
      </c>
      <c r="C73" s="45" t="s">
        <v>176</v>
      </c>
      <c r="D73" s="45">
        <v>20</v>
      </c>
      <c r="E73" s="45" t="s">
        <v>613</v>
      </c>
      <c r="F73" s="42" t="str">
        <f>VLOOKUP(E73, 'S11 Work Stations'!$A$2:$B$45, 2, 0)</f>
        <v>SAW-CNC-40-425</v>
      </c>
      <c r="G73" s="45">
        <v>120</v>
      </c>
      <c r="H73" s="3">
        <v>200</v>
      </c>
    </row>
    <row r="74" spans="1:8" s="44" customFormat="1" x14ac:dyDescent="0.2">
      <c r="A74" s="214" t="str">
        <f>C74&amp;"-"&amp;E74</f>
        <v>I-010-WS-43</v>
      </c>
      <c r="B74" s="214" t="str">
        <f>C74&amp;"-"&amp;D74</f>
        <v>I-010-10</v>
      </c>
      <c r="C74" s="45" t="s">
        <v>176</v>
      </c>
      <c r="D74" s="45">
        <v>10</v>
      </c>
      <c r="E74" s="45" t="s">
        <v>616</v>
      </c>
      <c r="F74" s="42" t="str">
        <f>VLOOKUP(E74, 'S11 Work Stations'!$A$2:$B$45, 2, 0)</f>
        <v>RAW-MAT-INV</v>
      </c>
      <c r="G74" s="45">
        <v>0</v>
      </c>
      <c r="H74" s="3">
        <v>200</v>
      </c>
    </row>
    <row r="75" spans="1:8" s="44" customFormat="1" x14ac:dyDescent="0.2">
      <c r="A75" s="214" t="str">
        <f>C75&amp;"-"&amp;E75</f>
        <v>I-010-WS-44</v>
      </c>
      <c r="B75" s="214" t="str">
        <f>C75&amp;"-"&amp;D75</f>
        <v>I-010-80</v>
      </c>
      <c r="C75" s="45" t="s">
        <v>176</v>
      </c>
      <c r="D75" s="45">
        <v>80</v>
      </c>
      <c r="E75" s="45" t="s">
        <v>617</v>
      </c>
      <c r="F75" s="42" t="str">
        <f>VLOOKUP(E75, 'S11 Work Stations'!$A$2:$B$45, 2, 0)</f>
        <v>FIN-GOOD-INV</v>
      </c>
      <c r="G75" s="45">
        <v>0</v>
      </c>
      <c r="H75" s="3">
        <v>200</v>
      </c>
    </row>
    <row r="76" spans="1:8" s="44" customFormat="1" x14ac:dyDescent="0.2">
      <c r="A76" s="214" t="str">
        <f>C76&amp;"-"&amp;E76</f>
        <v>I-011-WS-02</v>
      </c>
      <c r="B76" s="214" t="str">
        <f>C76&amp;"-"&amp;D76</f>
        <v>I-011-30</v>
      </c>
      <c r="C76" s="45" t="s">
        <v>512</v>
      </c>
      <c r="D76" s="45">
        <v>30</v>
      </c>
      <c r="E76" s="45" t="s">
        <v>575</v>
      </c>
      <c r="F76" s="42" t="str">
        <f>VLOOKUP(E76, 'S11 Work Stations'!$A$2:$B$45, 2, 0)</f>
        <v>TUR-B2-362</v>
      </c>
      <c r="G76" s="45">
        <v>360</v>
      </c>
      <c r="H76" s="3">
        <v>200</v>
      </c>
    </row>
    <row r="77" spans="1:8" s="44" customFormat="1" x14ac:dyDescent="0.2">
      <c r="A77" s="214" t="str">
        <f>C77&amp;"-"&amp;E77</f>
        <v>I-011-WS-18</v>
      </c>
      <c r="B77" s="214" t="str">
        <f>C77&amp;"-"&amp;D77</f>
        <v>I-011-40</v>
      </c>
      <c r="C77" s="45" t="s">
        <v>512</v>
      </c>
      <c r="D77" s="45">
        <v>40</v>
      </c>
      <c r="E77" s="45" t="s">
        <v>591</v>
      </c>
      <c r="F77" s="42" t="str">
        <f>VLOOKUP(E77, 'S11 Work Stations'!$A$2:$B$45, 2, 0)</f>
        <v>MIL-V2-602</v>
      </c>
      <c r="G77" s="45">
        <v>420</v>
      </c>
      <c r="H77" s="3">
        <v>200</v>
      </c>
    </row>
    <row r="78" spans="1:8" s="44" customFormat="1" x14ac:dyDescent="0.2">
      <c r="A78" s="214" t="str">
        <f>C78&amp;"-"&amp;E78</f>
        <v>I-011-WS-29</v>
      </c>
      <c r="B78" s="214" t="str">
        <f>C78&amp;"-"&amp;D78</f>
        <v>I-011-50</v>
      </c>
      <c r="C78" s="45" t="s">
        <v>512</v>
      </c>
      <c r="D78" s="45">
        <v>50</v>
      </c>
      <c r="E78" s="45" t="s">
        <v>602</v>
      </c>
      <c r="F78" s="42" t="str">
        <f>VLOOKUP(E78, 'S11 Work Stations'!$A$2:$B$45, 2, 0)</f>
        <v>GR-T11-250</v>
      </c>
      <c r="G78" s="45">
        <v>420</v>
      </c>
      <c r="H78" s="3">
        <v>200</v>
      </c>
    </row>
    <row r="79" spans="1:8" s="44" customFormat="1" x14ac:dyDescent="0.2">
      <c r="A79" s="214" t="str">
        <f>C79&amp;"-"&amp;E79</f>
        <v>I-011-WS-33</v>
      </c>
      <c r="B79" s="214" t="str">
        <f>C79&amp;"-"&amp;D79</f>
        <v>I-011-60</v>
      </c>
      <c r="C79" s="45" t="s">
        <v>512</v>
      </c>
      <c r="D79" s="45">
        <v>60</v>
      </c>
      <c r="E79" s="45" t="s">
        <v>606</v>
      </c>
      <c r="F79" s="42" t="str">
        <f>VLOOKUP(E79, 'S11 Work Stations'!$A$2:$B$45, 2, 0)</f>
        <v>SAW-50-150-252</v>
      </c>
      <c r="G79" s="45">
        <v>180</v>
      </c>
      <c r="H79" s="3">
        <v>200</v>
      </c>
    </row>
    <row r="80" spans="1:8" s="44" customFormat="1" x14ac:dyDescent="0.2">
      <c r="A80" s="214" t="str">
        <f>C80&amp;"-"&amp;E80</f>
        <v>I-011-WS-40</v>
      </c>
      <c r="B80" s="214" t="str">
        <f>C80&amp;"-"&amp;D80</f>
        <v>I-011-20</v>
      </c>
      <c r="C80" s="45" t="s">
        <v>512</v>
      </c>
      <c r="D80" s="45">
        <v>20</v>
      </c>
      <c r="E80" s="45" t="s">
        <v>613</v>
      </c>
      <c r="F80" s="42" t="str">
        <f>VLOOKUP(E80, 'S11 Work Stations'!$A$2:$B$45, 2, 0)</f>
        <v>SAW-CNC-40-425</v>
      </c>
      <c r="G80" s="45">
        <v>120</v>
      </c>
      <c r="H80" s="3">
        <v>200</v>
      </c>
    </row>
    <row r="81" spans="1:8" s="44" customFormat="1" x14ac:dyDescent="0.2">
      <c r="A81" s="214" t="str">
        <f>C81&amp;"-"&amp;E81</f>
        <v>I-011-WS-43</v>
      </c>
      <c r="B81" s="214" t="str">
        <f>C81&amp;"-"&amp;D81</f>
        <v>I-011-10</v>
      </c>
      <c r="C81" s="45" t="s">
        <v>512</v>
      </c>
      <c r="D81" s="45">
        <v>10</v>
      </c>
      <c r="E81" s="45" t="s">
        <v>616</v>
      </c>
      <c r="F81" s="42" t="str">
        <f>VLOOKUP(E81, 'S11 Work Stations'!$A$2:$B$45, 2, 0)</f>
        <v>RAW-MAT-INV</v>
      </c>
      <c r="G81" s="45">
        <v>0</v>
      </c>
      <c r="H81" s="3">
        <v>200</v>
      </c>
    </row>
    <row r="82" spans="1:8" s="44" customFormat="1" x14ac:dyDescent="0.2">
      <c r="A82" s="214" t="str">
        <f>C82&amp;"-"&amp;E82</f>
        <v>I-011-WS-44</v>
      </c>
      <c r="B82" s="214" t="str">
        <f>C82&amp;"-"&amp;D82</f>
        <v>I-011-70</v>
      </c>
      <c r="C82" s="45" t="s">
        <v>512</v>
      </c>
      <c r="D82" s="45">
        <v>70</v>
      </c>
      <c r="E82" s="45" t="s">
        <v>617</v>
      </c>
      <c r="F82" s="42" t="str">
        <f>VLOOKUP(E82, 'S11 Work Stations'!$A$2:$B$45, 2, 0)</f>
        <v>FIN-GOOD-INV</v>
      </c>
      <c r="G82" s="45">
        <v>0</v>
      </c>
      <c r="H82" s="3">
        <v>200</v>
      </c>
    </row>
    <row r="83" spans="1:8" s="44" customFormat="1" x14ac:dyDescent="0.2">
      <c r="A83" s="214" t="str">
        <f>C83&amp;"-"&amp;E83</f>
        <v>I-012-WS-07</v>
      </c>
      <c r="B83" s="214" t="str">
        <f>C83&amp;"-"&amp;D83</f>
        <v>I-012-30</v>
      </c>
      <c r="C83" s="45" t="s">
        <v>190</v>
      </c>
      <c r="D83" s="45">
        <v>30</v>
      </c>
      <c r="E83" s="45" t="s">
        <v>580</v>
      </c>
      <c r="F83" s="42" t="str">
        <f>VLOOKUP(E83, 'S11 Work Stations'!$A$2:$B$45, 2, 0)</f>
        <v>TUR-C2-367</v>
      </c>
      <c r="G83" s="45">
        <v>600</v>
      </c>
      <c r="H83" s="3">
        <v>200</v>
      </c>
    </row>
    <row r="84" spans="1:8" s="44" customFormat="1" x14ac:dyDescent="0.2">
      <c r="A84" s="214" t="str">
        <f>C84&amp;"-"&amp;E84</f>
        <v>I-012-WS-08</v>
      </c>
      <c r="B84" s="214" t="str">
        <f>C84&amp;"-"&amp;D84</f>
        <v>I-012-40</v>
      </c>
      <c r="C84" s="45" t="s">
        <v>190</v>
      </c>
      <c r="D84" s="45">
        <v>40</v>
      </c>
      <c r="E84" s="45" t="s">
        <v>581</v>
      </c>
      <c r="F84" s="42" t="str">
        <f>VLOOKUP(E84, 'S11 Work Stations'!$A$2:$B$45, 2, 0)</f>
        <v>MIL-10-150-401</v>
      </c>
      <c r="G84" s="45">
        <v>120</v>
      </c>
      <c r="H84" s="3">
        <v>200</v>
      </c>
    </row>
    <row r="85" spans="1:8" s="44" customFormat="1" x14ac:dyDescent="0.2">
      <c r="A85" s="214" t="str">
        <f>C85&amp;"-"&amp;E85</f>
        <v>I-012-WS-20</v>
      </c>
      <c r="B85" s="214" t="str">
        <f>C85&amp;"-"&amp;D85</f>
        <v>I-012-50</v>
      </c>
      <c r="C85" s="45" t="s">
        <v>190</v>
      </c>
      <c r="D85" s="45">
        <v>50</v>
      </c>
      <c r="E85" s="45" t="s">
        <v>593</v>
      </c>
      <c r="F85" s="42" t="str">
        <f>VLOOKUP(E85, 'S11 Work Stations'!$A$2:$B$45, 2, 0)</f>
        <v>MIL-H21-604</v>
      </c>
      <c r="G85" s="45">
        <v>1140</v>
      </c>
      <c r="H85" s="3">
        <v>200</v>
      </c>
    </row>
    <row r="86" spans="1:8" s="44" customFormat="1" x14ac:dyDescent="0.2">
      <c r="A86" s="214" t="str">
        <f>C86&amp;"-"&amp;E86</f>
        <v>I-012-WS-26</v>
      </c>
      <c r="B86" s="214" t="str">
        <f>C86&amp;"-"&amp;D86</f>
        <v>I-012-60</v>
      </c>
      <c r="C86" s="45" t="s">
        <v>190</v>
      </c>
      <c r="D86" s="45">
        <v>60</v>
      </c>
      <c r="E86" s="45" t="s">
        <v>599</v>
      </c>
      <c r="F86" s="42" t="str">
        <f>VLOOKUP(E86, 'S11 Work Stations'!$A$2:$B$45, 2, 0)</f>
        <v>DR-2A2-202</v>
      </c>
      <c r="G86" s="45">
        <v>120</v>
      </c>
      <c r="H86" s="3">
        <v>200</v>
      </c>
    </row>
    <row r="87" spans="1:8" s="44" customFormat="1" x14ac:dyDescent="0.2">
      <c r="A87" s="214" t="str">
        <f>C87&amp;"-"&amp;E87</f>
        <v>I-012-WS-32</v>
      </c>
      <c r="B87" s="214" t="str">
        <f>C87&amp;"-"&amp;D87</f>
        <v>I-012-70</v>
      </c>
      <c r="C87" s="45" t="s">
        <v>190</v>
      </c>
      <c r="D87" s="45">
        <v>70</v>
      </c>
      <c r="E87" s="45" t="s">
        <v>605</v>
      </c>
      <c r="F87" s="42" t="str">
        <f>VLOOKUP(E87, 'S11 Work Stations'!$A$2:$B$45, 2, 0)</f>
        <v>SAW-30-150-251</v>
      </c>
      <c r="G87" s="45">
        <v>360</v>
      </c>
      <c r="H87" s="3">
        <v>200</v>
      </c>
    </row>
    <row r="88" spans="1:8" s="44" customFormat="1" x14ac:dyDescent="0.2">
      <c r="A88" s="214" t="str">
        <f>C88&amp;"-"&amp;E88</f>
        <v>I-012-WS-40</v>
      </c>
      <c r="B88" s="214" t="str">
        <f>C88&amp;"-"&amp;D88</f>
        <v>I-012-20</v>
      </c>
      <c r="C88" s="45" t="s">
        <v>190</v>
      </c>
      <c r="D88" s="45">
        <v>20</v>
      </c>
      <c r="E88" s="45" t="s">
        <v>613</v>
      </c>
      <c r="F88" s="42" t="str">
        <f>VLOOKUP(E88, 'S11 Work Stations'!$A$2:$B$45, 2, 0)</f>
        <v>SAW-CNC-40-425</v>
      </c>
      <c r="G88" s="45">
        <v>120</v>
      </c>
      <c r="H88" s="3">
        <v>200</v>
      </c>
    </row>
    <row r="89" spans="1:8" s="44" customFormat="1" x14ac:dyDescent="0.2">
      <c r="A89" s="214" t="str">
        <f>C89&amp;"-"&amp;E89</f>
        <v>I-012-WS-43</v>
      </c>
      <c r="B89" s="214" t="str">
        <f>C89&amp;"-"&amp;D89</f>
        <v>I-012-10</v>
      </c>
      <c r="C89" s="45" t="s">
        <v>190</v>
      </c>
      <c r="D89" s="45">
        <v>10</v>
      </c>
      <c r="E89" s="45" t="s">
        <v>616</v>
      </c>
      <c r="F89" s="42" t="str">
        <f>VLOOKUP(E89, 'S11 Work Stations'!$A$2:$B$45, 2, 0)</f>
        <v>RAW-MAT-INV</v>
      </c>
      <c r="G89" s="45">
        <v>0</v>
      </c>
      <c r="H89" s="3">
        <v>200</v>
      </c>
    </row>
    <row r="90" spans="1:8" s="44" customFormat="1" x14ac:dyDescent="0.2">
      <c r="A90" s="214" t="str">
        <f>C90&amp;"-"&amp;E90</f>
        <v>I-012-WS-44</v>
      </c>
      <c r="B90" s="214" t="str">
        <f>C90&amp;"-"&amp;D90</f>
        <v>I-012-80</v>
      </c>
      <c r="C90" s="45" t="s">
        <v>190</v>
      </c>
      <c r="D90" s="45">
        <v>80</v>
      </c>
      <c r="E90" s="45" t="s">
        <v>617</v>
      </c>
      <c r="F90" s="42" t="str">
        <f>VLOOKUP(E90, 'S11 Work Stations'!$A$2:$B$45, 2, 0)</f>
        <v>FIN-GOOD-INV</v>
      </c>
      <c r="G90" s="45">
        <v>0</v>
      </c>
      <c r="H90" s="3">
        <v>200</v>
      </c>
    </row>
    <row r="91" spans="1:8" s="44" customFormat="1" x14ac:dyDescent="0.2">
      <c r="A91" s="214" t="str">
        <f>C91&amp;"-"&amp;E91</f>
        <v>I-013-WS-09</v>
      </c>
      <c r="B91" s="214" t="str">
        <f>C91&amp;"-"&amp;D91</f>
        <v>I-013-30</v>
      </c>
      <c r="C91" s="45" t="s">
        <v>513</v>
      </c>
      <c r="D91" s="45">
        <v>30</v>
      </c>
      <c r="E91" s="45" t="s">
        <v>582</v>
      </c>
      <c r="F91" s="42" t="str">
        <f>VLOOKUP(E91, 'S11 Work Stations'!$A$2:$B$45, 2, 0)</f>
        <v>TUR-20-120-402</v>
      </c>
      <c r="G91" s="45">
        <v>920</v>
      </c>
      <c r="H91" s="3">
        <v>200</v>
      </c>
    </row>
    <row r="92" spans="1:8" s="44" customFormat="1" x14ac:dyDescent="0.2">
      <c r="A92" s="214" t="str">
        <f>C92&amp;"-"&amp;E92</f>
        <v>I-013-WS-21</v>
      </c>
      <c r="B92" s="214" t="str">
        <f>C92&amp;"-"&amp;D92</f>
        <v>I-013-40</v>
      </c>
      <c r="C92" s="45" t="s">
        <v>513</v>
      </c>
      <c r="D92" s="45">
        <v>40</v>
      </c>
      <c r="E92" s="45" t="s">
        <v>594</v>
      </c>
      <c r="F92" s="42" t="str">
        <f>VLOOKUP(E92, 'S11 Work Stations'!$A$2:$B$45, 2, 0)</f>
        <v>MIL-U1-605</v>
      </c>
      <c r="G92" s="45">
        <v>360</v>
      </c>
      <c r="H92" s="3">
        <v>200</v>
      </c>
    </row>
    <row r="93" spans="1:8" s="44" customFormat="1" x14ac:dyDescent="0.2">
      <c r="A93" s="214" t="str">
        <f>C93&amp;"-"&amp;E93</f>
        <v>I-013-WS-30</v>
      </c>
      <c r="B93" s="214" t="str">
        <f>C93&amp;"-"&amp;D93</f>
        <v>I-013-50</v>
      </c>
      <c r="C93" s="45" t="s">
        <v>513</v>
      </c>
      <c r="D93" s="45">
        <v>50</v>
      </c>
      <c r="E93" s="45" t="s">
        <v>603</v>
      </c>
      <c r="F93" s="42" t="str">
        <f>VLOOKUP(E93, 'S11 Work Stations'!$A$2:$B$45, 2, 0)</f>
        <v>DR-3A-206</v>
      </c>
      <c r="G93" s="45">
        <v>360</v>
      </c>
      <c r="H93" s="3">
        <v>200</v>
      </c>
    </row>
    <row r="94" spans="1:8" s="44" customFormat="1" x14ac:dyDescent="0.2">
      <c r="A94" s="214" t="str">
        <f>C94&amp;"-"&amp;E94</f>
        <v>I-013-WS-34</v>
      </c>
      <c r="B94" s="214" t="str">
        <f>C94&amp;"-"&amp;D94</f>
        <v>I-013-60</v>
      </c>
      <c r="C94" s="45" t="s">
        <v>513</v>
      </c>
      <c r="D94" s="45">
        <v>60</v>
      </c>
      <c r="E94" s="45" t="s">
        <v>607</v>
      </c>
      <c r="F94" s="42" t="str">
        <f>VLOOKUP(E94, 'S11 Work Stations'!$A$2:$B$45, 2, 0)</f>
        <v>SAW-30-160-252</v>
      </c>
      <c r="G94" s="45">
        <v>540</v>
      </c>
      <c r="H94" s="3">
        <v>200</v>
      </c>
    </row>
    <row r="95" spans="1:8" s="44" customFormat="1" x14ac:dyDescent="0.2">
      <c r="A95" s="214" t="str">
        <f>C95&amp;"-"&amp;E95</f>
        <v>I-013-WS-37</v>
      </c>
      <c r="B95" s="214" t="str">
        <f>C95&amp;"-"&amp;D95</f>
        <v>I-013-20</v>
      </c>
      <c r="C95" s="45" t="s">
        <v>513</v>
      </c>
      <c r="D95" s="45">
        <v>20</v>
      </c>
      <c r="E95" s="45" t="s">
        <v>610</v>
      </c>
      <c r="F95" s="42" t="str">
        <f>VLOOKUP(E95, 'S11 Work Stations'!$A$2:$B$45, 2, 0)</f>
        <v>SAW-50-422</v>
      </c>
      <c r="G95" s="45">
        <v>120</v>
      </c>
      <c r="H95" s="3">
        <v>200</v>
      </c>
    </row>
    <row r="96" spans="1:8" s="44" customFormat="1" x14ac:dyDescent="0.2">
      <c r="A96" s="214" t="str">
        <f>C96&amp;"-"&amp;E96</f>
        <v>I-013-WS-43</v>
      </c>
      <c r="B96" s="214" t="str">
        <f>C96&amp;"-"&amp;D96</f>
        <v>I-013-10</v>
      </c>
      <c r="C96" s="45" t="s">
        <v>513</v>
      </c>
      <c r="D96" s="45">
        <v>10</v>
      </c>
      <c r="E96" s="45" t="s">
        <v>616</v>
      </c>
      <c r="F96" s="42" t="str">
        <f>VLOOKUP(E96, 'S11 Work Stations'!$A$2:$B$45, 2, 0)</f>
        <v>RAW-MAT-INV</v>
      </c>
      <c r="G96" s="45">
        <v>0</v>
      </c>
      <c r="H96" s="3">
        <v>200</v>
      </c>
    </row>
    <row r="97" spans="1:8" s="44" customFormat="1" x14ac:dyDescent="0.2">
      <c r="A97" s="214" t="str">
        <f>C97&amp;"-"&amp;E97</f>
        <v>I-013-WS-44</v>
      </c>
      <c r="B97" s="214" t="str">
        <f>C97&amp;"-"&amp;D97</f>
        <v>I-013-70</v>
      </c>
      <c r="C97" s="45" t="s">
        <v>513</v>
      </c>
      <c r="D97" s="45">
        <v>70</v>
      </c>
      <c r="E97" s="45" t="s">
        <v>617</v>
      </c>
      <c r="F97" s="42" t="str">
        <f>VLOOKUP(E97, 'S11 Work Stations'!$A$2:$B$45, 2, 0)</f>
        <v>FIN-GOOD-INV</v>
      </c>
      <c r="G97" s="45">
        <v>0</v>
      </c>
      <c r="H97" s="3">
        <v>200</v>
      </c>
    </row>
    <row r="98" spans="1:8" s="44" customFormat="1" x14ac:dyDescent="0.2">
      <c r="A98" s="214" t="str">
        <f>C98&amp;"-"&amp;E98</f>
        <v>I-014-WS-11</v>
      </c>
      <c r="B98" s="214" t="str">
        <f>C98&amp;"-"&amp;D98</f>
        <v>I-014-30</v>
      </c>
      <c r="C98" s="45" t="s">
        <v>514</v>
      </c>
      <c r="D98" s="45">
        <v>30</v>
      </c>
      <c r="E98" s="45" t="s">
        <v>584</v>
      </c>
      <c r="F98" s="42" t="str">
        <f>VLOOKUP(E98, 'S11 Work Stations'!$A$2:$B$45, 2, 0)</f>
        <v>TUR-40-100-404</v>
      </c>
      <c r="G98" s="45">
        <v>600</v>
      </c>
      <c r="H98" s="3">
        <v>200</v>
      </c>
    </row>
    <row r="99" spans="1:8" s="44" customFormat="1" x14ac:dyDescent="0.2">
      <c r="A99" s="214" t="str">
        <f>C99&amp;"-"&amp;E99</f>
        <v>I-014-WS-21</v>
      </c>
      <c r="B99" s="214" t="str">
        <f>C99&amp;"-"&amp;D99</f>
        <v>I-014-40</v>
      </c>
      <c r="C99" s="45" t="s">
        <v>514</v>
      </c>
      <c r="D99" s="45">
        <v>40</v>
      </c>
      <c r="E99" s="45" t="s">
        <v>594</v>
      </c>
      <c r="F99" s="42" t="str">
        <f>VLOOKUP(E99, 'S11 Work Stations'!$A$2:$B$45, 2, 0)</f>
        <v>MIL-U1-605</v>
      </c>
      <c r="G99" s="45">
        <v>540</v>
      </c>
      <c r="H99" s="3">
        <v>200</v>
      </c>
    </row>
    <row r="100" spans="1:8" s="44" customFormat="1" x14ac:dyDescent="0.2">
      <c r="A100" s="214" t="str">
        <f>C100&amp;"-"&amp;E100</f>
        <v>I-014-WS-30</v>
      </c>
      <c r="B100" s="214" t="str">
        <f>C100&amp;"-"&amp;D100</f>
        <v>I-014-50</v>
      </c>
      <c r="C100" s="45" t="s">
        <v>514</v>
      </c>
      <c r="D100" s="45">
        <v>50</v>
      </c>
      <c r="E100" s="45" t="s">
        <v>603</v>
      </c>
      <c r="F100" s="42" t="str">
        <f>VLOOKUP(E100, 'S11 Work Stations'!$A$2:$B$45, 2, 0)</f>
        <v>DR-3A-206</v>
      </c>
      <c r="G100" s="45">
        <v>360</v>
      </c>
      <c r="H100" s="3">
        <v>200</v>
      </c>
    </row>
    <row r="101" spans="1:8" s="44" customFormat="1" x14ac:dyDescent="0.2">
      <c r="A101" s="214" t="str">
        <f>C101&amp;"-"&amp;E101</f>
        <v>I-014-WS-34</v>
      </c>
      <c r="B101" s="214" t="str">
        <f>C101&amp;"-"&amp;D101</f>
        <v>I-014-60</v>
      </c>
      <c r="C101" s="45" t="s">
        <v>514</v>
      </c>
      <c r="D101" s="45">
        <v>60</v>
      </c>
      <c r="E101" s="45" t="s">
        <v>607</v>
      </c>
      <c r="F101" s="42" t="str">
        <f>VLOOKUP(E101, 'S11 Work Stations'!$A$2:$B$45, 2, 0)</f>
        <v>SAW-30-160-252</v>
      </c>
      <c r="G101" s="45">
        <v>540</v>
      </c>
      <c r="H101" s="3">
        <v>200</v>
      </c>
    </row>
    <row r="102" spans="1:8" s="44" customFormat="1" x14ac:dyDescent="0.2">
      <c r="A102" s="214" t="str">
        <f>C102&amp;"-"&amp;E102</f>
        <v>I-014-WS-37</v>
      </c>
      <c r="B102" s="214" t="str">
        <f>C102&amp;"-"&amp;D102</f>
        <v>I-014-20</v>
      </c>
      <c r="C102" s="45" t="s">
        <v>514</v>
      </c>
      <c r="D102" s="45">
        <v>20</v>
      </c>
      <c r="E102" s="45" t="s">
        <v>610</v>
      </c>
      <c r="F102" s="42" t="str">
        <f>VLOOKUP(E102, 'S11 Work Stations'!$A$2:$B$45, 2, 0)</f>
        <v>SAW-50-422</v>
      </c>
      <c r="G102" s="45">
        <v>120</v>
      </c>
      <c r="H102" s="3">
        <v>200</v>
      </c>
    </row>
    <row r="103" spans="1:8" s="44" customFormat="1" x14ac:dyDescent="0.2">
      <c r="A103" s="214" t="str">
        <f>C103&amp;"-"&amp;E103</f>
        <v>I-014-WS-43</v>
      </c>
      <c r="B103" s="214" t="str">
        <f>C103&amp;"-"&amp;D103</f>
        <v>I-014-10</v>
      </c>
      <c r="C103" s="45" t="s">
        <v>514</v>
      </c>
      <c r="D103" s="45">
        <v>10</v>
      </c>
      <c r="E103" s="45" t="s">
        <v>616</v>
      </c>
      <c r="F103" s="42" t="str">
        <f>VLOOKUP(E103, 'S11 Work Stations'!$A$2:$B$45, 2, 0)</f>
        <v>RAW-MAT-INV</v>
      </c>
      <c r="G103" s="45">
        <v>0</v>
      </c>
      <c r="H103" s="3">
        <v>200</v>
      </c>
    </row>
    <row r="104" spans="1:8" s="44" customFormat="1" x14ac:dyDescent="0.2">
      <c r="A104" s="214" t="str">
        <f>C104&amp;"-"&amp;E104</f>
        <v>I-014-WS-44</v>
      </c>
      <c r="B104" s="214" t="str">
        <f>C104&amp;"-"&amp;D104</f>
        <v>I-014-70</v>
      </c>
      <c r="C104" s="45" t="s">
        <v>514</v>
      </c>
      <c r="D104" s="45">
        <v>70</v>
      </c>
      <c r="E104" s="45" t="s">
        <v>617</v>
      </c>
      <c r="F104" s="42" t="str">
        <f>VLOOKUP(E104, 'S11 Work Stations'!$A$2:$B$45, 2, 0)</f>
        <v>FIN-GOOD-INV</v>
      </c>
      <c r="G104" s="45">
        <v>0</v>
      </c>
      <c r="H104" s="3">
        <v>200</v>
      </c>
    </row>
    <row r="105" spans="1:8" s="44" customFormat="1" x14ac:dyDescent="0.2">
      <c r="A105" s="214" t="str">
        <f>C105&amp;"-"&amp;E105</f>
        <v>I-015-WS-11</v>
      </c>
      <c r="B105" s="214" t="str">
        <f>C105&amp;"-"&amp;D105</f>
        <v>I-015-30</v>
      </c>
      <c r="C105" s="45" t="s">
        <v>515</v>
      </c>
      <c r="D105" s="45">
        <v>30</v>
      </c>
      <c r="E105" s="45" t="s">
        <v>584</v>
      </c>
      <c r="F105" s="42" t="str">
        <f>VLOOKUP(E105, 'S11 Work Stations'!$A$2:$B$45, 2, 0)</f>
        <v>TUR-40-100-404</v>
      </c>
      <c r="G105" s="45">
        <v>600</v>
      </c>
      <c r="H105" s="3">
        <v>200</v>
      </c>
    </row>
    <row r="106" spans="1:8" s="44" customFormat="1" x14ac:dyDescent="0.2">
      <c r="A106" s="214" t="str">
        <f>C106&amp;"-"&amp;E106</f>
        <v>I-015-WS-21</v>
      </c>
      <c r="B106" s="214" t="str">
        <f>C106&amp;"-"&amp;D106</f>
        <v>I-015-40</v>
      </c>
      <c r="C106" s="45" t="s">
        <v>515</v>
      </c>
      <c r="D106" s="45">
        <v>40</v>
      </c>
      <c r="E106" s="45" t="s">
        <v>594</v>
      </c>
      <c r="F106" s="42" t="str">
        <f>VLOOKUP(E106, 'S11 Work Stations'!$A$2:$B$45, 2, 0)</f>
        <v>MIL-U1-605</v>
      </c>
      <c r="G106" s="45">
        <v>540</v>
      </c>
      <c r="H106" s="3">
        <v>200</v>
      </c>
    </row>
    <row r="107" spans="1:8" s="44" customFormat="1" x14ac:dyDescent="0.2">
      <c r="A107" s="214" t="str">
        <f>C107&amp;"-"&amp;E107</f>
        <v>I-015-WS-30</v>
      </c>
      <c r="B107" s="214" t="str">
        <f>C107&amp;"-"&amp;D107</f>
        <v>I-015-50</v>
      </c>
      <c r="C107" s="45" t="s">
        <v>515</v>
      </c>
      <c r="D107" s="45">
        <v>50</v>
      </c>
      <c r="E107" s="45" t="s">
        <v>603</v>
      </c>
      <c r="F107" s="42" t="str">
        <f>VLOOKUP(E107, 'S11 Work Stations'!$A$2:$B$45, 2, 0)</f>
        <v>DR-3A-206</v>
      </c>
      <c r="G107" s="45">
        <v>420</v>
      </c>
      <c r="H107" s="3">
        <v>200</v>
      </c>
    </row>
    <row r="108" spans="1:8" s="44" customFormat="1" x14ac:dyDescent="0.2">
      <c r="A108" s="214" t="str">
        <f>C108&amp;"-"&amp;E108</f>
        <v>I-015-WS-34</v>
      </c>
      <c r="B108" s="214" t="str">
        <f>C108&amp;"-"&amp;D108</f>
        <v>I-015-60</v>
      </c>
      <c r="C108" s="45" t="s">
        <v>515</v>
      </c>
      <c r="D108" s="45">
        <v>60</v>
      </c>
      <c r="E108" s="45" t="s">
        <v>607</v>
      </c>
      <c r="F108" s="42" t="str">
        <f>VLOOKUP(E108, 'S11 Work Stations'!$A$2:$B$45, 2, 0)</f>
        <v>SAW-30-160-252</v>
      </c>
      <c r="G108" s="45">
        <v>480</v>
      </c>
      <c r="H108" s="3">
        <v>200</v>
      </c>
    </row>
    <row r="109" spans="1:8" s="44" customFormat="1" x14ac:dyDescent="0.2">
      <c r="A109" s="214" t="str">
        <f>C109&amp;"-"&amp;E109</f>
        <v>I-015-WS-37</v>
      </c>
      <c r="B109" s="214" t="str">
        <f>C109&amp;"-"&amp;D109</f>
        <v>I-015-20</v>
      </c>
      <c r="C109" s="45" t="s">
        <v>515</v>
      </c>
      <c r="D109" s="45">
        <v>20</v>
      </c>
      <c r="E109" s="45" t="s">
        <v>610</v>
      </c>
      <c r="F109" s="42" t="str">
        <f>VLOOKUP(E109, 'S11 Work Stations'!$A$2:$B$45, 2, 0)</f>
        <v>SAW-50-422</v>
      </c>
      <c r="G109" s="45">
        <v>120</v>
      </c>
      <c r="H109" s="3">
        <v>200</v>
      </c>
    </row>
    <row r="110" spans="1:8" s="44" customFormat="1" x14ac:dyDescent="0.2">
      <c r="A110" s="214" t="str">
        <f>C110&amp;"-"&amp;E110</f>
        <v>I-015-WS-43</v>
      </c>
      <c r="B110" s="214" t="str">
        <f>C110&amp;"-"&amp;D110</f>
        <v>I-015-10</v>
      </c>
      <c r="C110" s="45" t="s">
        <v>515</v>
      </c>
      <c r="D110" s="45">
        <v>10</v>
      </c>
      <c r="E110" s="45" t="s">
        <v>616</v>
      </c>
      <c r="F110" s="42" t="str">
        <f>VLOOKUP(E110, 'S11 Work Stations'!$A$2:$B$45, 2, 0)</f>
        <v>RAW-MAT-INV</v>
      </c>
      <c r="G110" s="45">
        <v>0</v>
      </c>
      <c r="H110" s="3">
        <v>200</v>
      </c>
    </row>
    <row r="111" spans="1:8" s="44" customFormat="1" x14ac:dyDescent="0.2">
      <c r="A111" s="214" t="str">
        <f>C111&amp;"-"&amp;E111</f>
        <v>I-015-WS-44</v>
      </c>
      <c r="B111" s="214" t="str">
        <f>C111&amp;"-"&amp;D111</f>
        <v>I-015-70</v>
      </c>
      <c r="C111" s="45" t="s">
        <v>515</v>
      </c>
      <c r="D111" s="45">
        <v>70</v>
      </c>
      <c r="E111" s="45" t="s">
        <v>617</v>
      </c>
      <c r="F111" s="42" t="str">
        <f>VLOOKUP(E111, 'S11 Work Stations'!$A$2:$B$45, 2, 0)</f>
        <v>FIN-GOOD-INV</v>
      </c>
      <c r="G111" s="45">
        <v>0</v>
      </c>
      <c r="H111" s="3">
        <v>200</v>
      </c>
    </row>
    <row r="112" spans="1:8" s="44" customFormat="1" x14ac:dyDescent="0.2">
      <c r="A112" s="214" t="str">
        <f>C112&amp;"-"&amp;E112</f>
        <v>I-016-WS-11</v>
      </c>
      <c r="B112" s="214" t="str">
        <f>C112&amp;"-"&amp;D112</f>
        <v>I-016-30</v>
      </c>
      <c r="C112" s="45" t="s">
        <v>516</v>
      </c>
      <c r="D112" s="45">
        <v>30</v>
      </c>
      <c r="E112" s="45" t="s">
        <v>584</v>
      </c>
      <c r="F112" s="42" t="str">
        <f>VLOOKUP(E112, 'S11 Work Stations'!$A$2:$B$45, 2, 0)</f>
        <v>TUR-40-100-404</v>
      </c>
      <c r="G112" s="45">
        <v>600</v>
      </c>
      <c r="H112" s="3">
        <v>200</v>
      </c>
    </row>
    <row r="113" spans="1:8" s="44" customFormat="1" x14ac:dyDescent="0.2">
      <c r="A113" s="214" t="str">
        <f>C113&amp;"-"&amp;E113</f>
        <v>I-016-WS-22</v>
      </c>
      <c r="B113" s="214" t="str">
        <f>C113&amp;"-"&amp;D113</f>
        <v>I-016-40</v>
      </c>
      <c r="C113" s="45" t="s">
        <v>516</v>
      </c>
      <c r="D113" s="45">
        <v>40</v>
      </c>
      <c r="E113" s="45" t="s">
        <v>595</v>
      </c>
      <c r="F113" s="42" t="str">
        <f>VLOOKUP(E113, 'S11 Work Stations'!$A$2:$B$45, 2, 0)</f>
        <v>MIL-H2-606</v>
      </c>
      <c r="G113" s="45">
        <v>1020</v>
      </c>
      <c r="H113" s="3">
        <v>200</v>
      </c>
    </row>
    <row r="114" spans="1:8" s="44" customFormat="1" x14ac:dyDescent="0.2">
      <c r="A114" s="214" t="str">
        <f>C114&amp;"-"&amp;E114</f>
        <v>I-016-WS-30</v>
      </c>
      <c r="B114" s="214" t="str">
        <f>C114&amp;"-"&amp;D114</f>
        <v>I-016-50</v>
      </c>
      <c r="C114" s="45" t="s">
        <v>516</v>
      </c>
      <c r="D114" s="45">
        <v>50</v>
      </c>
      <c r="E114" s="45" t="s">
        <v>603</v>
      </c>
      <c r="F114" s="42" t="str">
        <f>VLOOKUP(E114, 'S11 Work Stations'!$A$2:$B$45, 2, 0)</f>
        <v>DR-3A-206</v>
      </c>
      <c r="G114" s="45">
        <v>420</v>
      </c>
      <c r="H114" s="3">
        <v>200</v>
      </c>
    </row>
    <row r="115" spans="1:8" s="44" customFormat="1" x14ac:dyDescent="0.2">
      <c r="A115" s="214" t="str">
        <f>C115&amp;"-"&amp;E115</f>
        <v>I-016-WS-34</v>
      </c>
      <c r="B115" s="214" t="str">
        <f>C115&amp;"-"&amp;D115</f>
        <v>I-016-60</v>
      </c>
      <c r="C115" s="45" t="s">
        <v>516</v>
      </c>
      <c r="D115" s="45">
        <v>60</v>
      </c>
      <c r="E115" s="45" t="s">
        <v>607</v>
      </c>
      <c r="F115" s="42" t="str">
        <f>VLOOKUP(E115, 'S11 Work Stations'!$A$2:$B$45, 2, 0)</f>
        <v>SAW-30-160-252</v>
      </c>
      <c r="G115" s="45">
        <v>420</v>
      </c>
      <c r="H115" s="3">
        <v>200</v>
      </c>
    </row>
    <row r="116" spans="1:8" s="44" customFormat="1" x14ac:dyDescent="0.2">
      <c r="A116" s="214" t="str">
        <f>C116&amp;"-"&amp;E116</f>
        <v>I-016-WS-37</v>
      </c>
      <c r="B116" s="214" t="str">
        <f>C116&amp;"-"&amp;D116</f>
        <v>I-016-20</v>
      </c>
      <c r="C116" s="45" t="s">
        <v>516</v>
      </c>
      <c r="D116" s="45">
        <v>20</v>
      </c>
      <c r="E116" s="45" t="s">
        <v>610</v>
      </c>
      <c r="F116" s="42" t="str">
        <f>VLOOKUP(E116, 'S11 Work Stations'!$A$2:$B$45, 2, 0)</f>
        <v>SAW-50-422</v>
      </c>
      <c r="G116" s="45">
        <v>120</v>
      </c>
      <c r="H116" s="3">
        <v>200</v>
      </c>
    </row>
    <row r="117" spans="1:8" s="44" customFormat="1" x14ac:dyDescent="0.2">
      <c r="A117" s="214" t="str">
        <f>C117&amp;"-"&amp;E117</f>
        <v>I-016-WS-43</v>
      </c>
      <c r="B117" s="214" t="str">
        <f>C117&amp;"-"&amp;D117</f>
        <v>I-016-10</v>
      </c>
      <c r="C117" s="45" t="s">
        <v>516</v>
      </c>
      <c r="D117" s="45">
        <v>10</v>
      </c>
      <c r="E117" s="45" t="s">
        <v>616</v>
      </c>
      <c r="F117" s="42" t="str">
        <f>VLOOKUP(E117, 'S11 Work Stations'!$A$2:$B$45, 2, 0)</f>
        <v>RAW-MAT-INV</v>
      </c>
      <c r="G117" s="45">
        <v>0</v>
      </c>
      <c r="H117" s="3">
        <v>200</v>
      </c>
    </row>
    <row r="118" spans="1:8" s="44" customFormat="1" x14ac:dyDescent="0.2">
      <c r="A118" s="214" t="str">
        <f>C118&amp;"-"&amp;E118</f>
        <v>I-016-WS-44</v>
      </c>
      <c r="B118" s="214" t="str">
        <f>C118&amp;"-"&amp;D118</f>
        <v>I-016-70</v>
      </c>
      <c r="C118" s="45" t="s">
        <v>516</v>
      </c>
      <c r="D118" s="45">
        <v>70</v>
      </c>
      <c r="E118" s="45" t="s">
        <v>617</v>
      </c>
      <c r="F118" s="42" t="str">
        <f>VLOOKUP(E118, 'S11 Work Stations'!$A$2:$B$45, 2, 0)</f>
        <v>FIN-GOOD-INV</v>
      </c>
      <c r="G118" s="45">
        <v>0</v>
      </c>
      <c r="H118" s="3">
        <v>200</v>
      </c>
    </row>
    <row r="119" spans="1:8" s="44" customFormat="1" x14ac:dyDescent="0.2">
      <c r="A119" s="214" t="str">
        <f>C119&amp;"-"&amp;E119</f>
        <v>I-017-WS-13</v>
      </c>
      <c r="B119" s="214" t="str">
        <f>C119&amp;"-"&amp;D119</f>
        <v>I-017-30</v>
      </c>
      <c r="C119" s="45" t="s">
        <v>517</v>
      </c>
      <c r="D119" s="45">
        <v>30</v>
      </c>
      <c r="E119" s="45" t="s">
        <v>586</v>
      </c>
      <c r="F119" s="42" t="str">
        <f>VLOOKUP(E119, 'S11 Work Stations'!$A$2:$B$45, 2, 0)</f>
        <v>TUR-6-Sp1-406</v>
      </c>
      <c r="G119" s="45">
        <v>540</v>
      </c>
      <c r="H119" s="3">
        <v>200</v>
      </c>
    </row>
    <row r="120" spans="1:8" s="44" customFormat="1" x14ac:dyDescent="0.2">
      <c r="A120" s="214" t="str">
        <f>C120&amp;"-"&amp;E120</f>
        <v>I-017-WS-22</v>
      </c>
      <c r="B120" s="214" t="str">
        <f>C120&amp;"-"&amp;D120</f>
        <v>I-017-40</v>
      </c>
      <c r="C120" s="45" t="s">
        <v>517</v>
      </c>
      <c r="D120" s="45">
        <v>40</v>
      </c>
      <c r="E120" s="45" t="s">
        <v>595</v>
      </c>
      <c r="F120" s="42" t="str">
        <f>VLOOKUP(E120, 'S11 Work Stations'!$A$2:$B$45, 2, 0)</f>
        <v>MIL-H2-606</v>
      </c>
      <c r="G120" s="45">
        <v>480</v>
      </c>
      <c r="H120" s="3">
        <v>200</v>
      </c>
    </row>
    <row r="121" spans="1:8" s="44" customFormat="1" x14ac:dyDescent="0.2">
      <c r="A121" s="214" t="str">
        <f>C121&amp;"-"&amp;E121</f>
        <v>I-017-WS-30</v>
      </c>
      <c r="B121" s="214" t="str">
        <f>C121&amp;"-"&amp;D121</f>
        <v>I-017-50</v>
      </c>
      <c r="C121" s="45" t="s">
        <v>517</v>
      </c>
      <c r="D121" s="45">
        <v>50</v>
      </c>
      <c r="E121" s="45" t="s">
        <v>603</v>
      </c>
      <c r="F121" s="42" t="str">
        <f>VLOOKUP(E121, 'S11 Work Stations'!$A$2:$B$45, 2, 0)</f>
        <v>DR-3A-206</v>
      </c>
      <c r="G121" s="45">
        <v>360</v>
      </c>
      <c r="H121" s="3">
        <v>200</v>
      </c>
    </row>
    <row r="122" spans="1:8" s="44" customFormat="1" x14ac:dyDescent="0.2">
      <c r="A122" s="214" t="str">
        <f>C122&amp;"-"&amp;E122</f>
        <v>I-017-WS-34</v>
      </c>
      <c r="B122" s="214" t="str">
        <f>C122&amp;"-"&amp;D122</f>
        <v>I-017-60</v>
      </c>
      <c r="C122" s="45" t="s">
        <v>517</v>
      </c>
      <c r="D122" s="45">
        <v>60</v>
      </c>
      <c r="E122" s="45" t="s">
        <v>607</v>
      </c>
      <c r="F122" s="42" t="str">
        <f>VLOOKUP(E122, 'S11 Work Stations'!$A$2:$B$45, 2, 0)</f>
        <v>SAW-30-160-252</v>
      </c>
      <c r="G122" s="45">
        <v>480</v>
      </c>
      <c r="H122" s="3">
        <v>200</v>
      </c>
    </row>
    <row r="123" spans="1:8" s="44" customFormat="1" x14ac:dyDescent="0.2">
      <c r="A123" s="214" t="str">
        <f>C123&amp;"-"&amp;E123</f>
        <v>I-017-WS-37</v>
      </c>
      <c r="B123" s="214" t="str">
        <f>C123&amp;"-"&amp;D123</f>
        <v>I-017-20</v>
      </c>
      <c r="C123" s="45" t="s">
        <v>517</v>
      </c>
      <c r="D123" s="45">
        <v>20</v>
      </c>
      <c r="E123" s="45" t="s">
        <v>610</v>
      </c>
      <c r="F123" s="42" t="str">
        <f>VLOOKUP(E123, 'S11 Work Stations'!$A$2:$B$45, 2, 0)</f>
        <v>SAW-50-422</v>
      </c>
      <c r="G123" s="45">
        <v>120</v>
      </c>
      <c r="H123" s="3">
        <v>200</v>
      </c>
    </row>
    <row r="124" spans="1:8" s="44" customFormat="1" x14ac:dyDescent="0.2">
      <c r="A124" s="214" t="str">
        <f>C124&amp;"-"&amp;E124</f>
        <v>I-017-WS-43</v>
      </c>
      <c r="B124" s="214" t="str">
        <f>C124&amp;"-"&amp;D124</f>
        <v>I-017-10</v>
      </c>
      <c r="C124" s="45" t="s">
        <v>517</v>
      </c>
      <c r="D124" s="45">
        <v>10</v>
      </c>
      <c r="E124" s="45" t="s">
        <v>616</v>
      </c>
      <c r="F124" s="42" t="str">
        <f>VLOOKUP(E124, 'S11 Work Stations'!$A$2:$B$45, 2, 0)</f>
        <v>RAW-MAT-INV</v>
      </c>
      <c r="G124" s="45">
        <v>0</v>
      </c>
      <c r="H124" s="3">
        <v>200</v>
      </c>
    </row>
    <row r="125" spans="1:8" s="44" customFormat="1" x14ac:dyDescent="0.2">
      <c r="A125" s="214" t="str">
        <f>C125&amp;"-"&amp;E125</f>
        <v>I-017-WS-44</v>
      </c>
      <c r="B125" s="214" t="str">
        <f>C125&amp;"-"&amp;D125</f>
        <v>I-017-70</v>
      </c>
      <c r="C125" s="45" t="s">
        <v>517</v>
      </c>
      <c r="D125" s="45">
        <v>70</v>
      </c>
      <c r="E125" s="45" t="s">
        <v>617</v>
      </c>
      <c r="F125" s="42" t="str">
        <f>VLOOKUP(E125, 'S11 Work Stations'!$A$2:$B$45, 2, 0)</f>
        <v>FIN-GOOD-INV</v>
      </c>
      <c r="G125" s="45">
        <v>0</v>
      </c>
      <c r="H125" s="3">
        <v>200</v>
      </c>
    </row>
    <row r="126" spans="1:8" s="44" customFormat="1" x14ac:dyDescent="0.2">
      <c r="A126" s="214" t="str">
        <f>C126&amp;"-"&amp;E126</f>
        <v>I-018-WS-04</v>
      </c>
      <c r="B126" s="214" t="str">
        <f>C126&amp;"-"&amp;D126</f>
        <v>I-018-30</v>
      </c>
      <c r="C126" s="45" t="s">
        <v>518</v>
      </c>
      <c r="D126" s="45">
        <v>30</v>
      </c>
      <c r="E126" s="45" t="s">
        <v>577</v>
      </c>
      <c r="F126" s="42" t="str">
        <f>VLOOKUP(E126, 'S11 Work Stations'!$A$2:$B$45, 2, 0)</f>
        <v>TUR-A4-364</v>
      </c>
      <c r="G126" s="45">
        <v>780</v>
      </c>
      <c r="H126" s="3">
        <v>200</v>
      </c>
    </row>
    <row r="127" spans="1:8" s="44" customFormat="1" x14ac:dyDescent="0.2">
      <c r="A127" s="214" t="str">
        <f>C127&amp;"-"&amp;E127</f>
        <v>I-018-WS-22</v>
      </c>
      <c r="B127" s="214" t="str">
        <f>C127&amp;"-"&amp;D127</f>
        <v>I-018-40</v>
      </c>
      <c r="C127" s="45" t="s">
        <v>518</v>
      </c>
      <c r="D127" s="45">
        <v>40</v>
      </c>
      <c r="E127" s="45" t="s">
        <v>595</v>
      </c>
      <c r="F127" s="42" t="str">
        <f>VLOOKUP(E127, 'S11 Work Stations'!$A$2:$B$45, 2, 0)</f>
        <v>MIL-H2-606</v>
      </c>
      <c r="G127" s="45">
        <v>480</v>
      </c>
      <c r="H127" s="3">
        <v>200</v>
      </c>
    </row>
    <row r="128" spans="1:8" s="44" customFormat="1" x14ac:dyDescent="0.2">
      <c r="A128" s="214" t="str">
        <f>C128&amp;"-"&amp;E128</f>
        <v>I-018-WS-29</v>
      </c>
      <c r="B128" s="214" t="str">
        <f>C128&amp;"-"&amp;D128</f>
        <v>I-018-50</v>
      </c>
      <c r="C128" s="45" t="s">
        <v>518</v>
      </c>
      <c r="D128" s="45">
        <v>50</v>
      </c>
      <c r="E128" s="45" t="s">
        <v>602</v>
      </c>
      <c r="F128" s="42" t="str">
        <f>VLOOKUP(E128, 'S11 Work Stations'!$A$2:$B$45, 2, 0)</f>
        <v>GR-T11-250</v>
      </c>
      <c r="G128" s="45">
        <v>420</v>
      </c>
      <c r="H128" s="3">
        <v>200</v>
      </c>
    </row>
    <row r="129" spans="1:8" s="44" customFormat="1" x14ac:dyDescent="0.2">
      <c r="A129" s="214" t="str">
        <f>C129&amp;"-"&amp;E129</f>
        <v>I-018-WS-34</v>
      </c>
      <c r="B129" s="214" t="str">
        <f>C129&amp;"-"&amp;D129</f>
        <v>I-018-60</v>
      </c>
      <c r="C129" s="45" t="s">
        <v>518</v>
      </c>
      <c r="D129" s="45">
        <v>60</v>
      </c>
      <c r="E129" s="45" t="s">
        <v>607</v>
      </c>
      <c r="F129" s="42" t="str">
        <f>VLOOKUP(E129, 'S11 Work Stations'!$A$2:$B$45, 2, 0)</f>
        <v>SAW-30-160-252</v>
      </c>
      <c r="G129" s="45">
        <v>600</v>
      </c>
      <c r="H129" s="3">
        <v>200</v>
      </c>
    </row>
    <row r="130" spans="1:8" s="44" customFormat="1" x14ac:dyDescent="0.2">
      <c r="A130" s="214" t="str">
        <f>C130&amp;"-"&amp;E130</f>
        <v>I-018-WS-37</v>
      </c>
      <c r="B130" s="214" t="str">
        <f>C130&amp;"-"&amp;D130</f>
        <v>I-018-20</v>
      </c>
      <c r="C130" s="45" t="s">
        <v>518</v>
      </c>
      <c r="D130" s="45">
        <v>20</v>
      </c>
      <c r="E130" s="45" t="s">
        <v>610</v>
      </c>
      <c r="F130" s="42" t="str">
        <f>VLOOKUP(E130, 'S11 Work Stations'!$A$2:$B$45, 2, 0)</f>
        <v>SAW-50-422</v>
      </c>
      <c r="G130" s="45">
        <v>120</v>
      </c>
      <c r="H130" s="3">
        <v>200</v>
      </c>
    </row>
    <row r="131" spans="1:8" s="44" customFormat="1" x14ac:dyDescent="0.2">
      <c r="A131" s="214" t="str">
        <f>C131&amp;"-"&amp;E131</f>
        <v>I-018-WS-43</v>
      </c>
      <c r="B131" s="214" t="str">
        <f>C131&amp;"-"&amp;D131</f>
        <v>I-018-10</v>
      </c>
      <c r="C131" s="45" t="s">
        <v>518</v>
      </c>
      <c r="D131" s="45">
        <v>10</v>
      </c>
      <c r="E131" s="45" t="s">
        <v>616</v>
      </c>
      <c r="F131" s="42" t="str">
        <f>VLOOKUP(E131, 'S11 Work Stations'!$A$2:$B$45, 2, 0)</f>
        <v>RAW-MAT-INV</v>
      </c>
      <c r="G131" s="45">
        <v>0</v>
      </c>
      <c r="H131" s="3">
        <v>200</v>
      </c>
    </row>
    <row r="132" spans="1:8" s="44" customFormat="1" x14ac:dyDescent="0.2">
      <c r="A132" s="214" t="str">
        <f>C132&amp;"-"&amp;E132</f>
        <v>I-018-WS-44</v>
      </c>
      <c r="B132" s="214" t="str">
        <f>C132&amp;"-"&amp;D132</f>
        <v>I-018-70</v>
      </c>
      <c r="C132" s="45" t="s">
        <v>518</v>
      </c>
      <c r="D132" s="45">
        <v>70</v>
      </c>
      <c r="E132" s="45" t="s">
        <v>617</v>
      </c>
      <c r="F132" s="42" t="str">
        <f>VLOOKUP(E132, 'S11 Work Stations'!$A$2:$B$45, 2, 0)</f>
        <v>FIN-GOOD-INV</v>
      </c>
      <c r="G132" s="45">
        <v>0</v>
      </c>
      <c r="H132" s="3">
        <v>200</v>
      </c>
    </row>
    <row r="133" spans="1:8" s="44" customFormat="1" x14ac:dyDescent="0.2">
      <c r="A133" s="214" t="str">
        <f>C133&amp;"-"&amp;E133</f>
        <v>I-019-WS-04</v>
      </c>
      <c r="B133" s="214" t="str">
        <f>C133&amp;"-"&amp;D133</f>
        <v>I-019-30</v>
      </c>
      <c r="C133" s="45" t="s">
        <v>519</v>
      </c>
      <c r="D133" s="45">
        <v>30</v>
      </c>
      <c r="E133" s="45" t="s">
        <v>577</v>
      </c>
      <c r="F133" s="42" t="str">
        <f>VLOOKUP(E133, 'S11 Work Stations'!$A$2:$B$45, 2, 0)</f>
        <v>TUR-A4-364</v>
      </c>
      <c r="G133" s="45">
        <v>780</v>
      </c>
      <c r="H133" s="3">
        <v>200</v>
      </c>
    </row>
    <row r="134" spans="1:8" s="44" customFormat="1" x14ac:dyDescent="0.2">
      <c r="A134" s="214" t="str">
        <f>C134&amp;"-"&amp;E134</f>
        <v>I-019-WS-23</v>
      </c>
      <c r="B134" s="214" t="str">
        <f>C134&amp;"-"&amp;D134</f>
        <v>I-019-40</v>
      </c>
      <c r="C134" s="45" t="s">
        <v>519</v>
      </c>
      <c r="D134" s="45">
        <v>40</v>
      </c>
      <c r="E134" s="45" t="s">
        <v>596</v>
      </c>
      <c r="F134" s="42" t="str">
        <f>VLOOKUP(E134, 'S11 Work Stations'!$A$2:$B$45, 2, 0)</f>
        <v>MIL-U2-607</v>
      </c>
      <c r="G134" s="45">
        <v>840</v>
      </c>
      <c r="H134" s="3">
        <v>200</v>
      </c>
    </row>
    <row r="135" spans="1:8" s="44" customFormat="1" x14ac:dyDescent="0.2">
      <c r="A135" s="214" t="str">
        <f>C135&amp;"-"&amp;E135</f>
        <v>I-019-WS-30</v>
      </c>
      <c r="B135" s="214" t="str">
        <f>C135&amp;"-"&amp;D135</f>
        <v>I-019-50</v>
      </c>
      <c r="C135" s="45" t="s">
        <v>519</v>
      </c>
      <c r="D135" s="45">
        <v>50</v>
      </c>
      <c r="E135" s="45" t="s">
        <v>603</v>
      </c>
      <c r="F135" s="42" t="str">
        <f>VLOOKUP(E135, 'S11 Work Stations'!$A$2:$B$45, 2, 0)</f>
        <v>DR-3A-206</v>
      </c>
      <c r="G135" s="45">
        <v>360</v>
      </c>
      <c r="H135" s="3">
        <v>200</v>
      </c>
    </row>
    <row r="136" spans="1:8" s="44" customFormat="1" x14ac:dyDescent="0.2">
      <c r="A136" s="214" t="str">
        <f>C136&amp;"-"&amp;E136</f>
        <v>I-019-WS-35</v>
      </c>
      <c r="B136" s="214" t="str">
        <f>C136&amp;"-"&amp;D136</f>
        <v>I-019-60</v>
      </c>
      <c r="C136" s="45" t="s">
        <v>519</v>
      </c>
      <c r="D136" s="45">
        <v>60</v>
      </c>
      <c r="E136" s="45" t="s">
        <v>608</v>
      </c>
      <c r="F136" s="42" t="str">
        <f>VLOOKUP(E136, 'S11 Work Stations'!$A$2:$B$45, 2, 0)</f>
        <v>SAW-35-100-254</v>
      </c>
      <c r="G136" s="45">
        <v>720</v>
      </c>
      <c r="H136" s="3">
        <v>200</v>
      </c>
    </row>
    <row r="137" spans="1:8" s="44" customFormat="1" x14ac:dyDescent="0.2">
      <c r="A137" s="214" t="str">
        <f>C137&amp;"-"&amp;E137</f>
        <v>I-019-WS-37</v>
      </c>
      <c r="B137" s="214" t="str">
        <f>C137&amp;"-"&amp;D137</f>
        <v>I-019-20</v>
      </c>
      <c r="C137" s="45" t="s">
        <v>519</v>
      </c>
      <c r="D137" s="45">
        <v>20</v>
      </c>
      <c r="E137" s="45" t="s">
        <v>610</v>
      </c>
      <c r="F137" s="42" t="str">
        <f>VLOOKUP(E137, 'S11 Work Stations'!$A$2:$B$45, 2, 0)</f>
        <v>SAW-50-422</v>
      </c>
      <c r="G137" s="45">
        <v>180</v>
      </c>
      <c r="H137" s="3">
        <v>200</v>
      </c>
    </row>
    <row r="138" spans="1:8" s="44" customFormat="1" x14ac:dyDescent="0.2">
      <c r="A138" s="214" t="str">
        <f>C138&amp;"-"&amp;E138</f>
        <v>I-019-WS-43</v>
      </c>
      <c r="B138" s="214" t="str">
        <f>C138&amp;"-"&amp;D138</f>
        <v>I-019-10</v>
      </c>
      <c r="C138" s="45" t="s">
        <v>519</v>
      </c>
      <c r="D138" s="45">
        <v>10</v>
      </c>
      <c r="E138" s="45" t="s">
        <v>616</v>
      </c>
      <c r="F138" s="42" t="str">
        <f>VLOOKUP(E138, 'S11 Work Stations'!$A$2:$B$45, 2, 0)</f>
        <v>RAW-MAT-INV</v>
      </c>
      <c r="G138" s="45">
        <v>0</v>
      </c>
      <c r="H138" s="3">
        <v>200</v>
      </c>
    </row>
    <row r="139" spans="1:8" s="44" customFormat="1" x14ac:dyDescent="0.2">
      <c r="A139" s="214" t="str">
        <f>C139&amp;"-"&amp;E139</f>
        <v>I-019-WS-44</v>
      </c>
      <c r="B139" s="214" t="str">
        <f>C139&amp;"-"&amp;D139</f>
        <v>I-019-70</v>
      </c>
      <c r="C139" s="45" t="s">
        <v>519</v>
      </c>
      <c r="D139" s="45">
        <v>70</v>
      </c>
      <c r="E139" s="45" t="s">
        <v>617</v>
      </c>
      <c r="F139" s="42" t="str">
        <f>VLOOKUP(E139, 'S11 Work Stations'!$A$2:$B$45, 2, 0)</f>
        <v>FIN-GOOD-INV</v>
      </c>
      <c r="G139" s="45">
        <v>0</v>
      </c>
      <c r="H139" s="3">
        <v>200</v>
      </c>
    </row>
    <row r="140" spans="1:8" s="44" customFormat="1" x14ac:dyDescent="0.2">
      <c r="A140" s="214" t="str">
        <f>C140&amp;"-"&amp;E140</f>
        <v>I-020-WS-05</v>
      </c>
      <c r="B140" s="214" t="str">
        <f>C140&amp;"-"&amp;D140</f>
        <v>I-020-30</v>
      </c>
      <c r="C140" s="45" t="s">
        <v>520</v>
      </c>
      <c r="D140" s="45">
        <v>30</v>
      </c>
      <c r="E140" s="45" t="s">
        <v>578</v>
      </c>
      <c r="F140" s="42" t="str">
        <f>VLOOKUP(E140, 'S11 Work Stations'!$A$2:$B$45, 2, 0)</f>
        <v>MIL-A2-365</v>
      </c>
      <c r="G140" s="45">
        <v>960</v>
      </c>
      <c r="H140" s="3">
        <v>200</v>
      </c>
    </row>
    <row r="141" spans="1:8" s="44" customFormat="1" x14ac:dyDescent="0.2">
      <c r="A141" s="214" t="str">
        <f>C141&amp;"-"&amp;E141</f>
        <v>I-020-WS-22</v>
      </c>
      <c r="B141" s="214" t="str">
        <f>C141&amp;"-"&amp;D141</f>
        <v>I-020-40</v>
      </c>
      <c r="C141" s="45" t="s">
        <v>520</v>
      </c>
      <c r="D141" s="45">
        <v>40</v>
      </c>
      <c r="E141" s="45" t="s">
        <v>595</v>
      </c>
      <c r="F141" s="42" t="str">
        <f>VLOOKUP(E141, 'S11 Work Stations'!$A$2:$B$45, 2, 0)</f>
        <v>MIL-H2-606</v>
      </c>
      <c r="G141" s="45">
        <v>720</v>
      </c>
      <c r="H141" s="3">
        <v>200</v>
      </c>
    </row>
    <row r="142" spans="1:8" s="44" customFormat="1" x14ac:dyDescent="0.2">
      <c r="A142" s="214" t="str">
        <f>C142&amp;"-"&amp;E142</f>
        <v>I-020-WS-30</v>
      </c>
      <c r="B142" s="214" t="str">
        <f>C142&amp;"-"&amp;D142</f>
        <v>I-020-50</v>
      </c>
      <c r="C142" s="45" t="s">
        <v>520</v>
      </c>
      <c r="D142" s="45">
        <v>50</v>
      </c>
      <c r="E142" s="45" t="s">
        <v>603</v>
      </c>
      <c r="F142" s="42" t="str">
        <f>VLOOKUP(E142, 'S11 Work Stations'!$A$2:$B$45, 2, 0)</f>
        <v>DR-3A-206</v>
      </c>
      <c r="G142" s="45">
        <v>360</v>
      </c>
      <c r="H142" s="3">
        <v>200</v>
      </c>
    </row>
    <row r="143" spans="1:8" s="44" customFormat="1" x14ac:dyDescent="0.2">
      <c r="A143" s="214" t="str">
        <f>C143&amp;"-"&amp;E143</f>
        <v>I-020-WS-34</v>
      </c>
      <c r="B143" s="214" t="str">
        <f>C143&amp;"-"&amp;D143</f>
        <v>I-020-60</v>
      </c>
      <c r="C143" s="45" t="s">
        <v>520</v>
      </c>
      <c r="D143" s="45">
        <v>60</v>
      </c>
      <c r="E143" s="45" t="s">
        <v>607</v>
      </c>
      <c r="F143" s="42" t="str">
        <f>VLOOKUP(E143, 'S11 Work Stations'!$A$2:$B$45, 2, 0)</f>
        <v>SAW-30-160-252</v>
      </c>
      <c r="G143" s="45">
        <v>660</v>
      </c>
      <c r="H143" s="3">
        <v>200</v>
      </c>
    </row>
    <row r="144" spans="1:8" s="44" customFormat="1" x14ac:dyDescent="0.2">
      <c r="A144" s="214" t="str">
        <f>C144&amp;"-"&amp;E144</f>
        <v>I-020-WS-38</v>
      </c>
      <c r="B144" s="214" t="str">
        <f>C144&amp;"-"&amp;D144</f>
        <v>I-020-20</v>
      </c>
      <c r="C144" s="45" t="s">
        <v>520</v>
      </c>
      <c r="D144" s="45">
        <v>20</v>
      </c>
      <c r="E144" s="45" t="s">
        <v>611</v>
      </c>
      <c r="F144" s="42" t="str">
        <f>VLOOKUP(E144, 'S11 Work Stations'!$A$2:$B$45, 2, 0)</f>
        <v>SAW-150-423</v>
      </c>
      <c r="G144" s="45">
        <v>180</v>
      </c>
      <c r="H144" s="3">
        <v>200</v>
      </c>
    </row>
    <row r="145" spans="1:8" s="44" customFormat="1" x14ac:dyDescent="0.2">
      <c r="A145" s="214" t="str">
        <f>C145&amp;"-"&amp;E145</f>
        <v>I-020-WS-43</v>
      </c>
      <c r="B145" s="214" t="str">
        <f>C145&amp;"-"&amp;D145</f>
        <v>I-020-10</v>
      </c>
      <c r="C145" s="45" t="s">
        <v>520</v>
      </c>
      <c r="D145" s="45">
        <v>10</v>
      </c>
      <c r="E145" s="45" t="s">
        <v>616</v>
      </c>
      <c r="F145" s="42" t="str">
        <f>VLOOKUP(E145, 'S11 Work Stations'!$A$2:$B$45, 2, 0)</f>
        <v>RAW-MAT-INV</v>
      </c>
      <c r="G145" s="45">
        <v>0</v>
      </c>
      <c r="H145" s="3">
        <v>200</v>
      </c>
    </row>
    <row r="146" spans="1:8" s="44" customFormat="1" x14ac:dyDescent="0.2">
      <c r="A146" s="214" t="str">
        <f>C146&amp;"-"&amp;E146</f>
        <v>I-020-WS-44</v>
      </c>
      <c r="B146" s="214" t="str">
        <f>C146&amp;"-"&amp;D146</f>
        <v>I-020-70</v>
      </c>
      <c r="C146" s="45" t="s">
        <v>520</v>
      </c>
      <c r="D146" s="45">
        <v>70</v>
      </c>
      <c r="E146" s="45" t="s">
        <v>617</v>
      </c>
      <c r="F146" s="42" t="str">
        <f>VLOOKUP(E146, 'S11 Work Stations'!$A$2:$B$45, 2, 0)</f>
        <v>FIN-GOOD-INV</v>
      </c>
      <c r="G146" s="45">
        <v>0</v>
      </c>
      <c r="H146" s="3">
        <v>200</v>
      </c>
    </row>
    <row r="147" spans="1:8" s="44" customFormat="1" x14ac:dyDescent="0.2">
      <c r="A147" s="214" t="str">
        <f>C147&amp;"-"&amp;E147</f>
        <v>I-021-WS-04</v>
      </c>
      <c r="B147" s="214" t="str">
        <f>C147&amp;"-"&amp;D147</f>
        <v>I-021-30</v>
      </c>
      <c r="C147" s="45" t="s">
        <v>521</v>
      </c>
      <c r="D147" s="45">
        <v>30</v>
      </c>
      <c r="E147" s="45" t="s">
        <v>577</v>
      </c>
      <c r="F147" s="42" t="str">
        <f>VLOOKUP(E147, 'S11 Work Stations'!$A$2:$B$45, 2, 0)</f>
        <v>TUR-A4-364</v>
      </c>
      <c r="G147" s="45">
        <v>780</v>
      </c>
      <c r="H147" s="3">
        <v>200</v>
      </c>
    </row>
    <row r="148" spans="1:8" s="44" customFormat="1" x14ac:dyDescent="0.2">
      <c r="A148" s="214" t="str">
        <f>C148&amp;"-"&amp;E148</f>
        <v>I-021-WS-24</v>
      </c>
      <c r="B148" s="214" t="str">
        <f>C148&amp;"-"&amp;D148</f>
        <v>I-021-40</v>
      </c>
      <c r="C148" s="45" t="s">
        <v>521</v>
      </c>
      <c r="D148" s="45">
        <v>40</v>
      </c>
      <c r="E148" s="45" t="s">
        <v>597</v>
      </c>
      <c r="F148" s="42" t="str">
        <f>VLOOKUP(E148, 'S11 Work Stations'!$A$2:$B$45, 2, 0)</f>
        <v>MIL-V5-608</v>
      </c>
      <c r="G148" s="45">
        <v>720</v>
      </c>
      <c r="H148" s="3">
        <v>200</v>
      </c>
    </row>
    <row r="149" spans="1:8" s="44" customFormat="1" x14ac:dyDescent="0.2">
      <c r="A149" s="214" t="str">
        <f>C149&amp;"-"&amp;E149</f>
        <v>I-021-WS-30</v>
      </c>
      <c r="B149" s="214" t="str">
        <f>C149&amp;"-"&amp;D149</f>
        <v>I-021-50</v>
      </c>
      <c r="C149" s="45" t="s">
        <v>521</v>
      </c>
      <c r="D149" s="45">
        <v>50</v>
      </c>
      <c r="E149" s="45" t="s">
        <v>603</v>
      </c>
      <c r="F149" s="42" t="str">
        <f>VLOOKUP(E149, 'S11 Work Stations'!$A$2:$B$45, 2, 0)</f>
        <v>DR-3A-206</v>
      </c>
      <c r="G149" s="45">
        <v>420</v>
      </c>
      <c r="H149" s="3">
        <v>200</v>
      </c>
    </row>
    <row r="150" spans="1:8" s="44" customFormat="1" x14ac:dyDescent="0.2">
      <c r="A150" s="214" t="str">
        <f>C150&amp;"-"&amp;E150</f>
        <v>I-021-WS-35</v>
      </c>
      <c r="B150" s="214" t="str">
        <f>C150&amp;"-"&amp;D150</f>
        <v>I-021-60</v>
      </c>
      <c r="C150" s="45" t="s">
        <v>521</v>
      </c>
      <c r="D150" s="45">
        <v>60</v>
      </c>
      <c r="E150" s="45" t="s">
        <v>608</v>
      </c>
      <c r="F150" s="42" t="str">
        <f>VLOOKUP(E150, 'S11 Work Stations'!$A$2:$B$45, 2, 0)</f>
        <v>SAW-35-100-254</v>
      </c>
      <c r="G150" s="45">
        <v>720</v>
      </c>
      <c r="H150" s="3">
        <v>200</v>
      </c>
    </row>
    <row r="151" spans="1:8" s="44" customFormat="1" x14ac:dyDescent="0.2">
      <c r="A151" s="214" t="str">
        <f>C151&amp;"-"&amp;E151</f>
        <v>I-021-WS-38</v>
      </c>
      <c r="B151" s="214" t="str">
        <f>C151&amp;"-"&amp;D151</f>
        <v>I-021-20</v>
      </c>
      <c r="C151" s="45" t="s">
        <v>521</v>
      </c>
      <c r="D151" s="45">
        <v>20</v>
      </c>
      <c r="E151" s="45" t="s">
        <v>611</v>
      </c>
      <c r="F151" s="42" t="str">
        <f>VLOOKUP(E151, 'S11 Work Stations'!$A$2:$B$45, 2, 0)</f>
        <v>SAW-150-423</v>
      </c>
      <c r="G151" s="45">
        <v>180</v>
      </c>
      <c r="H151" s="3">
        <v>200</v>
      </c>
    </row>
    <row r="152" spans="1:8" s="44" customFormat="1" x14ac:dyDescent="0.2">
      <c r="A152" s="214" t="str">
        <f>C152&amp;"-"&amp;E152</f>
        <v>I-021-WS-42</v>
      </c>
      <c r="B152" s="214" t="str">
        <f>C152&amp;"-"&amp;D152</f>
        <v>I-021-70</v>
      </c>
      <c r="C152" s="45" t="s">
        <v>521</v>
      </c>
      <c r="D152" s="45">
        <v>70</v>
      </c>
      <c r="E152" s="45" t="s">
        <v>615</v>
      </c>
      <c r="F152" s="42" t="str">
        <f>VLOOKUP(E152, 'S11 Work Stations'!$A$2:$B$45, 2, 0)</f>
        <v>TEMP-A01-202</v>
      </c>
      <c r="G152" s="45">
        <v>300</v>
      </c>
      <c r="H152" s="3">
        <v>200</v>
      </c>
    </row>
    <row r="153" spans="1:8" s="44" customFormat="1" x14ac:dyDescent="0.2">
      <c r="A153" s="214" t="str">
        <f>C153&amp;"-"&amp;E153</f>
        <v>I-021-WS-43</v>
      </c>
      <c r="B153" s="214" t="str">
        <f>C153&amp;"-"&amp;D153</f>
        <v>I-021-10</v>
      </c>
      <c r="C153" s="45" t="s">
        <v>521</v>
      </c>
      <c r="D153" s="45">
        <v>10</v>
      </c>
      <c r="E153" s="45" t="s">
        <v>616</v>
      </c>
      <c r="F153" s="42" t="str">
        <f>VLOOKUP(E153, 'S11 Work Stations'!$A$2:$B$45, 2, 0)</f>
        <v>RAW-MAT-INV</v>
      </c>
      <c r="G153" s="45">
        <v>0</v>
      </c>
      <c r="H153" s="3">
        <v>200</v>
      </c>
    </row>
    <row r="154" spans="1:8" s="44" customFormat="1" x14ac:dyDescent="0.2">
      <c r="A154" s="214" t="str">
        <f>C154&amp;"-"&amp;E154</f>
        <v>I-021-WS-44</v>
      </c>
      <c r="B154" s="214" t="str">
        <f>C154&amp;"-"&amp;D154</f>
        <v>I-021-80</v>
      </c>
      <c r="C154" s="45" t="s">
        <v>521</v>
      </c>
      <c r="D154" s="45">
        <v>80</v>
      </c>
      <c r="E154" s="45" t="s">
        <v>617</v>
      </c>
      <c r="F154" s="42" t="str">
        <f>VLOOKUP(E154, 'S11 Work Stations'!$A$2:$B$45, 2, 0)</f>
        <v>FIN-GOOD-INV</v>
      </c>
      <c r="G154" s="45">
        <v>0</v>
      </c>
      <c r="H154" s="3">
        <v>200</v>
      </c>
    </row>
    <row r="155" spans="1:8" s="44" customFormat="1" x14ac:dyDescent="0.2">
      <c r="A155" s="214" t="str">
        <f>C155&amp;"-"&amp;E155</f>
        <v>I-022-WS-05</v>
      </c>
      <c r="B155" s="214" t="str">
        <f>C155&amp;"-"&amp;D155</f>
        <v>I-022-30</v>
      </c>
      <c r="C155" s="45" t="s">
        <v>522</v>
      </c>
      <c r="D155" s="45">
        <v>30</v>
      </c>
      <c r="E155" s="45" t="s">
        <v>578</v>
      </c>
      <c r="F155" s="42" t="str">
        <f>VLOOKUP(E155, 'S11 Work Stations'!$A$2:$B$45, 2, 0)</f>
        <v>MIL-A2-365</v>
      </c>
      <c r="G155" s="45">
        <v>900</v>
      </c>
      <c r="H155" s="3">
        <v>200</v>
      </c>
    </row>
    <row r="156" spans="1:8" s="44" customFormat="1" x14ac:dyDescent="0.2">
      <c r="A156" s="214" t="str">
        <f>C156&amp;"-"&amp;E156</f>
        <v>I-022-WS-22</v>
      </c>
      <c r="B156" s="214" t="str">
        <f>C156&amp;"-"&amp;D156</f>
        <v>I-022-40</v>
      </c>
      <c r="C156" s="45" t="s">
        <v>522</v>
      </c>
      <c r="D156" s="45">
        <v>40</v>
      </c>
      <c r="E156" s="45" t="s">
        <v>595</v>
      </c>
      <c r="F156" s="42" t="str">
        <f>VLOOKUP(E156, 'S11 Work Stations'!$A$2:$B$45, 2, 0)</f>
        <v>MIL-H2-606</v>
      </c>
      <c r="G156" s="45">
        <v>480</v>
      </c>
      <c r="H156" s="3">
        <v>200</v>
      </c>
    </row>
    <row r="157" spans="1:8" s="44" customFormat="1" x14ac:dyDescent="0.2">
      <c r="A157" s="214" t="str">
        <f>C157&amp;"-"&amp;E157</f>
        <v>I-022-WS-25</v>
      </c>
      <c r="B157" s="214" t="str">
        <f>C157&amp;"-"&amp;D157</f>
        <v>I-022-50</v>
      </c>
      <c r="C157" s="45" t="s">
        <v>522</v>
      </c>
      <c r="D157" s="45">
        <v>50</v>
      </c>
      <c r="E157" s="45" t="s">
        <v>598</v>
      </c>
      <c r="F157" s="42" t="str">
        <f>VLOOKUP(E157, 'S11 Work Stations'!$A$2:$B$45, 2, 0)</f>
        <v>DR-2A-201</v>
      </c>
      <c r="G157" s="45">
        <v>360</v>
      </c>
      <c r="H157" s="3">
        <v>200</v>
      </c>
    </row>
    <row r="158" spans="1:8" s="44" customFormat="1" x14ac:dyDescent="0.2">
      <c r="A158" s="214" t="str">
        <f>C158&amp;"-"&amp;E158</f>
        <v>I-022-WS-36</v>
      </c>
      <c r="B158" s="214" t="str">
        <f>C158&amp;"-"&amp;D158</f>
        <v>I-022-60</v>
      </c>
      <c r="C158" s="45" t="s">
        <v>522</v>
      </c>
      <c r="D158" s="45">
        <v>60</v>
      </c>
      <c r="E158" s="45" t="s">
        <v>609</v>
      </c>
      <c r="F158" s="42" t="str">
        <f>VLOOKUP(E158, 'S11 Work Stations'!$A$2:$B$45, 2, 0)</f>
        <v>SAW-10-421</v>
      </c>
      <c r="G158" s="45">
        <v>720</v>
      </c>
      <c r="H158" s="3">
        <v>200</v>
      </c>
    </row>
    <row r="159" spans="1:8" s="44" customFormat="1" x14ac:dyDescent="0.2">
      <c r="A159" s="214" t="str">
        <f>C159&amp;"-"&amp;E159</f>
        <v>I-022-WS-38</v>
      </c>
      <c r="B159" s="214" t="str">
        <f>C159&amp;"-"&amp;D159</f>
        <v>I-022-20</v>
      </c>
      <c r="C159" s="45" t="s">
        <v>522</v>
      </c>
      <c r="D159" s="45">
        <v>20</v>
      </c>
      <c r="E159" s="45" t="s">
        <v>611</v>
      </c>
      <c r="F159" s="42" t="str">
        <f>VLOOKUP(E159, 'S11 Work Stations'!$A$2:$B$45, 2, 0)</f>
        <v>SAW-150-423</v>
      </c>
      <c r="G159" s="45">
        <v>240</v>
      </c>
      <c r="H159" s="3">
        <v>200</v>
      </c>
    </row>
    <row r="160" spans="1:8" s="44" customFormat="1" x14ac:dyDescent="0.2">
      <c r="A160" s="214" t="str">
        <f>C160&amp;"-"&amp;E160</f>
        <v>I-022-WS-42</v>
      </c>
      <c r="B160" s="214" t="str">
        <f>C160&amp;"-"&amp;D160</f>
        <v>I-022-70</v>
      </c>
      <c r="C160" s="45" t="s">
        <v>522</v>
      </c>
      <c r="D160" s="45">
        <v>70</v>
      </c>
      <c r="E160" s="45" t="s">
        <v>615</v>
      </c>
      <c r="F160" s="42" t="str">
        <f>VLOOKUP(E160, 'S11 Work Stations'!$A$2:$B$45, 2, 0)</f>
        <v>TEMP-A01-202</v>
      </c>
      <c r="G160" s="45">
        <v>300</v>
      </c>
      <c r="H160" s="3">
        <v>200</v>
      </c>
    </row>
    <row r="161" spans="1:8" s="44" customFormat="1" x14ac:dyDescent="0.2">
      <c r="A161" s="214" t="str">
        <f>C161&amp;"-"&amp;E161</f>
        <v>I-022-WS-43</v>
      </c>
      <c r="B161" s="214" t="str">
        <f>C161&amp;"-"&amp;D161</f>
        <v>I-022-10</v>
      </c>
      <c r="C161" s="45" t="s">
        <v>522</v>
      </c>
      <c r="D161" s="45">
        <v>10</v>
      </c>
      <c r="E161" s="45" t="s">
        <v>616</v>
      </c>
      <c r="F161" s="42" t="str">
        <f>VLOOKUP(E161, 'S11 Work Stations'!$A$2:$B$45, 2, 0)</f>
        <v>RAW-MAT-INV</v>
      </c>
      <c r="G161" s="45">
        <v>0</v>
      </c>
      <c r="H161" s="3">
        <v>200</v>
      </c>
    </row>
    <row r="162" spans="1:8" s="44" customFormat="1" x14ac:dyDescent="0.2">
      <c r="A162" s="214" t="str">
        <f>C162&amp;"-"&amp;E162</f>
        <v>I-022-WS-44</v>
      </c>
      <c r="B162" s="214" t="str">
        <f>C162&amp;"-"&amp;D162</f>
        <v>I-022-80</v>
      </c>
      <c r="C162" s="45" t="s">
        <v>522</v>
      </c>
      <c r="D162" s="45">
        <v>80</v>
      </c>
      <c r="E162" s="45" t="s">
        <v>617</v>
      </c>
      <c r="F162" s="42" t="str">
        <f>VLOOKUP(E162, 'S11 Work Stations'!$A$2:$B$45, 2, 0)</f>
        <v>FIN-GOOD-INV</v>
      </c>
      <c r="G162" s="45">
        <v>0</v>
      </c>
      <c r="H162" s="3">
        <v>200</v>
      </c>
    </row>
    <row r="163" spans="1:8" s="44" customFormat="1" x14ac:dyDescent="0.2">
      <c r="A163" s="214" t="str">
        <f>C163&amp;"-"&amp;E163</f>
        <v>I-023-WS-15</v>
      </c>
      <c r="B163" s="214" t="str">
        <f>C163&amp;"-"&amp;D163</f>
        <v>I-023-30</v>
      </c>
      <c r="C163" s="45" t="s">
        <v>523</v>
      </c>
      <c r="D163" s="45">
        <v>30</v>
      </c>
      <c r="E163" s="45" t="s">
        <v>588</v>
      </c>
      <c r="F163" s="42" t="str">
        <f>VLOOKUP(E163, 'S11 Work Stations'!$A$2:$B$45, 2, 0)</f>
        <v>TUR-6-Sp3-408</v>
      </c>
      <c r="G163" s="45">
        <v>240</v>
      </c>
      <c r="H163" s="3">
        <v>200</v>
      </c>
    </row>
    <row r="164" spans="1:8" s="44" customFormat="1" x14ac:dyDescent="0.2">
      <c r="A164" s="214" t="str">
        <f>C164&amp;"-"&amp;E164</f>
        <v>I-023-WS-28</v>
      </c>
      <c r="B164" s="214" t="str">
        <f>C164&amp;"-"&amp;D164</f>
        <v>I-023-40</v>
      </c>
      <c r="C164" s="45" t="s">
        <v>523</v>
      </c>
      <c r="D164" s="45">
        <v>40</v>
      </c>
      <c r="E164" s="45" t="s">
        <v>601</v>
      </c>
      <c r="F164" s="42" t="str">
        <f>VLOOKUP(E164, 'S11 Work Stations'!$A$2:$B$45, 2, 0)</f>
        <v>DR-T3-204</v>
      </c>
      <c r="G164" s="45">
        <v>300</v>
      </c>
      <c r="H164" s="3">
        <v>200</v>
      </c>
    </row>
    <row r="165" spans="1:8" s="44" customFormat="1" x14ac:dyDescent="0.2">
      <c r="A165" s="214" t="str">
        <f>C165&amp;"-"&amp;E165</f>
        <v>I-023-WS-41</v>
      </c>
      <c r="B165" s="214" t="str">
        <f>C165&amp;"-"&amp;D165</f>
        <v>I-023-20</v>
      </c>
      <c r="C165" s="45" t="s">
        <v>523</v>
      </c>
      <c r="D165" s="45">
        <v>20</v>
      </c>
      <c r="E165" s="45" t="s">
        <v>614</v>
      </c>
      <c r="F165" s="42" t="str">
        <f>VLOOKUP(E165, 'S11 Work Stations'!$A$2:$B$45, 2, 0)</f>
        <v>SAW-CNC-60-425</v>
      </c>
      <c r="G165" s="45">
        <v>60</v>
      </c>
      <c r="H165" s="3">
        <v>200</v>
      </c>
    </row>
    <row r="166" spans="1:8" s="44" customFormat="1" x14ac:dyDescent="0.2">
      <c r="A166" s="214" t="str">
        <f>C166&amp;"-"&amp;E166</f>
        <v>I-023-WS-43</v>
      </c>
      <c r="B166" s="214" t="str">
        <f>C166&amp;"-"&amp;D166</f>
        <v>I-023-10</v>
      </c>
      <c r="C166" s="45" t="s">
        <v>523</v>
      </c>
      <c r="D166" s="45">
        <v>10</v>
      </c>
      <c r="E166" s="45" t="s">
        <v>616</v>
      </c>
      <c r="F166" s="42" t="str">
        <f>VLOOKUP(E166, 'S11 Work Stations'!$A$2:$B$45, 2, 0)</f>
        <v>RAW-MAT-INV</v>
      </c>
      <c r="G166" s="45">
        <v>0</v>
      </c>
      <c r="H166" s="3">
        <v>200</v>
      </c>
    </row>
    <row r="167" spans="1:8" s="44" customFormat="1" x14ac:dyDescent="0.2">
      <c r="A167" s="214" t="str">
        <f>C167&amp;"-"&amp;E167</f>
        <v>I-023-WS-44</v>
      </c>
      <c r="B167" s="214" t="str">
        <f>C167&amp;"-"&amp;D167</f>
        <v>I-023-50</v>
      </c>
      <c r="C167" s="45" t="s">
        <v>523</v>
      </c>
      <c r="D167" s="45">
        <v>50</v>
      </c>
      <c r="E167" s="45" t="s">
        <v>617</v>
      </c>
      <c r="F167" s="42" t="str">
        <f>VLOOKUP(E167, 'S11 Work Stations'!$A$2:$B$45, 2, 0)</f>
        <v>FIN-GOOD-INV</v>
      </c>
      <c r="G167" s="45">
        <v>0</v>
      </c>
      <c r="H167" s="3">
        <v>200</v>
      </c>
    </row>
    <row r="168" spans="1:8" s="44" customFormat="1" x14ac:dyDescent="0.2">
      <c r="A168" s="214" t="str">
        <f>C168&amp;"-"&amp;E168</f>
        <v>I-024-WS-15</v>
      </c>
      <c r="B168" s="214" t="str">
        <f>C168&amp;"-"&amp;D168</f>
        <v>I-024-30</v>
      </c>
      <c r="C168" s="45" t="s">
        <v>524</v>
      </c>
      <c r="D168" s="45">
        <v>30</v>
      </c>
      <c r="E168" s="45" t="s">
        <v>588</v>
      </c>
      <c r="F168" s="42" t="str">
        <f>VLOOKUP(E168, 'S11 Work Stations'!$A$2:$B$45, 2, 0)</f>
        <v>TUR-6-Sp3-408</v>
      </c>
      <c r="G168" s="45">
        <v>360</v>
      </c>
      <c r="H168" s="3">
        <v>200</v>
      </c>
    </row>
    <row r="169" spans="1:8" s="44" customFormat="1" x14ac:dyDescent="0.2">
      <c r="A169" s="214" t="str">
        <f>C169&amp;"-"&amp;E169</f>
        <v>I-024-WS-28</v>
      </c>
      <c r="B169" s="214" t="str">
        <f>C169&amp;"-"&amp;D169</f>
        <v>I-024-40</v>
      </c>
      <c r="C169" s="45" t="s">
        <v>524</v>
      </c>
      <c r="D169" s="45">
        <v>40</v>
      </c>
      <c r="E169" s="45" t="s">
        <v>601</v>
      </c>
      <c r="F169" s="42" t="str">
        <f>VLOOKUP(E169, 'S11 Work Stations'!$A$2:$B$45, 2, 0)</f>
        <v>DR-T3-204</v>
      </c>
      <c r="G169" s="45">
        <v>300</v>
      </c>
      <c r="H169" s="3">
        <v>200</v>
      </c>
    </row>
    <row r="170" spans="1:8" s="44" customFormat="1" x14ac:dyDescent="0.2">
      <c r="A170" s="214" t="str">
        <f>C170&amp;"-"&amp;E170</f>
        <v>I-024-WS-41</v>
      </c>
      <c r="B170" s="214" t="str">
        <f>C170&amp;"-"&amp;D170</f>
        <v>I-024-20</v>
      </c>
      <c r="C170" s="45" t="s">
        <v>524</v>
      </c>
      <c r="D170" s="45">
        <v>20</v>
      </c>
      <c r="E170" s="45" t="s">
        <v>614</v>
      </c>
      <c r="F170" s="42" t="str">
        <f>VLOOKUP(E170, 'S11 Work Stations'!$A$2:$B$45, 2, 0)</f>
        <v>SAW-CNC-60-425</v>
      </c>
      <c r="G170" s="45">
        <v>60</v>
      </c>
      <c r="H170" s="3">
        <v>200</v>
      </c>
    </row>
    <row r="171" spans="1:8" s="44" customFormat="1" x14ac:dyDescent="0.2">
      <c r="A171" s="214" t="str">
        <f>C171&amp;"-"&amp;E171</f>
        <v>I-024-WS-43</v>
      </c>
      <c r="B171" s="214" t="str">
        <f>C171&amp;"-"&amp;D171</f>
        <v>I-024-10</v>
      </c>
      <c r="C171" s="45" t="s">
        <v>524</v>
      </c>
      <c r="D171" s="45">
        <v>10</v>
      </c>
      <c r="E171" s="45" t="s">
        <v>616</v>
      </c>
      <c r="F171" s="42" t="str">
        <f>VLOOKUP(E171, 'S11 Work Stations'!$A$2:$B$45, 2, 0)</f>
        <v>RAW-MAT-INV</v>
      </c>
      <c r="G171" s="45">
        <v>0</v>
      </c>
      <c r="H171" s="3">
        <v>200</v>
      </c>
    </row>
    <row r="172" spans="1:8" s="44" customFormat="1" x14ac:dyDescent="0.2">
      <c r="A172" s="214" t="str">
        <f>C172&amp;"-"&amp;E172</f>
        <v>I-024-WS-44</v>
      </c>
      <c r="B172" s="214" t="str">
        <f>C172&amp;"-"&amp;D172</f>
        <v>I-024-50</v>
      </c>
      <c r="C172" s="45" t="s">
        <v>524</v>
      </c>
      <c r="D172" s="45">
        <v>50</v>
      </c>
      <c r="E172" s="45" t="s">
        <v>617</v>
      </c>
      <c r="F172" s="42" t="str">
        <f>VLOOKUP(E172, 'S11 Work Stations'!$A$2:$B$45, 2, 0)</f>
        <v>FIN-GOOD-INV</v>
      </c>
      <c r="G172" s="45">
        <v>0</v>
      </c>
      <c r="H172" s="3">
        <v>200</v>
      </c>
    </row>
    <row r="173" spans="1:8" s="44" customFormat="1" x14ac:dyDescent="0.2">
      <c r="A173" s="214" t="str">
        <f>C173&amp;"-"&amp;E173</f>
        <v>I-025-WS-15</v>
      </c>
      <c r="B173" s="214" t="str">
        <f>C173&amp;"-"&amp;D173</f>
        <v>I-025-30</v>
      </c>
      <c r="C173" s="45" t="s">
        <v>525</v>
      </c>
      <c r="D173" s="45">
        <v>30</v>
      </c>
      <c r="E173" s="45" t="s">
        <v>588</v>
      </c>
      <c r="F173" s="42" t="str">
        <f>VLOOKUP(E173, 'S11 Work Stations'!$A$2:$B$45, 2, 0)</f>
        <v>TUR-6-Sp3-408</v>
      </c>
      <c r="G173" s="45">
        <v>240</v>
      </c>
      <c r="H173" s="3">
        <v>200</v>
      </c>
    </row>
    <row r="174" spans="1:8" s="44" customFormat="1" x14ac:dyDescent="0.2">
      <c r="A174" s="214" t="str">
        <f>C174&amp;"-"&amp;E174</f>
        <v>I-025-WS-29</v>
      </c>
      <c r="B174" s="214" t="str">
        <f>C174&amp;"-"&amp;D174</f>
        <v>I-025-40</v>
      </c>
      <c r="C174" s="45" t="s">
        <v>525</v>
      </c>
      <c r="D174" s="45">
        <v>40</v>
      </c>
      <c r="E174" s="45" t="s">
        <v>602</v>
      </c>
      <c r="F174" s="42" t="str">
        <f>VLOOKUP(E174, 'S11 Work Stations'!$A$2:$B$45, 2, 0)</f>
        <v>GR-T11-250</v>
      </c>
      <c r="G174" s="45">
        <v>300</v>
      </c>
      <c r="H174" s="3">
        <v>200</v>
      </c>
    </row>
    <row r="175" spans="1:8" s="44" customFormat="1" x14ac:dyDescent="0.2">
      <c r="A175" s="214" t="str">
        <f>C175&amp;"-"&amp;E175</f>
        <v>I-025-WS-41</v>
      </c>
      <c r="B175" s="214" t="str">
        <f>C175&amp;"-"&amp;D175</f>
        <v>I-025-20</v>
      </c>
      <c r="C175" s="45" t="s">
        <v>525</v>
      </c>
      <c r="D175" s="45">
        <v>20</v>
      </c>
      <c r="E175" s="45" t="s">
        <v>614</v>
      </c>
      <c r="F175" s="42" t="str">
        <f>VLOOKUP(E175, 'S11 Work Stations'!$A$2:$B$45, 2, 0)</f>
        <v>SAW-CNC-60-425</v>
      </c>
      <c r="G175" s="45">
        <v>60</v>
      </c>
      <c r="H175" s="3">
        <v>200</v>
      </c>
    </row>
    <row r="176" spans="1:8" s="44" customFormat="1" x14ac:dyDescent="0.2">
      <c r="A176" s="214" t="str">
        <f>C176&amp;"-"&amp;E176</f>
        <v>I-025-WS-43</v>
      </c>
      <c r="B176" s="214" t="str">
        <f>C176&amp;"-"&amp;D176</f>
        <v>I-025-10</v>
      </c>
      <c r="C176" s="45" t="s">
        <v>525</v>
      </c>
      <c r="D176" s="45">
        <v>10</v>
      </c>
      <c r="E176" s="45" t="s">
        <v>616</v>
      </c>
      <c r="F176" s="42" t="str">
        <f>VLOOKUP(E176, 'S11 Work Stations'!$A$2:$B$45, 2, 0)</f>
        <v>RAW-MAT-INV</v>
      </c>
      <c r="G176" s="45">
        <v>0</v>
      </c>
      <c r="H176" s="3">
        <v>200</v>
      </c>
    </row>
    <row r="177" spans="1:8" s="44" customFormat="1" x14ac:dyDescent="0.2">
      <c r="A177" s="214" t="str">
        <f>C177&amp;"-"&amp;E177</f>
        <v>I-025-WS-44</v>
      </c>
      <c r="B177" s="214" t="str">
        <f>C177&amp;"-"&amp;D177</f>
        <v>I-025-50</v>
      </c>
      <c r="C177" s="45" t="s">
        <v>525</v>
      </c>
      <c r="D177" s="45">
        <v>50</v>
      </c>
      <c r="E177" s="45" t="s">
        <v>617</v>
      </c>
      <c r="F177" s="42" t="str">
        <f>VLOOKUP(E177, 'S11 Work Stations'!$A$2:$B$45, 2, 0)</f>
        <v>FIN-GOOD-INV</v>
      </c>
      <c r="G177" s="45">
        <v>0</v>
      </c>
      <c r="H177" s="3">
        <v>200</v>
      </c>
    </row>
    <row r="178" spans="1:8" s="44" customFormat="1" x14ac:dyDescent="0.2">
      <c r="A178" s="214" t="str">
        <f>C178&amp;"-"&amp;E178</f>
        <v>I-026-WS-15</v>
      </c>
      <c r="B178" s="214" t="str">
        <f>C178&amp;"-"&amp;D178</f>
        <v>I-026-30</v>
      </c>
      <c r="C178" s="45" t="s">
        <v>526</v>
      </c>
      <c r="D178" s="45">
        <v>30</v>
      </c>
      <c r="E178" s="45" t="s">
        <v>588</v>
      </c>
      <c r="F178" s="42" t="str">
        <f>VLOOKUP(E178, 'S11 Work Stations'!$A$2:$B$45, 2, 0)</f>
        <v>TUR-6-Sp3-408</v>
      </c>
      <c r="G178" s="45">
        <v>300</v>
      </c>
      <c r="H178" s="3">
        <v>200</v>
      </c>
    </row>
    <row r="179" spans="1:8" s="44" customFormat="1" x14ac:dyDescent="0.2">
      <c r="A179" s="214" t="str">
        <f>C179&amp;"-"&amp;E179</f>
        <v>I-026-WS-29</v>
      </c>
      <c r="B179" s="214" t="str">
        <f>C179&amp;"-"&amp;D179</f>
        <v>I-026-40</v>
      </c>
      <c r="C179" s="45" t="s">
        <v>526</v>
      </c>
      <c r="D179" s="45">
        <v>40</v>
      </c>
      <c r="E179" s="45" t="s">
        <v>602</v>
      </c>
      <c r="F179" s="42" t="str">
        <f>VLOOKUP(E179, 'S11 Work Stations'!$A$2:$B$45, 2, 0)</f>
        <v>GR-T11-250</v>
      </c>
      <c r="G179" s="45">
        <v>300</v>
      </c>
      <c r="H179" s="3">
        <v>200</v>
      </c>
    </row>
    <row r="180" spans="1:8" s="44" customFormat="1" x14ac:dyDescent="0.2">
      <c r="A180" s="214" t="str">
        <f>C180&amp;"-"&amp;E180</f>
        <v>I-026-WS-41</v>
      </c>
      <c r="B180" s="214" t="str">
        <f>C180&amp;"-"&amp;D180</f>
        <v>I-026-20</v>
      </c>
      <c r="C180" s="45" t="s">
        <v>526</v>
      </c>
      <c r="D180" s="45">
        <v>20</v>
      </c>
      <c r="E180" s="45" t="s">
        <v>614</v>
      </c>
      <c r="F180" s="42" t="str">
        <f>VLOOKUP(E180, 'S11 Work Stations'!$A$2:$B$45, 2, 0)</f>
        <v>SAW-CNC-60-425</v>
      </c>
      <c r="G180" s="45">
        <v>60</v>
      </c>
      <c r="H180" s="3">
        <v>200</v>
      </c>
    </row>
    <row r="181" spans="1:8" s="44" customFormat="1" x14ac:dyDescent="0.2">
      <c r="A181" s="214" t="str">
        <f>C181&amp;"-"&amp;E181</f>
        <v>I-026-WS-43</v>
      </c>
      <c r="B181" s="214" t="str">
        <f>C181&amp;"-"&amp;D181</f>
        <v>I-026-10</v>
      </c>
      <c r="C181" s="45" t="s">
        <v>526</v>
      </c>
      <c r="D181" s="45">
        <v>10</v>
      </c>
      <c r="E181" s="45" t="s">
        <v>616</v>
      </c>
      <c r="F181" s="42" t="str">
        <f>VLOOKUP(E181, 'S11 Work Stations'!$A$2:$B$45, 2, 0)</f>
        <v>RAW-MAT-INV</v>
      </c>
      <c r="G181" s="45">
        <v>0</v>
      </c>
      <c r="H181" s="3">
        <v>200</v>
      </c>
    </row>
    <row r="182" spans="1:8" s="44" customFormat="1" x14ac:dyDescent="0.2">
      <c r="A182" s="214" t="str">
        <f>C182&amp;"-"&amp;E182</f>
        <v>I-026-WS-44</v>
      </c>
      <c r="B182" s="214" t="str">
        <f>C182&amp;"-"&amp;D182</f>
        <v>I-026-50</v>
      </c>
      <c r="C182" s="45" t="s">
        <v>526</v>
      </c>
      <c r="D182" s="45">
        <v>50</v>
      </c>
      <c r="E182" s="45" t="s">
        <v>617</v>
      </c>
      <c r="F182" s="42" t="str">
        <f>VLOOKUP(E182, 'S11 Work Stations'!$A$2:$B$45, 2, 0)</f>
        <v>FIN-GOOD-INV</v>
      </c>
      <c r="G182" s="45">
        <v>0</v>
      </c>
      <c r="H182" s="3">
        <v>200</v>
      </c>
    </row>
    <row r="183" spans="1:8" s="44" customFormat="1" x14ac:dyDescent="0.2">
      <c r="A183" s="214" t="str">
        <f>C183&amp;"-"&amp;E183</f>
        <v>I-027-WS-15</v>
      </c>
      <c r="B183" s="214" t="str">
        <f>C183&amp;"-"&amp;D183</f>
        <v>I-027-30</v>
      </c>
      <c r="C183" s="45" t="s">
        <v>527</v>
      </c>
      <c r="D183" s="45">
        <v>30</v>
      </c>
      <c r="E183" s="45" t="s">
        <v>588</v>
      </c>
      <c r="F183" s="42" t="str">
        <f>VLOOKUP(E183, 'S11 Work Stations'!$A$2:$B$45, 2, 0)</f>
        <v>TUR-6-Sp3-408</v>
      </c>
      <c r="G183" s="45">
        <v>300</v>
      </c>
      <c r="H183" s="3">
        <v>200</v>
      </c>
    </row>
    <row r="184" spans="1:8" s="44" customFormat="1" x14ac:dyDescent="0.2">
      <c r="A184" s="214" t="str">
        <f>C184&amp;"-"&amp;E184</f>
        <v>I-027-WS-29</v>
      </c>
      <c r="B184" s="214" t="str">
        <f>C184&amp;"-"&amp;D184</f>
        <v>I-027-40</v>
      </c>
      <c r="C184" s="45" t="s">
        <v>527</v>
      </c>
      <c r="D184" s="45">
        <v>40</v>
      </c>
      <c r="E184" s="45" t="s">
        <v>602</v>
      </c>
      <c r="F184" s="42" t="str">
        <f>VLOOKUP(E184, 'S11 Work Stations'!$A$2:$B$45, 2, 0)</f>
        <v>GR-T11-250</v>
      </c>
      <c r="G184" s="45">
        <v>360</v>
      </c>
      <c r="H184" s="3">
        <v>200</v>
      </c>
    </row>
    <row r="185" spans="1:8" s="44" customFormat="1" x14ac:dyDescent="0.2">
      <c r="A185" s="214" t="str">
        <f>C185&amp;"-"&amp;E185</f>
        <v>I-027-WS-41</v>
      </c>
      <c r="B185" s="214" t="str">
        <f>C185&amp;"-"&amp;D185</f>
        <v>I-027-20</v>
      </c>
      <c r="C185" s="45" t="s">
        <v>527</v>
      </c>
      <c r="D185" s="45">
        <v>20</v>
      </c>
      <c r="E185" s="45" t="s">
        <v>614</v>
      </c>
      <c r="F185" s="42" t="str">
        <f>VLOOKUP(E185, 'S11 Work Stations'!$A$2:$B$45, 2, 0)</f>
        <v>SAW-CNC-60-425</v>
      </c>
      <c r="G185" s="45">
        <v>120</v>
      </c>
      <c r="H185" s="3">
        <v>200</v>
      </c>
    </row>
    <row r="186" spans="1:8" s="44" customFormat="1" x14ac:dyDescent="0.2">
      <c r="A186" s="214" t="str">
        <f>C186&amp;"-"&amp;E186</f>
        <v>I-027-WS-43</v>
      </c>
      <c r="B186" s="214" t="str">
        <f>C186&amp;"-"&amp;D186</f>
        <v>I-027-10</v>
      </c>
      <c r="C186" s="45" t="s">
        <v>527</v>
      </c>
      <c r="D186" s="45">
        <v>10</v>
      </c>
      <c r="E186" s="45" t="s">
        <v>616</v>
      </c>
      <c r="F186" s="42" t="str">
        <f>VLOOKUP(E186, 'S11 Work Stations'!$A$2:$B$45, 2, 0)</f>
        <v>RAW-MAT-INV</v>
      </c>
      <c r="G186" s="45">
        <v>0</v>
      </c>
      <c r="H186" s="3">
        <v>200</v>
      </c>
    </row>
    <row r="187" spans="1:8" s="44" customFormat="1" x14ac:dyDescent="0.2">
      <c r="A187" s="214" t="str">
        <f>C187&amp;"-"&amp;E187</f>
        <v>I-027-WS-44</v>
      </c>
      <c r="B187" s="214" t="str">
        <f>C187&amp;"-"&amp;D187</f>
        <v>I-027-50</v>
      </c>
      <c r="C187" s="45" t="s">
        <v>527</v>
      </c>
      <c r="D187" s="45">
        <v>50</v>
      </c>
      <c r="E187" s="45" t="s">
        <v>617</v>
      </c>
      <c r="F187" s="42" t="str">
        <f>VLOOKUP(E187, 'S11 Work Stations'!$A$2:$B$45, 2, 0)</f>
        <v>FIN-GOOD-INV</v>
      </c>
      <c r="G187" s="45">
        <v>0</v>
      </c>
      <c r="H187" s="3">
        <v>200</v>
      </c>
    </row>
    <row r="188" spans="1:8" s="44" customFormat="1" x14ac:dyDescent="0.2">
      <c r="A188" s="214" t="str">
        <f>C188&amp;"-"&amp;E188</f>
        <v>I-028-WS-15</v>
      </c>
      <c r="B188" s="214" t="str">
        <f>C188&amp;"-"&amp;D188</f>
        <v>I-028-30</v>
      </c>
      <c r="C188" s="45" t="s">
        <v>528</v>
      </c>
      <c r="D188" s="45">
        <v>30</v>
      </c>
      <c r="E188" s="45" t="s">
        <v>588</v>
      </c>
      <c r="F188" s="42" t="str">
        <f>VLOOKUP(E188, 'S11 Work Stations'!$A$2:$B$45, 2, 0)</f>
        <v>TUR-6-Sp3-408</v>
      </c>
      <c r="G188" s="45">
        <v>360</v>
      </c>
      <c r="H188" s="3">
        <v>200</v>
      </c>
    </row>
    <row r="189" spans="1:8" s="44" customFormat="1" x14ac:dyDescent="0.2">
      <c r="A189" s="214" t="str">
        <f>C189&amp;"-"&amp;E189</f>
        <v>I-028-WS-25</v>
      </c>
      <c r="B189" s="214" t="str">
        <f>C189&amp;"-"&amp;D189</f>
        <v>I-028-50</v>
      </c>
      <c r="C189" s="45" t="s">
        <v>528</v>
      </c>
      <c r="D189" s="45">
        <v>50</v>
      </c>
      <c r="E189" s="45" t="s">
        <v>598</v>
      </c>
      <c r="F189" s="42" t="str">
        <f>VLOOKUP(E189, 'S11 Work Stations'!$A$2:$B$45, 2, 0)</f>
        <v>DR-2A-201</v>
      </c>
      <c r="G189" s="45">
        <v>780</v>
      </c>
      <c r="H189" s="3">
        <v>200</v>
      </c>
    </row>
    <row r="190" spans="1:8" s="44" customFormat="1" x14ac:dyDescent="0.2">
      <c r="A190" s="214" t="str">
        <f>C190&amp;"-"&amp;E190</f>
        <v>I-028-WS-29</v>
      </c>
      <c r="B190" s="214" t="str">
        <f>C190&amp;"-"&amp;D190</f>
        <v>I-028-40</v>
      </c>
      <c r="C190" s="45" t="s">
        <v>528</v>
      </c>
      <c r="D190" s="45">
        <v>40</v>
      </c>
      <c r="E190" s="45" t="s">
        <v>602</v>
      </c>
      <c r="F190" s="42" t="str">
        <f>VLOOKUP(E190, 'S11 Work Stations'!$A$2:$B$45, 2, 0)</f>
        <v>GR-T11-250</v>
      </c>
      <c r="G190" s="45">
        <v>360</v>
      </c>
      <c r="H190" s="3">
        <v>200</v>
      </c>
    </row>
    <row r="191" spans="1:8" s="44" customFormat="1" x14ac:dyDescent="0.2">
      <c r="A191" s="214" t="str">
        <f>C191&amp;"-"&amp;E191</f>
        <v>I-028-WS-41</v>
      </c>
      <c r="B191" s="214" t="str">
        <f>C191&amp;"-"&amp;D191</f>
        <v>I-028-20</v>
      </c>
      <c r="C191" s="45" t="s">
        <v>528</v>
      </c>
      <c r="D191" s="45">
        <v>20</v>
      </c>
      <c r="E191" s="45" t="s">
        <v>614</v>
      </c>
      <c r="F191" s="42" t="str">
        <f>VLOOKUP(E191, 'S11 Work Stations'!$A$2:$B$45, 2, 0)</f>
        <v>SAW-CNC-60-425</v>
      </c>
      <c r="G191" s="45">
        <v>60</v>
      </c>
      <c r="H191" s="3">
        <v>200</v>
      </c>
    </row>
    <row r="192" spans="1:8" s="44" customFormat="1" x14ac:dyDescent="0.2">
      <c r="A192" s="214" t="str">
        <f>C192&amp;"-"&amp;E192</f>
        <v>I-028-WS-43</v>
      </c>
      <c r="B192" s="214" t="str">
        <f>C192&amp;"-"&amp;D192</f>
        <v>I-028-10</v>
      </c>
      <c r="C192" s="45" t="s">
        <v>528</v>
      </c>
      <c r="D192" s="45">
        <v>10</v>
      </c>
      <c r="E192" s="45" t="s">
        <v>616</v>
      </c>
      <c r="F192" s="42" t="str">
        <f>VLOOKUP(E192, 'S11 Work Stations'!$A$2:$B$45, 2, 0)</f>
        <v>RAW-MAT-INV</v>
      </c>
      <c r="G192" s="45">
        <v>0</v>
      </c>
      <c r="H192" s="3">
        <v>200</v>
      </c>
    </row>
    <row r="193" spans="1:8" s="44" customFormat="1" x14ac:dyDescent="0.2">
      <c r="A193" s="214" t="str">
        <f>C193&amp;"-"&amp;E193</f>
        <v>I-028-WS-44</v>
      </c>
      <c r="B193" s="214" t="str">
        <f>C193&amp;"-"&amp;D193</f>
        <v>I-028-60</v>
      </c>
      <c r="C193" s="45" t="s">
        <v>528</v>
      </c>
      <c r="D193" s="45">
        <v>60</v>
      </c>
      <c r="E193" s="45" t="s">
        <v>617</v>
      </c>
      <c r="F193" s="42" t="str">
        <f>VLOOKUP(E193, 'S11 Work Stations'!$A$2:$B$45, 2, 0)</f>
        <v>FIN-GOOD-INV</v>
      </c>
      <c r="G193" s="45">
        <v>0</v>
      </c>
      <c r="H193" s="3">
        <v>200</v>
      </c>
    </row>
    <row r="194" spans="1:8" s="44" customFormat="1" x14ac:dyDescent="0.2">
      <c r="A194" s="214" t="str">
        <f>C194&amp;"-"&amp;E194</f>
        <v>I-029-WS-15</v>
      </c>
      <c r="B194" s="214" t="str">
        <f>C194&amp;"-"&amp;D194</f>
        <v>I-029-30</v>
      </c>
      <c r="C194" s="45" t="s">
        <v>529</v>
      </c>
      <c r="D194" s="45">
        <v>30</v>
      </c>
      <c r="E194" s="45" t="s">
        <v>588</v>
      </c>
      <c r="F194" s="42" t="str">
        <f>VLOOKUP(E194, 'S11 Work Stations'!$A$2:$B$45, 2, 0)</f>
        <v>TUR-6-Sp3-408</v>
      </c>
      <c r="G194" s="45">
        <v>420</v>
      </c>
      <c r="H194" s="3">
        <v>200</v>
      </c>
    </row>
    <row r="195" spans="1:8" s="44" customFormat="1" x14ac:dyDescent="0.2">
      <c r="A195" s="214" t="str">
        <f>C195&amp;"-"&amp;E195</f>
        <v>I-029-WS-29</v>
      </c>
      <c r="B195" s="214" t="str">
        <f>C195&amp;"-"&amp;D195</f>
        <v>I-029-40</v>
      </c>
      <c r="C195" s="45" t="s">
        <v>529</v>
      </c>
      <c r="D195" s="45">
        <v>40</v>
      </c>
      <c r="E195" s="45" t="s">
        <v>602</v>
      </c>
      <c r="F195" s="42" t="str">
        <f>VLOOKUP(E195, 'S11 Work Stations'!$A$2:$B$45, 2, 0)</f>
        <v>GR-T11-250</v>
      </c>
      <c r="G195" s="45">
        <v>360</v>
      </c>
      <c r="H195" s="3">
        <v>200</v>
      </c>
    </row>
    <row r="196" spans="1:8" s="44" customFormat="1" x14ac:dyDescent="0.2">
      <c r="A196" s="214" t="str">
        <f>C196&amp;"-"&amp;E196</f>
        <v>I-029-WS-41</v>
      </c>
      <c r="B196" s="214" t="str">
        <f>C196&amp;"-"&amp;D196</f>
        <v>I-029-20</v>
      </c>
      <c r="C196" s="45" t="s">
        <v>529</v>
      </c>
      <c r="D196" s="45">
        <v>20</v>
      </c>
      <c r="E196" s="45" t="s">
        <v>614</v>
      </c>
      <c r="F196" s="42" t="str">
        <f>VLOOKUP(E196, 'S11 Work Stations'!$A$2:$B$45, 2, 0)</f>
        <v>SAW-CNC-60-425</v>
      </c>
      <c r="G196" s="45">
        <v>120</v>
      </c>
      <c r="H196" s="3">
        <v>200</v>
      </c>
    </row>
    <row r="197" spans="1:8" s="44" customFormat="1" x14ac:dyDescent="0.2">
      <c r="A197" s="214" t="str">
        <f>C197&amp;"-"&amp;E197</f>
        <v>I-029-WS-43</v>
      </c>
      <c r="B197" s="214" t="str">
        <f>C197&amp;"-"&amp;D197</f>
        <v>I-029-10</v>
      </c>
      <c r="C197" s="45" t="s">
        <v>529</v>
      </c>
      <c r="D197" s="45">
        <v>10</v>
      </c>
      <c r="E197" s="45" t="s">
        <v>616</v>
      </c>
      <c r="F197" s="42" t="str">
        <f>VLOOKUP(E197, 'S11 Work Stations'!$A$2:$B$45, 2, 0)</f>
        <v>RAW-MAT-INV</v>
      </c>
      <c r="G197" s="45">
        <v>0</v>
      </c>
      <c r="H197" s="3">
        <v>200</v>
      </c>
    </row>
    <row r="198" spans="1:8" s="44" customFormat="1" x14ac:dyDescent="0.2">
      <c r="A198" s="214" t="str">
        <f>C198&amp;"-"&amp;E198</f>
        <v>I-029-WS-44</v>
      </c>
      <c r="B198" s="214" t="str">
        <f>C198&amp;"-"&amp;D198</f>
        <v>I-029-50</v>
      </c>
      <c r="C198" s="45" t="s">
        <v>529</v>
      </c>
      <c r="D198" s="45">
        <v>50</v>
      </c>
      <c r="E198" s="45" t="s">
        <v>617</v>
      </c>
      <c r="F198" s="42" t="str">
        <f>VLOOKUP(E198, 'S11 Work Stations'!$A$2:$B$45, 2, 0)</f>
        <v>FIN-GOOD-INV</v>
      </c>
      <c r="G198" s="45">
        <v>0</v>
      </c>
      <c r="H198" s="3">
        <v>200</v>
      </c>
    </row>
    <row r="199" spans="1:8" s="44" customFormat="1" x14ac:dyDescent="0.2">
      <c r="A199" s="214" t="str">
        <f>C199&amp;"-"&amp;E199</f>
        <v>I-030-WS-12</v>
      </c>
      <c r="B199" s="214" t="str">
        <f>C199&amp;"-"&amp;D199</f>
        <v>I-030-30</v>
      </c>
      <c r="C199" s="45" t="s">
        <v>530</v>
      </c>
      <c r="D199" s="45">
        <v>30</v>
      </c>
      <c r="E199" s="45" t="s">
        <v>585</v>
      </c>
      <c r="F199" s="42" t="str">
        <f>VLOOKUP(E199, 'S11 Work Stations'!$A$2:$B$45, 2, 0)</f>
        <v>TUR-15-250-405</v>
      </c>
      <c r="G199" s="45">
        <v>420</v>
      </c>
      <c r="H199" s="3">
        <v>200</v>
      </c>
    </row>
    <row r="200" spans="1:8" s="44" customFormat="1" x14ac:dyDescent="0.2">
      <c r="A200" s="214" t="str">
        <f>C200&amp;"-"&amp;E200</f>
        <v>I-030-WS-28</v>
      </c>
      <c r="B200" s="214" t="str">
        <f>C200&amp;"-"&amp;D200</f>
        <v>I-030-40</v>
      </c>
      <c r="C200" s="45" t="s">
        <v>530</v>
      </c>
      <c r="D200" s="45">
        <v>40</v>
      </c>
      <c r="E200" s="45" t="s">
        <v>601</v>
      </c>
      <c r="F200" s="42" t="str">
        <f>VLOOKUP(E200, 'S11 Work Stations'!$A$2:$B$45, 2, 0)</f>
        <v>DR-T3-204</v>
      </c>
      <c r="G200" s="45">
        <v>300</v>
      </c>
      <c r="H200" s="3">
        <v>200</v>
      </c>
    </row>
    <row r="201" spans="1:8" s="44" customFormat="1" x14ac:dyDescent="0.2">
      <c r="A201" s="214" t="str">
        <f>C201&amp;"-"&amp;E201</f>
        <v>I-030-WS-41</v>
      </c>
      <c r="B201" s="214" t="str">
        <f>C201&amp;"-"&amp;D201</f>
        <v>I-030-20</v>
      </c>
      <c r="C201" s="45" t="s">
        <v>530</v>
      </c>
      <c r="D201" s="45">
        <v>20</v>
      </c>
      <c r="E201" s="45" t="s">
        <v>614</v>
      </c>
      <c r="F201" s="42" t="str">
        <f>VLOOKUP(E201, 'S11 Work Stations'!$A$2:$B$45, 2, 0)</f>
        <v>SAW-CNC-60-425</v>
      </c>
      <c r="G201" s="45">
        <v>60</v>
      </c>
      <c r="H201" s="3">
        <v>200</v>
      </c>
    </row>
    <row r="202" spans="1:8" s="44" customFormat="1" x14ac:dyDescent="0.2">
      <c r="A202" s="214" t="str">
        <f>C202&amp;"-"&amp;E202</f>
        <v>I-030-WS-43</v>
      </c>
      <c r="B202" s="214" t="str">
        <f>C202&amp;"-"&amp;D202</f>
        <v>I-030-10</v>
      </c>
      <c r="C202" s="45" t="s">
        <v>530</v>
      </c>
      <c r="D202" s="45">
        <v>10</v>
      </c>
      <c r="E202" s="45" t="s">
        <v>616</v>
      </c>
      <c r="F202" s="42" t="str">
        <f>VLOOKUP(E202, 'S11 Work Stations'!$A$2:$B$45, 2, 0)</f>
        <v>RAW-MAT-INV</v>
      </c>
      <c r="G202" s="45">
        <v>0</v>
      </c>
      <c r="H202" s="3">
        <v>200</v>
      </c>
    </row>
    <row r="203" spans="1:8" s="44" customFormat="1" x14ac:dyDescent="0.2">
      <c r="A203" s="214" t="str">
        <f>C203&amp;"-"&amp;E203</f>
        <v>I-030-WS-44</v>
      </c>
      <c r="B203" s="214" t="str">
        <f>C203&amp;"-"&amp;D203</f>
        <v>I-030-50</v>
      </c>
      <c r="C203" s="45" t="s">
        <v>530</v>
      </c>
      <c r="D203" s="45">
        <v>50</v>
      </c>
      <c r="E203" s="45" t="s">
        <v>617</v>
      </c>
      <c r="F203" s="42" t="str">
        <f>VLOOKUP(E203, 'S11 Work Stations'!$A$2:$B$45, 2, 0)</f>
        <v>FIN-GOOD-INV</v>
      </c>
      <c r="G203" s="45">
        <v>0</v>
      </c>
      <c r="H203" s="3">
        <v>200</v>
      </c>
    </row>
    <row r="204" spans="1:8" s="44" customFormat="1" x14ac:dyDescent="0.2">
      <c r="A204" s="214" t="str">
        <f>C204&amp;"-"&amp;E204</f>
        <v>I-031-WS-15</v>
      </c>
      <c r="B204" s="214" t="str">
        <f>C204&amp;"-"&amp;D204</f>
        <v>I-031-30</v>
      </c>
      <c r="C204" s="45" t="s">
        <v>531</v>
      </c>
      <c r="D204" s="45">
        <v>30</v>
      </c>
      <c r="E204" s="45" t="s">
        <v>588</v>
      </c>
      <c r="F204" s="42" t="str">
        <f>VLOOKUP(E204, 'S11 Work Stations'!$A$2:$B$45, 2, 0)</f>
        <v>TUR-6-Sp3-408</v>
      </c>
      <c r="G204" s="45">
        <v>480</v>
      </c>
      <c r="H204" s="3">
        <v>200</v>
      </c>
    </row>
    <row r="205" spans="1:8" s="44" customFormat="1" x14ac:dyDescent="0.2">
      <c r="A205" s="214" t="str">
        <f>C205&amp;"-"&amp;E205</f>
        <v>I-031-WS-25</v>
      </c>
      <c r="B205" s="214" t="str">
        <f>C205&amp;"-"&amp;D205</f>
        <v>I-031-50</v>
      </c>
      <c r="C205" s="45" t="s">
        <v>531</v>
      </c>
      <c r="D205" s="45">
        <v>50</v>
      </c>
      <c r="E205" s="45" t="s">
        <v>598</v>
      </c>
      <c r="F205" s="42" t="str">
        <f>VLOOKUP(E205, 'S11 Work Stations'!$A$2:$B$45, 2, 0)</f>
        <v>DR-2A-201</v>
      </c>
      <c r="G205" s="45">
        <v>780</v>
      </c>
      <c r="H205" s="3">
        <v>200</v>
      </c>
    </row>
    <row r="206" spans="1:8" s="44" customFormat="1" x14ac:dyDescent="0.2">
      <c r="A206" s="214" t="str">
        <f>C206&amp;"-"&amp;E206</f>
        <v>I-031-WS-29</v>
      </c>
      <c r="B206" s="214" t="str">
        <f>C206&amp;"-"&amp;D206</f>
        <v>I-031-40</v>
      </c>
      <c r="C206" s="45" t="s">
        <v>531</v>
      </c>
      <c r="D206" s="45">
        <v>40</v>
      </c>
      <c r="E206" s="45" t="s">
        <v>602</v>
      </c>
      <c r="F206" s="42" t="str">
        <f>VLOOKUP(E206, 'S11 Work Stations'!$A$2:$B$45, 2, 0)</f>
        <v>GR-T11-250</v>
      </c>
      <c r="G206" s="45">
        <v>300</v>
      </c>
      <c r="H206" s="3">
        <v>200</v>
      </c>
    </row>
    <row r="207" spans="1:8" s="44" customFormat="1" x14ac:dyDescent="0.2">
      <c r="A207" s="214" t="str">
        <f>C207&amp;"-"&amp;E207</f>
        <v>I-031-WS-41</v>
      </c>
      <c r="B207" s="214" t="str">
        <f>C207&amp;"-"&amp;D207</f>
        <v>I-031-20</v>
      </c>
      <c r="C207" s="45" t="s">
        <v>531</v>
      </c>
      <c r="D207" s="45">
        <v>20</v>
      </c>
      <c r="E207" s="45" t="s">
        <v>614</v>
      </c>
      <c r="F207" s="42" t="str">
        <f>VLOOKUP(E207, 'S11 Work Stations'!$A$2:$B$45, 2, 0)</f>
        <v>SAW-CNC-60-425</v>
      </c>
      <c r="G207" s="45">
        <v>60</v>
      </c>
      <c r="H207" s="3">
        <v>200</v>
      </c>
    </row>
    <row r="208" spans="1:8" s="44" customFormat="1" x14ac:dyDescent="0.2">
      <c r="A208" s="214" t="str">
        <f>C208&amp;"-"&amp;E208</f>
        <v>I-031-WS-42</v>
      </c>
      <c r="B208" s="214" t="str">
        <f>C208&amp;"-"&amp;D208</f>
        <v>I-031-60</v>
      </c>
      <c r="C208" s="45" t="s">
        <v>531</v>
      </c>
      <c r="D208" s="45">
        <v>60</v>
      </c>
      <c r="E208" s="45" t="s">
        <v>615</v>
      </c>
      <c r="F208" s="42" t="str">
        <f>VLOOKUP(E208, 'S11 Work Stations'!$A$2:$B$45, 2, 0)</f>
        <v>TEMP-A01-202</v>
      </c>
      <c r="G208" s="45">
        <v>300</v>
      </c>
      <c r="H208" s="3">
        <v>200</v>
      </c>
    </row>
    <row r="209" spans="1:8" s="44" customFormat="1" x14ac:dyDescent="0.2">
      <c r="A209" s="214" t="str">
        <f>C209&amp;"-"&amp;E209</f>
        <v>I-031-WS-43</v>
      </c>
      <c r="B209" s="214" t="str">
        <f>C209&amp;"-"&amp;D209</f>
        <v>I-031-10</v>
      </c>
      <c r="C209" s="45" t="s">
        <v>531</v>
      </c>
      <c r="D209" s="45">
        <v>10</v>
      </c>
      <c r="E209" s="45" t="s">
        <v>616</v>
      </c>
      <c r="F209" s="42" t="str">
        <f>VLOOKUP(E209, 'S11 Work Stations'!$A$2:$B$45, 2, 0)</f>
        <v>RAW-MAT-INV</v>
      </c>
      <c r="G209" s="45">
        <v>0</v>
      </c>
      <c r="H209" s="3">
        <v>200</v>
      </c>
    </row>
    <row r="210" spans="1:8" s="44" customFormat="1" x14ac:dyDescent="0.2">
      <c r="A210" s="214" t="str">
        <f>C210&amp;"-"&amp;E210</f>
        <v>I-031-WS-44</v>
      </c>
      <c r="B210" s="214" t="str">
        <f>C210&amp;"-"&amp;D210</f>
        <v>I-031-70</v>
      </c>
      <c r="C210" s="45" t="s">
        <v>531</v>
      </c>
      <c r="D210" s="45">
        <v>70</v>
      </c>
      <c r="E210" s="45" t="s">
        <v>617</v>
      </c>
      <c r="F210" s="42" t="str">
        <f>VLOOKUP(E210, 'S11 Work Stations'!$A$2:$B$45, 2, 0)</f>
        <v>FIN-GOOD-INV</v>
      </c>
      <c r="G210" s="45">
        <v>0</v>
      </c>
      <c r="H210" s="3">
        <v>200</v>
      </c>
    </row>
    <row r="211" spans="1:8" s="44" customFormat="1" x14ac:dyDescent="0.2">
      <c r="A211" s="214" t="str">
        <f>C211&amp;"-"&amp;E211</f>
        <v>I-032-WS-15</v>
      </c>
      <c r="B211" s="214" t="str">
        <f>C211&amp;"-"&amp;D211</f>
        <v>I-032-30</v>
      </c>
      <c r="C211" s="45" t="s">
        <v>532</v>
      </c>
      <c r="D211" s="45">
        <v>30</v>
      </c>
      <c r="E211" s="45" t="s">
        <v>588</v>
      </c>
      <c r="F211" s="42" t="str">
        <f>VLOOKUP(E211, 'S11 Work Stations'!$A$2:$B$45, 2, 0)</f>
        <v>TUR-6-Sp3-408</v>
      </c>
      <c r="G211" s="45">
        <v>180</v>
      </c>
      <c r="H211" s="3">
        <v>200</v>
      </c>
    </row>
    <row r="212" spans="1:8" s="44" customFormat="1" x14ac:dyDescent="0.2">
      <c r="A212" s="214" t="str">
        <f>C212&amp;"-"&amp;E212</f>
        <v>I-032-WS-27</v>
      </c>
      <c r="B212" s="214" t="str">
        <f>C212&amp;"-"&amp;D212</f>
        <v>I-032-40</v>
      </c>
      <c r="C212" s="45" t="s">
        <v>532</v>
      </c>
      <c r="D212" s="45">
        <v>40</v>
      </c>
      <c r="E212" s="45" t="s">
        <v>600</v>
      </c>
      <c r="F212" s="42" t="str">
        <f>VLOOKUP(E212, 'S11 Work Stations'!$A$2:$B$45, 2, 0)</f>
        <v>GR-T1-203</v>
      </c>
      <c r="G212" s="45">
        <v>360</v>
      </c>
      <c r="H212" s="3">
        <v>200</v>
      </c>
    </row>
    <row r="213" spans="1:8" s="44" customFormat="1" x14ac:dyDescent="0.2">
      <c r="A213" s="214" t="str">
        <f>C213&amp;"-"&amp;E213</f>
        <v>I-032-WS-41</v>
      </c>
      <c r="B213" s="214" t="str">
        <f>C213&amp;"-"&amp;D213</f>
        <v>I-032-20</v>
      </c>
      <c r="C213" s="45" t="s">
        <v>532</v>
      </c>
      <c r="D213" s="45">
        <v>20</v>
      </c>
      <c r="E213" s="45" t="s">
        <v>614</v>
      </c>
      <c r="F213" s="42" t="str">
        <f>VLOOKUP(E213, 'S11 Work Stations'!$A$2:$B$45, 2, 0)</f>
        <v>SAW-CNC-60-425</v>
      </c>
      <c r="G213" s="45">
        <v>60</v>
      </c>
      <c r="H213" s="3">
        <v>200</v>
      </c>
    </row>
    <row r="214" spans="1:8" s="44" customFormat="1" x14ac:dyDescent="0.2">
      <c r="A214" s="214" t="str">
        <f>C214&amp;"-"&amp;E214</f>
        <v>I-032-WS-43</v>
      </c>
      <c r="B214" s="214" t="str">
        <f>C214&amp;"-"&amp;D214</f>
        <v>I-032-10</v>
      </c>
      <c r="C214" s="45" t="s">
        <v>532</v>
      </c>
      <c r="D214" s="45">
        <v>10</v>
      </c>
      <c r="E214" s="45" t="s">
        <v>616</v>
      </c>
      <c r="F214" s="42" t="str">
        <f>VLOOKUP(E214, 'S11 Work Stations'!$A$2:$B$45, 2, 0)</f>
        <v>RAW-MAT-INV</v>
      </c>
      <c r="G214" s="45">
        <v>0</v>
      </c>
      <c r="H214" s="3">
        <v>200</v>
      </c>
    </row>
    <row r="215" spans="1:8" s="44" customFormat="1" x14ac:dyDescent="0.2">
      <c r="A215" s="214" t="str">
        <f>C215&amp;"-"&amp;E215</f>
        <v>I-032-WS-44</v>
      </c>
      <c r="B215" s="214" t="str">
        <f>C215&amp;"-"&amp;D215</f>
        <v>I-032-50</v>
      </c>
      <c r="C215" s="45" t="s">
        <v>532</v>
      </c>
      <c r="D215" s="45">
        <v>50</v>
      </c>
      <c r="E215" s="45" t="s">
        <v>617</v>
      </c>
      <c r="F215" s="42" t="str">
        <f>VLOOKUP(E215, 'S11 Work Stations'!$A$2:$B$45, 2, 0)</f>
        <v>FIN-GOOD-INV</v>
      </c>
      <c r="G215" s="45">
        <v>0</v>
      </c>
      <c r="H215" s="3">
        <v>200</v>
      </c>
    </row>
    <row r="216" spans="1:8" s="44" customFormat="1" x14ac:dyDescent="0.2">
      <c r="A216" s="214" t="str">
        <f>C216&amp;"-"&amp;E216</f>
        <v>I-033-WS-16</v>
      </c>
      <c r="B216" s="214" t="str">
        <f>C216&amp;"-"&amp;D216</f>
        <v>I-033-30</v>
      </c>
      <c r="C216" s="45" t="s">
        <v>533</v>
      </c>
      <c r="D216" s="45">
        <v>30</v>
      </c>
      <c r="E216" s="45" t="s">
        <v>589</v>
      </c>
      <c r="F216" s="42" t="str">
        <f>VLOOKUP(E216, 'S11 Work Stations'!$A$2:$B$45, 2, 0)</f>
        <v>TUR-6-Sp4-409</v>
      </c>
      <c r="G216" s="45">
        <v>540</v>
      </c>
      <c r="H216" s="3">
        <v>200</v>
      </c>
    </row>
    <row r="217" spans="1:8" s="44" customFormat="1" x14ac:dyDescent="0.2">
      <c r="A217" s="214" t="str">
        <f>C217&amp;"-"&amp;E217</f>
        <v>I-033-WS-25</v>
      </c>
      <c r="B217" s="214" t="str">
        <f>C217&amp;"-"&amp;D217</f>
        <v>I-033-50</v>
      </c>
      <c r="C217" s="45" t="s">
        <v>533</v>
      </c>
      <c r="D217" s="45">
        <v>50</v>
      </c>
      <c r="E217" s="45" t="s">
        <v>598</v>
      </c>
      <c r="F217" s="42" t="str">
        <f>VLOOKUP(E217, 'S11 Work Stations'!$A$2:$B$45, 2, 0)</f>
        <v>DR-2A-201</v>
      </c>
      <c r="G217" s="45">
        <v>480</v>
      </c>
      <c r="H217" s="3">
        <v>200</v>
      </c>
    </row>
    <row r="218" spans="1:8" s="44" customFormat="1" x14ac:dyDescent="0.2">
      <c r="A218" s="214" t="str">
        <f>C218&amp;"-"&amp;E218</f>
        <v>I-033-WS-27</v>
      </c>
      <c r="B218" s="214" t="str">
        <f>C218&amp;"-"&amp;D218</f>
        <v>I-033-40</v>
      </c>
      <c r="C218" s="45" t="s">
        <v>533</v>
      </c>
      <c r="D218" s="45">
        <v>40</v>
      </c>
      <c r="E218" s="45" t="s">
        <v>600</v>
      </c>
      <c r="F218" s="42" t="str">
        <f>VLOOKUP(E218, 'S11 Work Stations'!$A$2:$B$45, 2, 0)</f>
        <v>GR-T1-203</v>
      </c>
      <c r="G218" s="45">
        <v>360</v>
      </c>
      <c r="H218" s="3">
        <v>200</v>
      </c>
    </row>
    <row r="219" spans="1:8" s="44" customFormat="1" x14ac:dyDescent="0.2">
      <c r="A219" s="214" t="str">
        <f>C219&amp;"-"&amp;E219</f>
        <v>I-033-WS-41</v>
      </c>
      <c r="B219" s="214" t="str">
        <f>C219&amp;"-"&amp;D219</f>
        <v>I-033-20</v>
      </c>
      <c r="C219" s="45" t="s">
        <v>533</v>
      </c>
      <c r="D219" s="45">
        <v>20</v>
      </c>
      <c r="E219" s="45" t="s">
        <v>614</v>
      </c>
      <c r="F219" s="42" t="str">
        <f>VLOOKUP(E219, 'S11 Work Stations'!$A$2:$B$45, 2, 0)</f>
        <v>SAW-CNC-60-425</v>
      </c>
      <c r="G219" s="45">
        <v>60</v>
      </c>
      <c r="H219" s="3">
        <v>200</v>
      </c>
    </row>
    <row r="220" spans="1:8" s="44" customFormat="1" x14ac:dyDescent="0.2">
      <c r="A220" s="214" t="str">
        <f>C220&amp;"-"&amp;E220</f>
        <v>I-033-WS-42</v>
      </c>
      <c r="B220" s="214" t="str">
        <f>C220&amp;"-"&amp;D220</f>
        <v>I-033-60</v>
      </c>
      <c r="C220" s="45" t="s">
        <v>533</v>
      </c>
      <c r="D220" s="45">
        <v>60</v>
      </c>
      <c r="E220" s="45" t="s">
        <v>615</v>
      </c>
      <c r="F220" s="42" t="str">
        <f>VLOOKUP(E220, 'S11 Work Stations'!$A$2:$B$45, 2, 0)</f>
        <v>TEMP-A01-202</v>
      </c>
      <c r="G220" s="45">
        <v>300</v>
      </c>
      <c r="H220" s="3">
        <v>200</v>
      </c>
    </row>
    <row r="221" spans="1:8" s="44" customFormat="1" x14ac:dyDescent="0.2">
      <c r="A221" s="214" t="str">
        <f>C221&amp;"-"&amp;E221</f>
        <v>I-033-WS-43</v>
      </c>
      <c r="B221" s="214" t="str">
        <f>C221&amp;"-"&amp;D221</f>
        <v>I-033-10</v>
      </c>
      <c r="C221" s="45" t="s">
        <v>533</v>
      </c>
      <c r="D221" s="45">
        <v>10</v>
      </c>
      <c r="E221" s="45" t="s">
        <v>616</v>
      </c>
      <c r="F221" s="42" t="str">
        <f>VLOOKUP(E221, 'S11 Work Stations'!$A$2:$B$45, 2, 0)</f>
        <v>RAW-MAT-INV</v>
      </c>
      <c r="G221" s="45">
        <v>0</v>
      </c>
      <c r="H221" s="3">
        <v>200</v>
      </c>
    </row>
    <row r="222" spans="1:8" s="44" customFormat="1" x14ac:dyDescent="0.2">
      <c r="A222" s="214" t="str">
        <f>C222&amp;"-"&amp;E222</f>
        <v>I-033-WS-44</v>
      </c>
      <c r="B222" s="214" t="str">
        <f>C222&amp;"-"&amp;D222</f>
        <v>I-033-70</v>
      </c>
      <c r="C222" s="45" t="s">
        <v>533</v>
      </c>
      <c r="D222" s="45">
        <v>70</v>
      </c>
      <c r="E222" s="45" t="s">
        <v>617</v>
      </c>
      <c r="F222" s="42" t="str">
        <f>VLOOKUP(E222, 'S11 Work Stations'!$A$2:$B$45, 2, 0)</f>
        <v>FIN-GOOD-INV</v>
      </c>
      <c r="G222" s="45">
        <v>0</v>
      </c>
      <c r="H222" s="3">
        <v>200</v>
      </c>
    </row>
    <row r="223" spans="1:8" s="44" customFormat="1" x14ac:dyDescent="0.2">
      <c r="A223" s="214" t="str">
        <f>C223&amp;"-"&amp;E223</f>
        <v>I-034-WS-16</v>
      </c>
      <c r="B223" s="214" t="str">
        <f>C223&amp;"-"&amp;D223</f>
        <v>I-034-30</v>
      </c>
      <c r="C223" s="45" t="s">
        <v>534</v>
      </c>
      <c r="D223" s="45">
        <v>30</v>
      </c>
      <c r="E223" s="45" t="s">
        <v>589</v>
      </c>
      <c r="F223" s="42" t="str">
        <f>VLOOKUP(E223, 'S11 Work Stations'!$A$2:$B$45, 2, 0)</f>
        <v>TUR-6-Sp4-409</v>
      </c>
      <c r="G223" s="45">
        <v>540</v>
      </c>
      <c r="H223" s="3">
        <v>200</v>
      </c>
    </row>
    <row r="224" spans="1:8" s="44" customFormat="1" x14ac:dyDescent="0.2">
      <c r="A224" s="214" t="str">
        <f>C224&amp;"-"&amp;E224</f>
        <v>I-034-WS-27</v>
      </c>
      <c r="B224" s="214" t="str">
        <f>C224&amp;"-"&amp;D224</f>
        <v>I-034-40</v>
      </c>
      <c r="C224" s="45" t="s">
        <v>534</v>
      </c>
      <c r="D224" s="45">
        <v>40</v>
      </c>
      <c r="E224" s="45" t="s">
        <v>600</v>
      </c>
      <c r="F224" s="42" t="str">
        <f>VLOOKUP(E224, 'S11 Work Stations'!$A$2:$B$45, 2, 0)</f>
        <v>GR-T1-203</v>
      </c>
      <c r="G224" s="45">
        <v>360</v>
      </c>
      <c r="H224" s="3">
        <v>200</v>
      </c>
    </row>
    <row r="225" spans="1:8" s="44" customFormat="1" x14ac:dyDescent="0.2">
      <c r="A225" s="214" t="str">
        <f>C225&amp;"-"&amp;E225</f>
        <v>I-034-WS-35</v>
      </c>
      <c r="B225" s="214" t="str">
        <f>C225&amp;"-"&amp;D225</f>
        <v>I-034-50</v>
      </c>
      <c r="C225" s="45" t="s">
        <v>534</v>
      </c>
      <c r="D225" s="45">
        <v>50</v>
      </c>
      <c r="E225" s="45" t="s">
        <v>608</v>
      </c>
      <c r="F225" s="42" t="str">
        <f>VLOOKUP(E225, 'S11 Work Stations'!$A$2:$B$45, 2, 0)</f>
        <v>SAW-35-100-254</v>
      </c>
      <c r="G225" s="45">
        <v>720</v>
      </c>
      <c r="H225" s="3">
        <v>200</v>
      </c>
    </row>
    <row r="226" spans="1:8" s="44" customFormat="1" x14ac:dyDescent="0.2">
      <c r="A226" s="214" t="str">
        <f>C226&amp;"-"&amp;E226</f>
        <v>I-034-WS-41</v>
      </c>
      <c r="B226" s="214" t="str">
        <f>C226&amp;"-"&amp;D226</f>
        <v>I-034-20</v>
      </c>
      <c r="C226" s="45" t="s">
        <v>534</v>
      </c>
      <c r="D226" s="45">
        <v>20</v>
      </c>
      <c r="E226" s="45" t="s">
        <v>614</v>
      </c>
      <c r="F226" s="42" t="str">
        <f>VLOOKUP(E226, 'S11 Work Stations'!$A$2:$B$45, 2, 0)</f>
        <v>SAW-CNC-60-425</v>
      </c>
      <c r="G226" s="45">
        <v>60</v>
      </c>
      <c r="H226" s="3">
        <v>200</v>
      </c>
    </row>
    <row r="227" spans="1:8" s="44" customFormat="1" x14ac:dyDescent="0.2">
      <c r="A227" s="214" t="str">
        <f>C227&amp;"-"&amp;E227</f>
        <v>I-034-WS-42</v>
      </c>
      <c r="B227" s="214" t="str">
        <f>C227&amp;"-"&amp;D227</f>
        <v>I-034-60</v>
      </c>
      <c r="C227" s="45" t="s">
        <v>534</v>
      </c>
      <c r="D227" s="45">
        <v>60</v>
      </c>
      <c r="E227" s="45" t="s">
        <v>615</v>
      </c>
      <c r="F227" s="42" t="str">
        <f>VLOOKUP(E227, 'S11 Work Stations'!$A$2:$B$45, 2, 0)</f>
        <v>TEMP-A01-202</v>
      </c>
      <c r="G227" s="45">
        <v>300</v>
      </c>
      <c r="H227" s="3">
        <v>200</v>
      </c>
    </row>
    <row r="228" spans="1:8" s="44" customFormat="1" x14ac:dyDescent="0.2">
      <c r="A228" s="214" t="str">
        <f>C228&amp;"-"&amp;E228</f>
        <v>I-034-WS-43</v>
      </c>
      <c r="B228" s="214" t="str">
        <f>C228&amp;"-"&amp;D228</f>
        <v>I-034-10</v>
      </c>
      <c r="C228" s="45" t="s">
        <v>534</v>
      </c>
      <c r="D228" s="45">
        <v>10</v>
      </c>
      <c r="E228" s="45" t="s">
        <v>616</v>
      </c>
      <c r="F228" s="42" t="str">
        <f>VLOOKUP(E228, 'S11 Work Stations'!$A$2:$B$45, 2, 0)</f>
        <v>RAW-MAT-INV</v>
      </c>
      <c r="G228" s="45">
        <v>0</v>
      </c>
      <c r="H228" s="3">
        <v>200</v>
      </c>
    </row>
    <row r="229" spans="1:8" s="44" customFormat="1" x14ac:dyDescent="0.2">
      <c r="A229" s="214" t="str">
        <f>C229&amp;"-"&amp;E229</f>
        <v>I-034-WS-44</v>
      </c>
      <c r="B229" s="214" t="str">
        <f>C229&amp;"-"&amp;D229</f>
        <v>I-034-70</v>
      </c>
      <c r="C229" s="45" t="s">
        <v>534</v>
      </c>
      <c r="D229" s="45">
        <v>70</v>
      </c>
      <c r="E229" s="45" t="s">
        <v>617</v>
      </c>
      <c r="F229" s="42" t="str">
        <f>VLOOKUP(E229, 'S11 Work Stations'!$A$2:$B$45, 2, 0)</f>
        <v>FIN-GOOD-INV</v>
      </c>
      <c r="G229" s="45">
        <v>0</v>
      </c>
      <c r="H229" s="3">
        <v>200</v>
      </c>
    </row>
    <row r="230" spans="1:8" s="44" customFormat="1" x14ac:dyDescent="0.2">
      <c r="A230" s="214" t="str">
        <f>C230&amp;"-"&amp;E230</f>
        <v>I-035-WS-07</v>
      </c>
      <c r="B230" s="214" t="str">
        <f>C230&amp;"-"&amp;D230</f>
        <v>I-035-30</v>
      </c>
      <c r="C230" s="45" t="s">
        <v>535</v>
      </c>
      <c r="D230" s="45">
        <v>30</v>
      </c>
      <c r="E230" s="45" t="s">
        <v>580</v>
      </c>
      <c r="F230" s="42" t="str">
        <f>VLOOKUP(E230, 'S11 Work Stations'!$A$2:$B$45, 2, 0)</f>
        <v>TUR-C2-367</v>
      </c>
      <c r="G230" s="45">
        <v>420</v>
      </c>
      <c r="H230" s="3">
        <v>200</v>
      </c>
    </row>
    <row r="231" spans="1:8" s="44" customFormat="1" x14ac:dyDescent="0.2">
      <c r="A231" s="214" t="str">
        <f>C231&amp;"-"&amp;E231</f>
        <v>I-035-WS-25</v>
      </c>
      <c r="B231" s="214" t="str">
        <f>C231&amp;"-"&amp;D231</f>
        <v>I-035-40</v>
      </c>
      <c r="C231" s="45" t="s">
        <v>535</v>
      </c>
      <c r="D231" s="45">
        <v>40</v>
      </c>
      <c r="E231" s="45" t="s">
        <v>598</v>
      </c>
      <c r="F231" s="42" t="str">
        <f>VLOOKUP(E231, 'S11 Work Stations'!$A$2:$B$45, 2, 0)</f>
        <v>DR-2A-201</v>
      </c>
      <c r="G231" s="45">
        <v>480</v>
      </c>
      <c r="H231" s="3">
        <v>200</v>
      </c>
    </row>
    <row r="232" spans="1:8" s="44" customFormat="1" x14ac:dyDescent="0.2">
      <c r="A232" s="214" t="str">
        <f>C232&amp;"-"&amp;E232</f>
        <v>I-035-WS-35</v>
      </c>
      <c r="B232" s="214" t="str">
        <f>C232&amp;"-"&amp;D232</f>
        <v>I-035-50</v>
      </c>
      <c r="C232" s="45" t="s">
        <v>535</v>
      </c>
      <c r="D232" s="45">
        <v>50</v>
      </c>
      <c r="E232" s="45" t="s">
        <v>608</v>
      </c>
      <c r="F232" s="42" t="str">
        <f>VLOOKUP(E232, 'S11 Work Stations'!$A$2:$B$45, 2, 0)</f>
        <v>SAW-35-100-254</v>
      </c>
      <c r="G232" s="45">
        <v>720</v>
      </c>
      <c r="H232" s="3">
        <v>200</v>
      </c>
    </row>
    <row r="233" spans="1:8" s="44" customFormat="1" x14ac:dyDescent="0.2">
      <c r="A233" s="214" t="str">
        <f>C233&amp;"-"&amp;E233</f>
        <v>I-035-WS-38</v>
      </c>
      <c r="B233" s="214" t="str">
        <f>C233&amp;"-"&amp;D233</f>
        <v>I-035-20</v>
      </c>
      <c r="C233" s="45" t="s">
        <v>535</v>
      </c>
      <c r="D233" s="45">
        <v>20</v>
      </c>
      <c r="E233" s="45" t="s">
        <v>611</v>
      </c>
      <c r="F233" s="42" t="str">
        <f>VLOOKUP(E233, 'S11 Work Stations'!$A$2:$B$45, 2, 0)</f>
        <v>SAW-150-423</v>
      </c>
      <c r="G233" s="45">
        <v>120</v>
      </c>
      <c r="H233" s="3">
        <v>200</v>
      </c>
    </row>
    <row r="234" spans="1:8" s="44" customFormat="1" x14ac:dyDescent="0.2">
      <c r="A234" s="214" t="str">
        <f>C234&amp;"-"&amp;E234</f>
        <v>I-035-WS-43</v>
      </c>
      <c r="B234" s="214" t="str">
        <f>C234&amp;"-"&amp;D234</f>
        <v>I-035-10</v>
      </c>
      <c r="C234" s="45" t="s">
        <v>535</v>
      </c>
      <c r="D234" s="45">
        <v>10</v>
      </c>
      <c r="E234" s="45" t="s">
        <v>616</v>
      </c>
      <c r="F234" s="42" t="str">
        <f>VLOOKUP(E234, 'S11 Work Stations'!$A$2:$B$45, 2, 0)</f>
        <v>RAW-MAT-INV</v>
      </c>
      <c r="G234" s="45">
        <v>0</v>
      </c>
      <c r="H234" s="3">
        <v>200</v>
      </c>
    </row>
    <row r="235" spans="1:8" s="44" customFormat="1" x14ac:dyDescent="0.2">
      <c r="A235" s="214" t="str">
        <f>C235&amp;"-"&amp;E235</f>
        <v>I-035-WS-44</v>
      </c>
      <c r="B235" s="214" t="str">
        <f>C235&amp;"-"&amp;D235</f>
        <v>I-035-60</v>
      </c>
      <c r="C235" s="45" t="s">
        <v>535</v>
      </c>
      <c r="D235" s="45">
        <v>60</v>
      </c>
      <c r="E235" s="45" t="s">
        <v>617</v>
      </c>
      <c r="F235" s="42" t="str">
        <f>VLOOKUP(E235, 'S11 Work Stations'!$A$2:$B$45, 2, 0)</f>
        <v>FIN-GOOD-INV</v>
      </c>
      <c r="G235" s="45">
        <v>0</v>
      </c>
      <c r="H235" s="3">
        <v>200</v>
      </c>
    </row>
    <row r="236" spans="1:8" s="44" customFormat="1" x14ac:dyDescent="0.2">
      <c r="A236" s="214" t="str">
        <f>C236&amp;"-"&amp;E236</f>
        <v>I-036-WS-07</v>
      </c>
      <c r="B236" s="214" t="str">
        <f>C236&amp;"-"&amp;D236</f>
        <v>I-036-30</v>
      </c>
      <c r="C236" s="45" t="s">
        <v>536</v>
      </c>
      <c r="D236" s="45">
        <v>30</v>
      </c>
      <c r="E236" s="45" t="s">
        <v>580</v>
      </c>
      <c r="F236" s="42" t="str">
        <f>VLOOKUP(E236, 'S11 Work Stations'!$A$2:$B$45, 2, 0)</f>
        <v>TUR-C2-367</v>
      </c>
      <c r="G236" s="45">
        <v>240</v>
      </c>
      <c r="H236" s="3">
        <v>200</v>
      </c>
    </row>
    <row r="237" spans="1:8" s="44" customFormat="1" x14ac:dyDescent="0.2">
      <c r="A237" s="214" t="str">
        <f>C237&amp;"-"&amp;E237</f>
        <v>I-036-WS-31</v>
      </c>
      <c r="B237" s="214" t="str">
        <f>C237&amp;"-"&amp;D237</f>
        <v>I-036-40</v>
      </c>
      <c r="C237" s="45" t="s">
        <v>536</v>
      </c>
      <c r="D237" s="45">
        <v>40</v>
      </c>
      <c r="E237" s="45" t="s">
        <v>604</v>
      </c>
      <c r="F237" s="42" t="str">
        <f>VLOOKUP(E237, 'S11 Work Stations'!$A$2:$B$45, 2, 0)</f>
        <v>DR-3AW-207</v>
      </c>
      <c r="G237" s="45">
        <v>240</v>
      </c>
      <c r="H237" s="3">
        <v>200</v>
      </c>
    </row>
    <row r="238" spans="1:8" s="44" customFormat="1" x14ac:dyDescent="0.2">
      <c r="A238" s="214" t="str">
        <f>C238&amp;"-"&amp;E238</f>
        <v>I-036-WS-38</v>
      </c>
      <c r="B238" s="214" t="str">
        <f>C238&amp;"-"&amp;D238</f>
        <v>I-036-20</v>
      </c>
      <c r="C238" s="45" t="s">
        <v>536</v>
      </c>
      <c r="D238" s="45">
        <v>20</v>
      </c>
      <c r="E238" s="45" t="s">
        <v>611</v>
      </c>
      <c r="F238" s="42" t="str">
        <f>VLOOKUP(E238, 'S11 Work Stations'!$A$2:$B$45, 2, 0)</f>
        <v>SAW-150-423</v>
      </c>
      <c r="G238" s="45">
        <v>120</v>
      </c>
      <c r="H238" s="3">
        <v>200</v>
      </c>
    </row>
    <row r="239" spans="1:8" s="44" customFormat="1" x14ac:dyDescent="0.2">
      <c r="A239" s="214" t="str">
        <f>C239&amp;"-"&amp;E239</f>
        <v>I-036-WS-43</v>
      </c>
      <c r="B239" s="214" t="str">
        <f>C239&amp;"-"&amp;D239</f>
        <v>I-036-10</v>
      </c>
      <c r="C239" s="45" t="s">
        <v>536</v>
      </c>
      <c r="D239" s="45">
        <v>10</v>
      </c>
      <c r="E239" s="45" t="s">
        <v>616</v>
      </c>
      <c r="F239" s="42" t="str">
        <f>VLOOKUP(E239, 'S11 Work Stations'!$A$2:$B$45, 2, 0)</f>
        <v>RAW-MAT-INV</v>
      </c>
      <c r="G239" s="45">
        <v>0</v>
      </c>
      <c r="H239" s="3">
        <v>200</v>
      </c>
    </row>
    <row r="240" spans="1:8" s="44" customFormat="1" x14ac:dyDescent="0.2">
      <c r="A240" s="214" t="str">
        <f>C240&amp;"-"&amp;E240</f>
        <v>I-036-WS-44</v>
      </c>
      <c r="B240" s="214" t="str">
        <f>C240&amp;"-"&amp;D240</f>
        <v>I-036-50</v>
      </c>
      <c r="C240" s="45" t="s">
        <v>536</v>
      </c>
      <c r="D240" s="45">
        <v>50</v>
      </c>
      <c r="E240" s="45" t="s">
        <v>617</v>
      </c>
      <c r="F240" s="42" t="str">
        <f>VLOOKUP(E240, 'S11 Work Stations'!$A$2:$B$45, 2, 0)</f>
        <v>FIN-GOOD-INV</v>
      </c>
      <c r="G240" s="45">
        <v>0</v>
      </c>
      <c r="H240" s="3">
        <v>200</v>
      </c>
    </row>
    <row r="241" spans="1:8" s="44" customFormat="1" x14ac:dyDescent="0.2">
      <c r="A241" s="214" t="str">
        <f>C241&amp;"-"&amp;E241</f>
        <v>I-037-WS-07</v>
      </c>
      <c r="B241" s="214" t="str">
        <f>C241&amp;"-"&amp;D241</f>
        <v>I-037-30</v>
      </c>
      <c r="C241" s="45" t="s">
        <v>180</v>
      </c>
      <c r="D241" s="45">
        <v>30</v>
      </c>
      <c r="E241" s="45" t="s">
        <v>580</v>
      </c>
      <c r="F241" s="42" t="str">
        <f>VLOOKUP(E241, 'S11 Work Stations'!$A$2:$B$45, 2, 0)</f>
        <v>TUR-C2-367</v>
      </c>
      <c r="G241" s="45">
        <v>300</v>
      </c>
      <c r="H241" s="3">
        <v>200</v>
      </c>
    </row>
    <row r="242" spans="1:8" s="44" customFormat="1" x14ac:dyDescent="0.2">
      <c r="A242" s="214" t="str">
        <f>C242&amp;"-"&amp;E242</f>
        <v>I-037-WS-21</v>
      </c>
      <c r="B242" s="214" t="str">
        <f>C242&amp;"-"&amp;D242</f>
        <v>I-037-40</v>
      </c>
      <c r="C242" s="45" t="s">
        <v>180</v>
      </c>
      <c r="D242" s="45">
        <v>40</v>
      </c>
      <c r="E242" s="45" t="s">
        <v>594</v>
      </c>
      <c r="F242" s="42" t="str">
        <f>VLOOKUP(E242, 'S11 Work Stations'!$A$2:$B$45, 2, 0)</f>
        <v>MIL-U1-605</v>
      </c>
      <c r="G242" s="45">
        <v>300</v>
      </c>
      <c r="H242" s="3">
        <v>200</v>
      </c>
    </row>
    <row r="243" spans="1:8" s="44" customFormat="1" x14ac:dyDescent="0.2">
      <c r="A243" s="214" t="str">
        <f>C243&amp;"-"&amp;E243</f>
        <v>I-037-WS-27</v>
      </c>
      <c r="B243" s="214" t="str">
        <f>C243&amp;"-"&amp;D243</f>
        <v>I-037-60</v>
      </c>
      <c r="C243" s="45" t="s">
        <v>180</v>
      </c>
      <c r="D243" s="45">
        <v>60</v>
      </c>
      <c r="E243" s="45" t="s">
        <v>600</v>
      </c>
      <c r="F243" s="42" t="str">
        <f>VLOOKUP(E243, 'S11 Work Stations'!$A$2:$B$45, 2, 0)</f>
        <v>GR-T1-203</v>
      </c>
      <c r="G243" s="45">
        <v>300</v>
      </c>
      <c r="H243" s="3">
        <v>200</v>
      </c>
    </row>
    <row r="244" spans="1:8" s="44" customFormat="1" x14ac:dyDescent="0.2">
      <c r="A244" s="214" t="str">
        <f>C244&amp;"-"&amp;E244</f>
        <v>I-037-WS-28</v>
      </c>
      <c r="B244" s="214" t="str">
        <f>C244&amp;"-"&amp;D244</f>
        <v>I-037-50</v>
      </c>
      <c r="C244" s="45" t="s">
        <v>180</v>
      </c>
      <c r="D244" s="45">
        <v>50</v>
      </c>
      <c r="E244" s="45" t="s">
        <v>601</v>
      </c>
      <c r="F244" s="42" t="str">
        <f>VLOOKUP(E244, 'S11 Work Stations'!$A$2:$B$45, 2, 0)</f>
        <v>DR-T3-204</v>
      </c>
      <c r="G244" s="45">
        <v>480</v>
      </c>
      <c r="H244" s="3">
        <v>200</v>
      </c>
    </row>
    <row r="245" spans="1:8" s="44" customFormat="1" x14ac:dyDescent="0.2">
      <c r="A245" s="214" t="str">
        <f>C245&amp;"-"&amp;E245</f>
        <v>I-037-WS-32</v>
      </c>
      <c r="B245" s="214" t="str">
        <f>C245&amp;"-"&amp;D245</f>
        <v>I-037-70</v>
      </c>
      <c r="C245" s="45" t="s">
        <v>180</v>
      </c>
      <c r="D245" s="45">
        <v>70</v>
      </c>
      <c r="E245" s="45" t="s">
        <v>605</v>
      </c>
      <c r="F245" s="42" t="str">
        <f>VLOOKUP(E245, 'S11 Work Stations'!$A$2:$B$45, 2, 0)</f>
        <v>SAW-30-150-251</v>
      </c>
      <c r="G245" s="45">
        <v>480</v>
      </c>
      <c r="H245" s="3">
        <v>200</v>
      </c>
    </row>
    <row r="246" spans="1:8" s="44" customFormat="1" x14ac:dyDescent="0.2">
      <c r="A246" s="214" t="str">
        <f>C246&amp;"-"&amp;E246</f>
        <v>I-037-WS-38</v>
      </c>
      <c r="B246" s="214" t="str">
        <f>C246&amp;"-"&amp;D246</f>
        <v>I-037-20</v>
      </c>
      <c r="C246" s="45" t="s">
        <v>180</v>
      </c>
      <c r="D246" s="45">
        <v>20</v>
      </c>
      <c r="E246" s="45" t="s">
        <v>611</v>
      </c>
      <c r="F246" s="42" t="str">
        <f>VLOOKUP(E246, 'S11 Work Stations'!$A$2:$B$45, 2, 0)</f>
        <v>SAW-150-423</v>
      </c>
      <c r="G246" s="45">
        <v>120</v>
      </c>
      <c r="H246" s="3">
        <v>200</v>
      </c>
    </row>
    <row r="247" spans="1:8" s="44" customFormat="1" x14ac:dyDescent="0.2">
      <c r="A247" s="214" t="str">
        <f>C247&amp;"-"&amp;E247</f>
        <v>I-037-WS-43</v>
      </c>
      <c r="B247" s="214" t="str">
        <f>C247&amp;"-"&amp;D247</f>
        <v>I-037-10</v>
      </c>
      <c r="C247" s="45" t="s">
        <v>180</v>
      </c>
      <c r="D247" s="45">
        <v>10</v>
      </c>
      <c r="E247" s="45" t="s">
        <v>616</v>
      </c>
      <c r="F247" s="42" t="str">
        <f>VLOOKUP(E247, 'S11 Work Stations'!$A$2:$B$45, 2, 0)</f>
        <v>RAW-MAT-INV</v>
      </c>
      <c r="G247" s="45">
        <v>0</v>
      </c>
      <c r="H247" s="3">
        <v>200</v>
      </c>
    </row>
    <row r="248" spans="1:8" s="44" customFormat="1" x14ac:dyDescent="0.2">
      <c r="A248" s="214" t="str">
        <f>C248&amp;"-"&amp;E248</f>
        <v>I-037-WS-44</v>
      </c>
      <c r="B248" s="214" t="str">
        <f>C248&amp;"-"&amp;D248</f>
        <v>I-037-80</v>
      </c>
      <c r="C248" s="45" t="s">
        <v>180</v>
      </c>
      <c r="D248" s="45">
        <v>80</v>
      </c>
      <c r="E248" s="45" t="s">
        <v>617</v>
      </c>
      <c r="F248" s="42" t="str">
        <f>VLOOKUP(E248, 'S11 Work Stations'!$A$2:$B$45, 2, 0)</f>
        <v>FIN-GOOD-INV</v>
      </c>
      <c r="G248" s="45">
        <v>0</v>
      </c>
      <c r="H248" s="3">
        <v>200</v>
      </c>
    </row>
    <row r="249" spans="1:8" s="44" customFormat="1" x14ac:dyDescent="0.2">
      <c r="A249" s="214" t="str">
        <f>C249&amp;"-"&amp;E249</f>
        <v>I-038-WS-07</v>
      </c>
      <c r="B249" s="214" t="str">
        <f>C249&amp;"-"&amp;D249</f>
        <v>I-038-30</v>
      </c>
      <c r="C249" s="45" t="s">
        <v>537</v>
      </c>
      <c r="D249" s="45">
        <v>30</v>
      </c>
      <c r="E249" s="45" t="s">
        <v>580</v>
      </c>
      <c r="F249" s="42" t="str">
        <f>VLOOKUP(E249, 'S11 Work Stations'!$A$2:$B$45, 2, 0)</f>
        <v>TUR-C2-367</v>
      </c>
      <c r="G249" s="45">
        <v>360</v>
      </c>
      <c r="H249" s="3">
        <v>200</v>
      </c>
    </row>
    <row r="250" spans="1:8" s="44" customFormat="1" x14ac:dyDescent="0.2">
      <c r="A250" s="214" t="str">
        <f>C250&amp;"-"&amp;E250</f>
        <v>I-038-WS-31</v>
      </c>
      <c r="B250" s="214" t="str">
        <f>C250&amp;"-"&amp;D250</f>
        <v>I-038-40</v>
      </c>
      <c r="C250" s="45" t="s">
        <v>537</v>
      </c>
      <c r="D250" s="45">
        <v>40</v>
      </c>
      <c r="E250" s="45" t="s">
        <v>604</v>
      </c>
      <c r="F250" s="42" t="str">
        <f>VLOOKUP(E250, 'S11 Work Stations'!$A$2:$B$45, 2, 0)</f>
        <v>DR-3AW-207</v>
      </c>
      <c r="G250" s="45">
        <v>360</v>
      </c>
      <c r="H250" s="3">
        <v>200</v>
      </c>
    </row>
    <row r="251" spans="1:8" s="44" customFormat="1" x14ac:dyDescent="0.2">
      <c r="A251" s="214" t="str">
        <f>C251&amp;"-"&amp;E251</f>
        <v>I-038-WS-35</v>
      </c>
      <c r="B251" s="214" t="str">
        <f>C251&amp;"-"&amp;D251</f>
        <v>I-038-50</v>
      </c>
      <c r="C251" s="45" t="s">
        <v>537</v>
      </c>
      <c r="D251" s="45">
        <v>50</v>
      </c>
      <c r="E251" s="45" t="s">
        <v>608</v>
      </c>
      <c r="F251" s="42" t="str">
        <f>VLOOKUP(E251, 'S11 Work Stations'!$A$2:$B$45, 2, 0)</f>
        <v>SAW-35-100-254</v>
      </c>
      <c r="G251" s="45">
        <v>720</v>
      </c>
      <c r="H251" s="3">
        <v>200</v>
      </c>
    </row>
    <row r="252" spans="1:8" s="44" customFormat="1" x14ac:dyDescent="0.2">
      <c r="A252" s="214" t="str">
        <f>C252&amp;"-"&amp;E252</f>
        <v>I-038-WS-38</v>
      </c>
      <c r="B252" s="214" t="str">
        <f>C252&amp;"-"&amp;D252</f>
        <v>I-038-20</v>
      </c>
      <c r="C252" s="45" t="s">
        <v>537</v>
      </c>
      <c r="D252" s="45">
        <v>20</v>
      </c>
      <c r="E252" s="45" t="s">
        <v>611</v>
      </c>
      <c r="F252" s="42" t="str">
        <f>VLOOKUP(E252, 'S11 Work Stations'!$A$2:$B$45, 2, 0)</f>
        <v>SAW-150-423</v>
      </c>
      <c r="G252" s="45">
        <v>120</v>
      </c>
      <c r="H252" s="3">
        <v>200</v>
      </c>
    </row>
    <row r="253" spans="1:8" s="44" customFormat="1" x14ac:dyDescent="0.2">
      <c r="A253" s="214" t="str">
        <f>C253&amp;"-"&amp;E253</f>
        <v>I-038-WS-43</v>
      </c>
      <c r="B253" s="214" t="str">
        <f>C253&amp;"-"&amp;D253</f>
        <v>I-038-10</v>
      </c>
      <c r="C253" s="45" t="s">
        <v>537</v>
      </c>
      <c r="D253" s="45">
        <v>10</v>
      </c>
      <c r="E253" s="45" t="s">
        <v>616</v>
      </c>
      <c r="F253" s="42" t="str">
        <f>VLOOKUP(E253, 'S11 Work Stations'!$A$2:$B$45, 2, 0)</f>
        <v>RAW-MAT-INV</v>
      </c>
      <c r="G253" s="45">
        <v>0</v>
      </c>
      <c r="H253" s="3">
        <v>200</v>
      </c>
    </row>
    <row r="254" spans="1:8" s="44" customFormat="1" x14ac:dyDescent="0.2">
      <c r="A254" s="214" t="str">
        <f>C254&amp;"-"&amp;E254</f>
        <v>I-038-WS-44</v>
      </c>
      <c r="B254" s="214" t="str">
        <f>C254&amp;"-"&amp;D254</f>
        <v>I-038-60</v>
      </c>
      <c r="C254" s="45" t="s">
        <v>537</v>
      </c>
      <c r="D254" s="45">
        <v>60</v>
      </c>
      <c r="E254" s="45" t="s">
        <v>617</v>
      </c>
      <c r="F254" s="42" t="str">
        <f>VLOOKUP(E254, 'S11 Work Stations'!$A$2:$B$45, 2, 0)</f>
        <v>FIN-GOOD-INV</v>
      </c>
      <c r="G254" s="45">
        <v>0</v>
      </c>
      <c r="H254" s="3">
        <v>200</v>
      </c>
    </row>
    <row r="255" spans="1:8" s="44" customFormat="1" x14ac:dyDescent="0.2">
      <c r="A255" s="214" t="str">
        <f>C255&amp;"-"&amp;E255</f>
        <v>I-039-WS-06</v>
      </c>
      <c r="B255" s="214" t="str">
        <f>C255&amp;"-"&amp;D255</f>
        <v>I-039-30</v>
      </c>
      <c r="C255" s="45" t="s">
        <v>538</v>
      </c>
      <c r="D255" s="45">
        <v>30</v>
      </c>
      <c r="E255" s="45" t="s">
        <v>579</v>
      </c>
      <c r="F255" s="42" t="str">
        <f>VLOOKUP(E255, 'S11 Work Stations'!$A$2:$B$45, 2, 0)</f>
        <v>TUR-C1-366</v>
      </c>
      <c r="G255" s="45">
        <v>180</v>
      </c>
      <c r="H255" s="3">
        <v>200</v>
      </c>
    </row>
    <row r="256" spans="1:8" s="44" customFormat="1" x14ac:dyDescent="0.2">
      <c r="A256" s="214" t="str">
        <f>C256&amp;"-"&amp;E256</f>
        <v>I-039-WS-31</v>
      </c>
      <c r="B256" s="214" t="str">
        <f>C256&amp;"-"&amp;D256</f>
        <v>I-039-40</v>
      </c>
      <c r="C256" s="45" t="s">
        <v>538</v>
      </c>
      <c r="D256" s="45">
        <v>40</v>
      </c>
      <c r="E256" s="45" t="s">
        <v>604</v>
      </c>
      <c r="F256" s="42" t="str">
        <f>VLOOKUP(E256, 'S11 Work Stations'!$A$2:$B$45, 2, 0)</f>
        <v>DR-3AW-207</v>
      </c>
      <c r="G256" s="45">
        <v>360</v>
      </c>
      <c r="H256" s="3">
        <v>200</v>
      </c>
    </row>
    <row r="257" spans="1:8" s="44" customFormat="1" x14ac:dyDescent="0.2">
      <c r="A257" s="214" t="str">
        <f>C257&amp;"-"&amp;E257</f>
        <v>I-039-WS-33</v>
      </c>
      <c r="B257" s="214" t="str">
        <f>C257&amp;"-"&amp;D257</f>
        <v>I-039-50</v>
      </c>
      <c r="C257" s="45" t="s">
        <v>538</v>
      </c>
      <c r="D257" s="45">
        <v>50</v>
      </c>
      <c r="E257" s="45" t="s">
        <v>606</v>
      </c>
      <c r="F257" s="42" t="str">
        <f>VLOOKUP(E257, 'S11 Work Stations'!$A$2:$B$45, 2, 0)</f>
        <v>SAW-50-150-252</v>
      </c>
      <c r="G257" s="45">
        <v>180</v>
      </c>
      <c r="H257" s="3">
        <v>200</v>
      </c>
    </row>
    <row r="258" spans="1:8" s="44" customFormat="1" x14ac:dyDescent="0.2">
      <c r="A258" s="214" t="str">
        <f>C258&amp;"-"&amp;E258</f>
        <v>I-039-WS-38</v>
      </c>
      <c r="B258" s="214" t="str">
        <f>C258&amp;"-"&amp;D258</f>
        <v>I-039-20</v>
      </c>
      <c r="C258" s="45" t="s">
        <v>538</v>
      </c>
      <c r="D258" s="45">
        <v>20</v>
      </c>
      <c r="E258" s="45" t="s">
        <v>611</v>
      </c>
      <c r="F258" s="42" t="str">
        <f>VLOOKUP(E258, 'S11 Work Stations'!$A$2:$B$45, 2, 0)</f>
        <v>SAW-150-423</v>
      </c>
      <c r="G258" s="45">
        <v>120</v>
      </c>
      <c r="H258" s="3">
        <v>200</v>
      </c>
    </row>
    <row r="259" spans="1:8" s="44" customFormat="1" x14ac:dyDescent="0.2">
      <c r="A259" s="214" t="str">
        <f>C259&amp;"-"&amp;E259</f>
        <v>I-039-WS-43</v>
      </c>
      <c r="B259" s="214" t="str">
        <f>C259&amp;"-"&amp;D259</f>
        <v>I-039-10</v>
      </c>
      <c r="C259" s="45" t="s">
        <v>538</v>
      </c>
      <c r="D259" s="45">
        <v>10</v>
      </c>
      <c r="E259" s="45" t="s">
        <v>616</v>
      </c>
      <c r="F259" s="42" t="str">
        <f>VLOOKUP(E259, 'S11 Work Stations'!$A$2:$B$45, 2, 0)</f>
        <v>RAW-MAT-INV</v>
      </c>
      <c r="G259" s="45">
        <v>0</v>
      </c>
      <c r="H259" s="3">
        <v>200</v>
      </c>
    </row>
    <row r="260" spans="1:8" s="44" customFormat="1" x14ac:dyDescent="0.2">
      <c r="A260" s="214" t="str">
        <f>C260&amp;"-"&amp;E260</f>
        <v>I-039-WS-44</v>
      </c>
      <c r="B260" s="214" t="str">
        <f>C260&amp;"-"&amp;D260</f>
        <v>I-039-60</v>
      </c>
      <c r="C260" s="45" t="s">
        <v>538</v>
      </c>
      <c r="D260" s="45">
        <v>60</v>
      </c>
      <c r="E260" s="45" t="s">
        <v>617</v>
      </c>
      <c r="F260" s="42" t="str">
        <f>VLOOKUP(E260, 'S11 Work Stations'!$A$2:$B$45, 2, 0)</f>
        <v>FIN-GOOD-INV</v>
      </c>
      <c r="G260" s="45">
        <v>0</v>
      </c>
      <c r="H260" s="3">
        <v>200</v>
      </c>
    </row>
    <row r="261" spans="1:8" s="44" customFormat="1" x14ac:dyDescent="0.2">
      <c r="A261" s="214" t="str">
        <f>C261&amp;"-"&amp;E261</f>
        <v>I-040-WS-06</v>
      </c>
      <c r="B261" s="214" t="str">
        <f>C261&amp;"-"&amp;D261</f>
        <v>I-040-30</v>
      </c>
      <c r="C261" s="45" t="s">
        <v>539</v>
      </c>
      <c r="D261" s="45">
        <v>30</v>
      </c>
      <c r="E261" s="45" t="s">
        <v>579</v>
      </c>
      <c r="F261" s="42" t="str">
        <f>VLOOKUP(E261, 'S11 Work Stations'!$A$2:$B$45, 2, 0)</f>
        <v>TUR-C1-366</v>
      </c>
      <c r="G261" s="45">
        <v>240</v>
      </c>
      <c r="H261" s="3">
        <v>200</v>
      </c>
    </row>
    <row r="262" spans="1:8" s="44" customFormat="1" x14ac:dyDescent="0.2">
      <c r="A262" s="214" t="str">
        <f>C262&amp;"-"&amp;E262</f>
        <v>I-040-WS-29</v>
      </c>
      <c r="B262" s="214" t="str">
        <f>C262&amp;"-"&amp;D262</f>
        <v>I-040-40</v>
      </c>
      <c r="C262" s="45" t="s">
        <v>539</v>
      </c>
      <c r="D262" s="45">
        <v>40</v>
      </c>
      <c r="E262" s="45" t="s">
        <v>602</v>
      </c>
      <c r="F262" s="42" t="str">
        <f>VLOOKUP(E262, 'S11 Work Stations'!$A$2:$B$45, 2, 0)</f>
        <v>GR-T11-250</v>
      </c>
      <c r="G262" s="45">
        <v>420</v>
      </c>
      <c r="H262" s="3">
        <v>200</v>
      </c>
    </row>
    <row r="263" spans="1:8" s="44" customFormat="1" x14ac:dyDescent="0.2">
      <c r="A263" s="214" t="str">
        <f>C263&amp;"-"&amp;E263</f>
        <v>I-040-WS-33</v>
      </c>
      <c r="B263" s="214" t="str">
        <f>C263&amp;"-"&amp;D263</f>
        <v>I-040-50</v>
      </c>
      <c r="C263" s="45" t="s">
        <v>539</v>
      </c>
      <c r="D263" s="45">
        <v>50</v>
      </c>
      <c r="E263" s="45" t="s">
        <v>606</v>
      </c>
      <c r="F263" s="42" t="str">
        <f>VLOOKUP(E263, 'S11 Work Stations'!$A$2:$B$45, 2, 0)</f>
        <v>SAW-50-150-252</v>
      </c>
      <c r="G263" s="45">
        <v>180</v>
      </c>
      <c r="H263" s="3">
        <v>200</v>
      </c>
    </row>
    <row r="264" spans="1:8" s="44" customFormat="1" x14ac:dyDescent="0.2">
      <c r="A264" s="214" t="str">
        <f>C264&amp;"-"&amp;E264</f>
        <v>I-040-WS-38</v>
      </c>
      <c r="B264" s="214" t="str">
        <f>C264&amp;"-"&amp;D264</f>
        <v>I-040-20</v>
      </c>
      <c r="C264" s="45" t="s">
        <v>539</v>
      </c>
      <c r="D264" s="45">
        <v>20</v>
      </c>
      <c r="E264" s="45" t="s">
        <v>611</v>
      </c>
      <c r="F264" s="42" t="str">
        <f>VLOOKUP(E264, 'S11 Work Stations'!$A$2:$B$45, 2, 0)</f>
        <v>SAW-150-423</v>
      </c>
      <c r="G264" s="45">
        <v>120</v>
      </c>
      <c r="H264" s="3">
        <v>200</v>
      </c>
    </row>
    <row r="265" spans="1:8" s="44" customFormat="1" x14ac:dyDescent="0.2">
      <c r="A265" s="214" t="str">
        <f>C265&amp;"-"&amp;E265</f>
        <v>I-040-WS-43</v>
      </c>
      <c r="B265" s="214" t="str">
        <f>C265&amp;"-"&amp;D265</f>
        <v>I-040-10</v>
      </c>
      <c r="C265" s="45" t="s">
        <v>539</v>
      </c>
      <c r="D265" s="45">
        <v>10</v>
      </c>
      <c r="E265" s="45" t="s">
        <v>616</v>
      </c>
      <c r="F265" s="42" t="str">
        <f>VLOOKUP(E265, 'S11 Work Stations'!$A$2:$B$45, 2, 0)</f>
        <v>RAW-MAT-INV</v>
      </c>
      <c r="G265" s="45">
        <v>0</v>
      </c>
      <c r="H265" s="3">
        <v>200</v>
      </c>
    </row>
    <row r="266" spans="1:8" s="44" customFormat="1" x14ac:dyDescent="0.2">
      <c r="A266" s="214" t="str">
        <f>C266&amp;"-"&amp;E266</f>
        <v>I-040-WS-44</v>
      </c>
      <c r="B266" s="214" t="str">
        <f>C266&amp;"-"&amp;D266</f>
        <v>I-040-60</v>
      </c>
      <c r="C266" s="45" t="s">
        <v>539</v>
      </c>
      <c r="D266" s="45">
        <v>60</v>
      </c>
      <c r="E266" s="45" t="s">
        <v>617</v>
      </c>
      <c r="F266" s="42" t="str">
        <f>VLOOKUP(E266, 'S11 Work Stations'!$A$2:$B$45, 2, 0)</f>
        <v>FIN-GOOD-INV</v>
      </c>
      <c r="G266" s="45">
        <v>0</v>
      </c>
      <c r="H266" s="3">
        <v>200</v>
      </c>
    </row>
    <row r="267" spans="1:8" s="44" customFormat="1" x14ac:dyDescent="0.2">
      <c r="A267" s="214" t="str">
        <f>C267&amp;"-"&amp;E267</f>
        <v>I-041-WS-06</v>
      </c>
      <c r="B267" s="214" t="str">
        <f>C267&amp;"-"&amp;D267</f>
        <v>I-041-30</v>
      </c>
      <c r="C267" s="45" t="s">
        <v>215</v>
      </c>
      <c r="D267" s="45">
        <v>30</v>
      </c>
      <c r="E267" s="45" t="s">
        <v>579</v>
      </c>
      <c r="F267" s="42" t="str">
        <f>VLOOKUP(E267, 'S11 Work Stations'!$A$2:$B$45, 2, 0)</f>
        <v>TUR-C1-366</v>
      </c>
      <c r="G267" s="45">
        <v>180</v>
      </c>
      <c r="H267" s="3">
        <v>200</v>
      </c>
    </row>
    <row r="268" spans="1:8" s="44" customFormat="1" x14ac:dyDescent="0.2">
      <c r="A268" s="214" t="str">
        <f>C268&amp;"-"&amp;E268</f>
        <v>I-041-WS-31</v>
      </c>
      <c r="B268" s="214" t="str">
        <f>C268&amp;"-"&amp;D268</f>
        <v>I-041-40</v>
      </c>
      <c r="C268" s="45" t="s">
        <v>215</v>
      </c>
      <c r="D268" s="45">
        <v>40</v>
      </c>
      <c r="E268" s="45" t="s">
        <v>604</v>
      </c>
      <c r="F268" s="42" t="str">
        <f>VLOOKUP(E268, 'S11 Work Stations'!$A$2:$B$45, 2, 0)</f>
        <v>DR-3AW-207</v>
      </c>
      <c r="G268" s="45">
        <v>300</v>
      </c>
      <c r="H268" s="3">
        <v>200</v>
      </c>
    </row>
    <row r="269" spans="1:8" s="44" customFormat="1" x14ac:dyDescent="0.2">
      <c r="A269" s="214" t="str">
        <f>C269&amp;"-"&amp;E269</f>
        <v>I-041-WS-33</v>
      </c>
      <c r="B269" s="214" t="str">
        <f>C269&amp;"-"&amp;D269</f>
        <v>I-041-50</v>
      </c>
      <c r="C269" s="45" t="s">
        <v>215</v>
      </c>
      <c r="D269" s="45">
        <v>50</v>
      </c>
      <c r="E269" s="45" t="s">
        <v>606</v>
      </c>
      <c r="F269" s="42" t="str">
        <f>VLOOKUP(E269, 'S11 Work Stations'!$A$2:$B$45, 2, 0)</f>
        <v>SAW-50-150-252</v>
      </c>
      <c r="G269" s="45">
        <v>180</v>
      </c>
      <c r="H269" s="3">
        <v>200</v>
      </c>
    </row>
    <row r="270" spans="1:8" s="44" customFormat="1" x14ac:dyDescent="0.2">
      <c r="A270" s="214" t="str">
        <f>C270&amp;"-"&amp;E270</f>
        <v>I-041-WS-38</v>
      </c>
      <c r="B270" s="214" t="str">
        <f>C270&amp;"-"&amp;D270</f>
        <v>I-041-20</v>
      </c>
      <c r="C270" s="45" t="s">
        <v>215</v>
      </c>
      <c r="D270" s="45">
        <v>20</v>
      </c>
      <c r="E270" s="45" t="s">
        <v>611</v>
      </c>
      <c r="F270" s="42" t="str">
        <f>VLOOKUP(E270, 'S11 Work Stations'!$A$2:$B$45, 2, 0)</f>
        <v>SAW-150-423</v>
      </c>
      <c r="G270" s="45">
        <v>120</v>
      </c>
      <c r="H270" s="3">
        <v>200</v>
      </c>
    </row>
    <row r="271" spans="1:8" s="44" customFormat="1" x14ac:dyDescent="0.2">
      <c r="A271" s="214" t="str">
        <f>C271&amp;"-"&amp;E271</f>
        <v>I-041-WS-43</v>
      </c>
      <c r="B271" s="214" t="str">
        <f>C271&amp;"-"&amp;D271</f>
        <v>I-041-10</v>
      </c>
      <c r="C271" s="45" t="s">
        <v>215</v>
      </c>
      <c r="D271" s="45">
        <v>10</v>
      </c>
      <c r="E271" s="45" t="s">
        <v>616</v>
      </c>
      <c r="F271" s="42" t="str">
        <f>VLOOKUP(E271, 'S11 Work Stations'!$A$2:$B$45, 2, 0)</f>
        <v>RAW-MAT-INV</v>
      </c>
      <c r="G271" s="45">
        <v>0</v>
      </c>
      <c r="H271" s="3">
        <v>200</v>
      </c>
    </row>
    <row r="272" spans="1:8" s="44" customFormat="1" x14ac:dyDescent="0.2">
      <c r="A272" s="214" t="str">
        <f>C272&amp;"-"&amp;E272</f>
        <v>I-041-WS-44</v>
      </c>
      <c r="B272" s="214" t="str">
        <f>C272&amp;"-"&amp;D272</f>
        <v>I-041-60</v>
      </c>
      <c r="C272" s="45" t="s">
        <v>215</v>
      </c>
      <c r="D272" s="45">
        <v>60</v>
      </c>
      <c r="E272" s="45" t="s">
        <v>617</v>
      </c>
      <c r="F272" s="42" t="str">
        <f>VLOOKUP(E272, 'S11 Work Stations'!$A$2:$B$45, 2, 0)</f>
        <v>FIN-GOOD-INV</v>
      </c>
      <c r="G272" s="45">
        <v>0</v>
      </c>
      <c r="H272" s="3">
        <v>200</v>
      </c>
    </row>
    <row r="273" spans="1:8" s="44" customFormat="1" x14ac:dyDescent="0.2">
      <c r="A273" s="214" t="str">
        <f>C273&amp;"-"&amp;E273</f>
        <v>I-042-WS-06</v>
      </c>
      <c r="B273" s="214" t="str">
        <f>C273&amp;"-"&amp;D273</f>
        <v>I-042-30</v>
      </c>
      <c r="C273" s="45" t="s">
        <v>540</v>
      </c>
      <c r="D273" s="45">
        <v>30</v>
      </c>
      <c r="E273" s="45" t="s">
        <v>579</v>
      </c>
      <c r="F273" s="42" t="str">
        <f>VLOOKUP(E273, 'S11 Work Stations'!$A$2:$B$45, 2, 0)</f>
        <v>TUR-C1-366</v>
      </c>
      <c r="G273" s="45">
        <v>180</v>
      </c>
      <c r="H273" s="3">
        <v>200</v>
      </c>
    </row>
    <row r="274" spans="1:8" s="44" customFormat="1" x14ac:dyDescent="0.2">
      <c r="A274" s="214" t="str">
        <f>C274&amp;"-"&amp;E274</f>
        <v>I-042-WS-26</v>
      </c>
      <c r="B274" s="214" t="str">
        <f>C274&amp;"-"&amp;D274</f>
        <v>I-042-40</v>
      </c>
      <c r="C274" s="45" t="s">
        <v>540</v>
      </c>
      <c r="D274" s="45">
        <v>40</v>
      </c>
      <c r="E274" s="45" t="s">
        <v>599</v>
      </c>
      <c r="F274" s="42" t="str">
        <f>VLOOKUP(E274, 'S11 Work Stations'!$A$2:$B$45, 2, 0)</f>
        <v>DR-2A2-202</v>
      </c>
      <c r="G274" s="45">
        <v>240</v>
      </c>
      <c r="H274" s="3">
        <v>200</v>
      </c>
    </row>
    <row r="275" spans="1:8" s="44" customFormat="1" x14ac:dyDescent="0.2">
      <c r="A275" s="214" t="str">
        <f>C275&amp;"-"&amp;E275</f>
        <v>I-042-WS-33</v>
      </c>
      <c r="B275" s="214" t="str">
        <f>C275&amp;"-"&amp;D275</f>
        <v>I-042-50</v>
      </c>
      <c r="C275" s="45" t="s">
        <v>540</v>
      </c>
      <c r="D275" s="45">
        <v>50</v>
      </c>
      <c r="E275" s="45" t="s">
        <v>606</v>
      </c>
      <c r="F275" s="42" t="str">
        <f>VLOOKUP(E275, 'S11 Work Stations'!$A$2:$B$45, 2, 0)</f>
        <v>SAW-50-150-252</v>
      </c>
      <c r="G275" s="45">
        <v>180</v>
      </c>
      <c r="H275" s="3">
        <v>200</v>
      </c>
    </row>
    <row r="276" spans="1:8" s="44" customFormat="1" x14ac:dyDescent="0.2">
      <c r="A276" s="214" t="str">
        <f>C276&amp;"-"&amp;E276</f>
        <v>I-042-WS-38</v>
      </c>
      <c r="B276" s="214" t="str">
        <f>C276&amp;"-"&amp;D276</f>
        <v>I-042-20</v>
      </c>
      <c r="C276" s="45" t="s">
        <v>540</v>
      </c>
      <c r="D276" s="45">
        <v>20</v>
      </c>
      <c r="E276" s="45" t="s">
        <v>611</v>
      </c>
      <c r="F276" s="42" t="str">
        <f>VLOOKUP(E276, 'S11 Work Stations'!$A$2:$B$45, 2, 0)</f>
        <v>SAW-150-423</v>
      </c>
      <c r="G276" s="45">
        <v>120</v>
      </c>
      <c r="H276" s="3">
        <v>200</v>
      </c>
    </row>
    <row r="277" spans="1:8" s="44" customFormat="1" x14ac:dyDescent="0.2">
      <c r="A277" s="214" t="str">
        <f>C277&amp;"-"&amp;E277</f>
        <v>I-042-WS-43</v>
      </c>
      <c r="B277" s="214" t="str">
        <f>C277&amp;"-"&amp;D277</f>
        <v>I-042-10</v>
      </c>
      <c r="C277" s="45" t="s">
        <v>540</v>
      </c>
      <c r="D277" s="45">
        <v>10</v>
      </c>
      <c r="E277" s="45" t="s">
        <v>616</v>
      </c>
      <c r="F277" s="42" t="str">
        <f>VLOOKUP(E277, 'S11 Work Stations'!$A$2:$B$45, 2, 0)</f>
        <v>RAW-MAT-INV</v>
      </c>
      <c r="G277" s="45">
        <v>0</v>
      </c>
      <c r="H277" s="3">
        <v>200</v>
      </c>
    </row>
    <row r="278" spans="1:8" s="44" customFormat="1" x14ac:dyDescent="0.2">
      <c r="A278" s="214" t="str">
        <f>C278&amp;"-"&amp;E278</f>
        <v>I-042-WS-44</v>
      </c>
      <c r="B278" s="214" t="str">
        <f>C278&amp;"-"&amp;D278</f>
        <v>I-042-60</v>
      </c>
      <c r="C278" s="45" t="s">
        <v>540</v>
      </c>
      <c r="D278" s="45">
        <v>60</v>
      </c>
      <c r="E278" s="45" t="s">
        <v>617</v>
      </c>
      <c r="F278" s="42" t="str">
        <f>VLOOKUP(E278, 'S11 Work Stations'!$A$2:$B$45, 2, 0)</f>
        <v>FIN-GOOD-INV</v>
      </c>
      <c r="G278" s="45">
        <v>0</v>
      </c>
      <c r="H278" s="3">
        <v>200</v>
      </c>
    </row>
    <row r="279" spans="1:8" s="44" customFormat="1" x14ac:dyDescent="0.2">
      <c r="A279" s="214" t="str">
        <f>C279&amp;"-"&amp;E279</f>
        <v>I-043-WS-06</v>
      </c>
      <c r="B279" s="214" t="str">
        <f>C279&amp;"-"&amp;D279</f>
        <v>I-043-30</v>
      </c>
      <c r="C279" s="45" t="s">
        <v>211</v>
      </c>
      <c r="D279" s="45">
        <v>30</v>
      </c>
      <c r="E279" s="45" t="s">
        <v>579</v>
      </c>
      <c r="F279" s="42" t="str">
        <f>VLOOKUP(E279, 'S11 Work Stations'!$A$2:$B$45, 2, 0)</f>
        <v>TUR-C1-366</v>
      </c>
      <c r="G279" s="45">
        <v>240</v>
      </c>
      <c r="H279" s="3">
        <v>200</v>
      </c>
    </row>
    <row r="280" spans="1:8" s="44" customFormat="1" x14ac:dyDescent="0.2">
      <c r="A280" s="214" t="str">
        <f>C280&amp;"-"&amp;E280</f>
        <v>I-043-WS-07</v>
      </c>
      <c r="B280" s="214" t="str">
        <f>C280&amp;"-"&amp;D280</f>
        <v>I-043-30</v>
      </c>
      <c r="C280" s="45" t="s">
        <v>211</v>
      </c>
      <c r="D280" s="45">
        <v>30</v>
      </c>
      <c r="E280" s="45" t="s">
        <v>580</v>
      </c>
      <c r="F280" s="42" t="str">
        <f>VLOOKUP(E280, 'S11 Work Stations'!$A$2:$B$45, 2, 0)</f>
        <v>TUR-C2-367</v>
      </c>
      <c r="G280" s="45">
        <v>240</v>
      </c>
      <c r="H280" s="3">
        <v>200</v>
      </c>
    </row>
    <row r="281" spans="1:8" s="44" customFormat="1" x14ac:dyDescent="0.2">
      <c r="A281" s="214" t="str">
        <f>C281&amp;"-"&amp;E281</f>
        <v>I-043-WS-21</v>
      </c>
      <c r="B281" s="214" t="str">
        <f>C281&amp;"-"&amp;D281</f>
        <v>I-043-40</v>
      </c>
      <c r="C281" s="45" t="s">
        <v>211</v>
      </c>
      <c r="D281" s="45">
        <v>40</v>
      </c>
      <c r="E281" s="45" t="s">
        <v>594</v>
      </c>
      <c r="F281" s="42" t="str">
        <f>VLOOKUP(E281, 'S11 Work Stations'!$A$2:$B$45, 2, 0)</f>
        <v>MIL-U1-605</v>
      </c>
      <c r="G281" s="45">
        <v>240</v>
      </c>
      <c r="H281" s="3">
        <v>200</v>
      </c>
    </row>
    <row r="282" spans="1:8" s="44" customFormat="1" x14ac:dyDescent="0.2">
      <c r="A282" s="214" t="str">
        <f>C282&amp;"-"&amp;E282</f>
        <v>I-043-WS-27</v>
      </c>
      <c r="B282" s="214" t="str">
        <f>C282&amp;"-"&amp;D282</f>
        <v>I-043-60</v>
      </c>
      <c r="C282" s="45" t="s">
        <v>211</v>
      </c>
      <c r="D282" s="45">
        <v>60</v>
      </c>
      <c r="E282" s="45" t="s">
        <v>600</v>
      </c>
      <c r="F282" s="42" t="str">
        <f>VLOOKUP(E282, 'S11 Work Stations'!$A$2:$B$45, 2, 0)</f>
        <v>GR-T1-203</v>
      </c>
      <c r="G282" s="45">
        <v>240</v>
      </c>
      <c r="H282" s="3">
        <v>200</v>
      </c>
    </row>
    <row r="283" spans="1:8" s="44" customFormat="1" x14ac:dyDescent="0.2">
      <c r="A283" s="214" t="str">
        <f>C283&amp;"-"&amp;E283</f>
        <v>I-043-WS-28</v>
      </c>
      <c r="B283" s="214" t="str">
        <f>C283&amp;"-"&amp;D283</f>
        <v>I-043-50</v>
      </c>
      <c r="C283" s="45" t="s">
        <v>211</v>
      </c>
      <c r="D283" s="45">
        <v>50</v>
      </c>
      <c r="E283" s="45" t="s">
        <v>601</v>
      </c>
      <c r="F283" s="42" t="str">
        <f>VLOOKUP(E283, 'S11 Work Stations'!$A$2:$B$45, 2, 0)</f>
        <v>DR-T3-204</v>
      </c>
      <c r="G283" s="45">
        <v>120</v>
      </c>
      <c r="H283" s="3">
        <v>200</v>
      </c>
    </row>
    <row r="284" spans="1:8" s="44" customFormat="1" x14ac:dyDescent="0.2">
      <c r="A284" s="214" t="str">
        <f>C284&amp;"-"&amp;E284</f>
        <v>I-043-WS-32</v>
      </c>
      <c r="B284" s="214" t="str">
        <f>C284&amp;"-"&amp;D284</f>
        <v>I-043-70</v>
      </c>
      <c r="C284" s="45" t="s">
        <v>211</v>
      </c>
      <c r="D284" s="45">
        <v>70</v>
      </c>
      <c r="E284" s="45" t="s">
        <v>605</v>
      </c>
      <c r="F284" s="42" t="str">
        <f>VLOOKUP(E284, 'S11 Work Stations'!$A$2:$B$45, 2, 0)</f>
        <v>SAW-30-150-251</v>
      </c>
      <c r="G284" s="45">
        <v>180</v>
      </c>
      <c r="H284" s="3">
        <v>200</v>
      </c>
    </row>
    <row r="285" spans="1:8" s="44" customFormat="1" x14ac:dyDescent="0.2">
      <c r="A285" s="214" t="str">
        <f>C285&amp;"-"&amp;E285</f>
        <v>I-043-WS-38</v>
      </c>
      <c r="B285" s="214" t="str">
        <f>C285&amp;"-"&amp;D285</f>
        <v>I-043-20</v>
      </c>
      <c r="C285" s="45" t="s">
        <v>211</v>
      </c>
      <c r="D285" s="45">
        <v>20</v>
      </c>
      <c r="E285" s="45" t="s">
        <v>611</v>
      </c>
      <c r="F285" s="42" t="str">
        <f>VLOOKUP(E285, 'S11 Work Stations'!$A$2:$B$45, 2, 0)</f>
        <v>SAW-150-423</v>
      </c>
      <c r="G285" s="45">
        <v>120</v>
      </c>
      <c r="H285" s="3">
        <v>200</v>
      </c>
    </row>
    <row r="286" spans="1:8" s="44" customFormat="1" x14ac:dyDescent="0.2">
      <c r="A286" s="214" t="str">
        <f>C286&amp;"-"&amp;E286</f>
        <v>I-043-WS-43</v>
      </c>
      <c r="B286" s="214" t="str">
        <f>C286&amp;"-"&amp;D286</f>
        <v>I-043-10</v>
      </c>
      <c r="C286" s="45" t="s">
        <v>211</v>
      </c>
      <c r="D286" s="45">
        <v>10</v>
      </c>
      <c r="E286" s="45" t="s">
        <v>616</v>
      </c>
      <c r="F286" s="42" t="str">
        <f>VLOOKUP(E286, 'S11 Work Stations'!$A$2:$B$45, 2, 0)</f>
        <v>RAW-MAT-INV</v>
      </c>
      <c r="G286" s="45">
        <v>0</v>
      </c>
      <c r="H286" s="3">
        <v>200</v>
      </c>
    </row>
    <row r="287" spans="1:8" s="44" customFormat="1" x14ac:dyDescent="0.2">
      <c r="A287" s="214" t="str">
        <f>C287&amp;"-"&amp;E287</f>
        <v>I-043-WS-44</v>
      </c>
      <c r="B287" s="214" t="str">
        <f>C287&amp;"-"&amp;D287</f>
        <v>I-043-80</v>
      </c>
      <c r="C287" s="45" t="s">
        <v>211</v>
      </c>
      <c r="D287" s="45">
        <v>80</v>
      </c>
      <c r="E287" s="45" t="s">
        <v>617</v>
      </c>
      <c r="F287" s="42" t="str">
        <f>VLOOKUP(E287, 'S11 Work Stations'!$A$2:$B$45, 2, 0)</f>
        <v>FIN-GOOD-INV</v>
      </c>
      <c r="G287" s="45">
        <v>0</v>
      </c>
      <c r="H287" s="3">
        <v>200</v>
      </c>
    </row>
    <row r="288" spans="1:8" s="44" customFormat="1" x14ac:dyDescent="0.2">
      <c r="A288" s="214" t="str">
        <f>C288&amp;"-"&amp;E288</f>
        <v>I-044-WS-06</v>
      </c>
      <c r="B288" s="214" t="str">
        <f>C288&amp;"-"&amp;D288</f>
        <v>I-044-30</v>
      </c>
      <c r="C288" s="45" t="s">
        <v>207</v>
      </c>
      <c r="D288" s="45">
        <v>30</v>
      </c>
      <c r="E288" s="45" t="s">
        <v>579</v>
      </c>
      <c r="F288" s="42" t="str">
        <f>VLOOKUP(E288, 'S11 Work Stations'!$A$2:$B$45, 2, 0)</f>
        <v>TUR-C1-366</v>
      </c>
      <c r="G288" s="45">
        <v>240</v>
      </c>
      <c r="H288" s="3">
        <v>200</v>
      </c>
    </row>
    <row r="289" spans="1:8" s="44" customFormat="1" x14ac:dyDescent="0.2">
      <c r="A289" s="214" t="str">
        <f>C289&amp;"-"&amp;E289</f>
        <v>I-044-WS-26</v>
      </c>
      <c r="B289" s="214" t="str">
        <f>C289&amp;"-"&amp;D289</f>
        <v>I-044-40</v>
      </c>
      <c r="C289" s="45" t="s">
        <v>207</v>
      </c>
      <c r="D289" s="45">
        <v>40</v>
      </c>
      <c r="E289" s="45" t="s">
        <v>599</v>
      </c>
      <c r="F289" s="42" t="str">
        <f>VLOOKUP(E289, 'S11 Work Stations'!$A$2:$B$45, 2, 0)</f>
        <v>DR-2A2-202</v>
      </c>
      <c r="G289" s="45">
        <v>240</v>
      </c>
      <c r="H289" s="3">
        <v>200</v>
      </c>
    </row>
    <row r="290" spans="1:8" s="44" customFormat="1" x14ac:dyDescent="0.2">
      <c r="A290" s="214" t="str">
        <f>C290&amp;"-"&amp;E290</f>
        <v>I-044-WS-34</v>
      </c>
      <c r="B290" s="214" t="str">
        <f>C290&amp;"-"&amp;D290</f>
        <v>I-044-50</v>
      </c>
      <c r="C290" s="45" t="s">
        <v>207</v>
      </c>
      <c r="D290" s="45">
        <v>50</v>
      </c>
      <c r="E290" s="45" t="s">
        <v>607</v>
      </c>
      <c r="F290" s="42" t="str">
        <f>VLOOKUP(E290, 'S11 Work Stations'!$A$2:$B$45, 2, 0)</f>
        <v>SAW-30-160-252</v>
      </c>
      <c r="G290" s="45">
        <v>180</v>
      </c>
      <c r="H290" s="3">
        <v>200</v>
      </c>
    </row>
    <row r="291" spans="1:8" s="44" customFormat="1" x14ac:dyDescent="0.2">
      <c r="A291" s="214" t="str">
        <f>C291&amp;"-"&amp;E291</f>
        <v>I-044-WS-38</v>
      </c>
      <c r="B291" s="214" t="str">
        <f>C291&amp;"-"&amp;D291</f>
        <v>I-044-20</v>
      </c>
      <c r="C291" s="45" t="s">
        <v>207</v>
      </c>
      <c r="D291" s="45">
        <v>20</v>
      </c>
      <c r="E291" s="45" t="s">
        <v>611</v>
      </c>
      <c r="F291" s="42" t="str">
        <f>VLOOKUP(E291, 'S11 Work Stations'!$A$2:$B$45, 2, 0)</f>
        <v>SAW-150-423</v>
      </c>
      <c r="G291" s="45">
        <v>120</v>
      </c>
      <c r="H291" s="3">
        <v>200</v>
      </c>
    </row>
    <row r="292" spans="1:8" s="44" customFormat="1" x14ac:dyDescent="0.2">
      <c r="A292" s="214" t="str">
        <f>C292&amp;"-"&amp;E292</f>
        <v>I-044-WS-43</v>
      </c>
      <c r="B292" s="214" t="str">
        <f>C292&amp;"-"&amp;D292</f>
        <v>I-044-10</v>
      </c>
      <c r="C292" s="45" t="s">
        <v>207</v>
      </c>
      <c r="D292" s="45">
        <v>10</v>
      </c>
      <c r="E292" s="45" t="s">
        <v>616</v>
      </c>
      <c r="F292" s="42" t="str">
        <f>VLOOKUP(E292, 'S11 Work Stations'!$A$2:$B$45, 2, 0)</f>
        <v>RAW-MAT-INV</v>
      </c>
      <c r="G292" s="45">
        <v>0</v>
      </c>
      <c r="H292" s="3">
        <v>200</v>
      </c>
    </row>
    <row r="293" spans="1:8" s="44" customFormat="1" x14ac:dyDescent="0.2">
      <c r="A293" s="214" t="str">
        <f>C293&amp;"-"&amp;E293</f>
        <v>I-044-WS-44</v>
      </c>
      <c r="B293" s="214" t="str">
        <f>C293&amp;"-"&amp;D293</f>
        <v>I-044-60</v>
      </c>
      <c r="C293" s="45" t="s">
        <v>207</v>
      </c>
      <c r="D293" s="45">
        <v>60</v>
      </c>
      <c r="E293" s="45" t="s">
        <v>617</v>
      </c>
      <c r="F293" s="42" t="str">
        <f>VLOOKUP(E293, 'S11 Work Stations'!$A$2:$B$45, 2, 0)</f>
        <v>FIN-GOOD-INV</v>
      </c>
      <c r="G293" s="45">
        <v>0</v>
      </c>
      <c r="H293" s="3">
        <v>200</v>
      </c>
    </row>
    <row r="294" spans="1:8" s="44" customFormat="1" x14ac:dyDescent="0.2">
      <c r="A294" s="214" t="str">
        <f>C294&amp;"-"&amp;E294</f>
        <v>I-045-WS-06</v>
      </c>
      <c r="B294" s="214" t="str">
        <f>C294&amp;"-"&amp;D294</f>
        <v>I-045-30</v>
      </c>
      <c r="C294" s="45" t="s">
        <v>541</v>
      </c>
      <c r="D294" s="45">
        <v>30</v>
      </c>
      <c r="E294" s="45" t="s">
        <v>579</v>
      </c>
      <c r="F294" s="42" t="str">
        <f>VLOOKUP(E294, 'S11 Work Stations'!$A$2:$B$45, 2, 0)</f>
        <v>TUR-C1-366</v>
      </c>
      <c r="G294" s="45">
        <v>540</v>
      </c>
      <c r="H294" s="3">
        <v>200</v>
      </c>
    </row>
    <row r="295" spans="1:8" s="44" customFormat="1" x14ac:dyDescent="0.2">
      <c r="A295" s="214" t="str">
        <f>C295&amp;"-"&amp;E295</f>
        <v>I-045-WS-26</v>
      </c>
      <c r="B295" s="214" t="str">
        <f>C295&amp;"-"&amp;D295</f>
        <v>I-045-40</v>
      </c>
      <c r="C295" s="45" t="s">
        <v>541</v>
      </c>
      <c r="D295" s="45">
        <v>40</v>
      </c>
      <c r="E295" s="45" t="s">
        <v>599</v>
      </c>
      <c r="F295" s="42" t="str">
        <f>VLOOKUP(E295, 'S11 Work Stations'!$A$2:$B$45, 2, 0)</f>
        <v>DR-2A2-202</v>
      </c>
      <c r="G295" s="45">
        <v>180</v>
      </c>
      <c r="H295" s="3">
        <v>200</v>
      </c>
    </row>
    <row r="296" spans="1:8" s="44" customFormat="1" x14ac:dyDescent="0.2">
      <c r="A296" s="214" t="str">
        <f>C296&amp;"-"&amp;E296</f>
        <v>I-045-WS-34</v>
      </c>
      <c r="B296" s="214" t="str">
        <f>C296&amp;"-"&amp;D296</f>
        <v>I-045-50</v>
      </c>
      <c r="C296" s="45" t="s">
        <v>541</v>
      </c>
      <c r="D296" s="45">
        <v>50</v>
      </c>
      <c r="E296" s="45" t="s">
        <v>607</v>
      </c>
      <c r="F296" s="42" t="str">
        <f>VLOOKUP(E296, 'S11 Work Stations'!$A$2:$B$45, 2, 0)</f>
        <v>SAW-30-160-252</v>
      </c>
      <c r="G296" s="45">
        <v>180</v>
      </c>
      <c r="H296" s="3">
        <v>200</v>
      </c>
    </row>
    <row r="297" spans="1:8" s="44" customFormat="1" x14ac:dyDescent="0.2">
      <c r="A297" s="214" t="str">
        <f>C297&amp;"-"&amp;E297</f>
        <v>I-045-WS-38</v>
      </c>
      <c r="B297" s="214" t="str">
        <f>C297&amp;"-"&amp;D297</f>
        <v>I-045-20</v>
      </c>
      <c r="C297" s="45" t="s">
        <v>541</v>
      </c>
      <c r="D297" s="45">
        <v>20</v>
      </c>
      <c r="E297" s="45" t="s">
        <v>611</v>
      </c>
      <c r="F297" s="42" t="str">
        <f>VLOOKUP(E297, 'S11 Work Stations'!$A$2:$B$45, 2, 0)</f>
        <v>SAW-150-423</v>
      </c>
      <c r="G297" s="45">
        <v>120</v>
      </c>
      <c r="H297" s="3">
        <v>200</v>
      </c>
    </row>
    <row r="298" spans="1:8" s="44" customFormat="1" x14ac:dyDescent="0.2">
      <c r="A298" s="214" t="str">
        <f>C298&amp;"-"&amp;E298</f>
        <v>I-045-WS-43</v>
      </c>
      <c r="B298" s="214" t="str">
        <f>C298&amp;"-"&amp;D298</f>
        <v>I-045-10</v>
      </c>
      <c r="C298" s="45" t="s">
        <v>541</v>
      </c>
      <c r="D298" s="45">
        <v>10</v>
      </c>
      <c r="E298" s="45" t="s">
        <v>616</v>
      </c>
      <c r="F298" s="42" t="str">
        <f>VLOOKUP(E298, 'S11 Work Stations'!$A$2:$B$45, 2, 0)</f>
        <v>RAW-MAT-INV</v>
      </c>
      <c r="G298" s="45">
        <v>0</v>
      </c>
      <c r="H298" s="3">
        <v>200</v>
      </c>
    </row>
    <row r="299" spans="1:8" s="44" customFormat="1" x14ac:dyDescent="0.2">
      <c r="A299" s="214" t="str">
        <f>C299&amp;"-"&amp;E299</f>
        <v>I-045-WS-44</v>
      </c>
      <c r="B299" s="214" t="str">
        <f>C299&amp;"-"&amp;D299</f>
        <v>I-045-60</v>
      </c>
      <c r="C299" s="45" t="s">
        <v>541</v>
      </c>
      <c r="D299" s="45">
        <v>60</v>
      </c>
      <c r="E299" s="45" t="s">
        <v>617</v>
      </c>
      <c r="F299" s="42" t="str">
        <f>VLOOKUP(E299, 'S11 Work Stations'!$A$2:$B$45, 2, 0)</f>
        <v>FIN-GOOD-INV</v>
      </c>
      <c r="G299" s="45">
        <v>0</v>
      </c>
      <c r="H299" s="3">
        <v>200</v>
      </c>
    </row>
    <row r="300" spans="1:8" s="44" customFormat="1" x14ac:dyDescent="0.2">
      <c r="A300" s="214" t="str">
        <f>C300&amp;"-"&amp;E300</f>
        <v>I-046-WS-06</v>
      </c>
      <c r="B300" s="214" t="str">
        <f>C300&amp;"-"&amp;D300</f>
        <v>I-046-30</v>
      </c>
      <c r="C300" s="45" t="s">
        <v>542</v>
      </c>
      <c r="D300" s="45">
        <v>30</v>
      </c>
      <c r="E300" s="45" t="s">
        <v>579</v>
      </c>
      <c r="F300" s="42" t="str">
        <f>VLOOKUP(E300, 'S11 Work Stations'!$A$2:$B$45, 2, 0)</f>
        <v>TUR-C1-366</v>
      </c>
      <c r="G300" s="45">
        <v>480</v>
      </c>
      <c r="H300" s="3">
        <v>200</v>
      </c>
    </row>
    <row r="301" spans="1:8" s="44" customFormat="1" x14ac:dyDescent="0.2">
      <c r="A301" s="214" t="str">
        <f>C301&amp;"-"&amp;E301</f>
        <v>I-046-WS-26</v>
      </c>
      <c r="B301" s="214" t="str">
        <f>C301&amp;"-"&amp;D301</f>
        <v>I-046-40</v>
      </c>
      <c r="C301" s="45" t="s">
        <v>542</v>
      </c>
      <c r="D301" s="45">
        <v>40</v>
      </c>
      <c r="E301" s="45" t="s">
        <v>599</v>
      </c>
      <c r="F301" s="42" t="str">
        <f>VLOOKUP(E301, 'S11 Work Stations'!$A$2:$B$45, 2, 0)</f>
        <v>DR-2A2-202</v>
      </c>
      <c r="G301" s="45">
        <v>180</v>
      </c>
      <c r="H301" s="3">
        <v>200</v>
      </c>
    </row>
    <row r="302" spans="1:8" s="44" customFormat="1" x14ac:dyDescent="0.2">
      <c r="A302" s="214" t="str">
        <f>C302&amp;"-"&amp;E302</f>
        <v>I-046-WS-34</v>
      </c>
      <c r="B302" s="214" t="str">
        <f>C302&amp;"-"&amp;D302</f>
        <v>I-046-50</v>
      </c>
      <c r="C302" s="45" t="s">
        <v>542</v>
      </c>
      <c r="D302" s="45">
        <v>50</v>
      </c>
      <c r="E302" s="45" t="s">
        <v>607</v>
      </c>
      <c r="F302" s="42" t="str">
        <f>VLOOKUP(E302, 'S11 Work Stations'!$A$2:$B$45, 2, 0)</f>
        <v>SAW-30-160-252</v>
      </c>
      <c r="G302" s="45">
        <v>180</v>
      </c>
      <c r="H302" s="3">
        <v>200</v>
      </c>
    </row>
    <row r="303" spans="1:8" s="44" customFormat="1" x14ac:dyDescent="0.2">
      <c r="A303" s="214" t="str">
        <f>C303&amp;"-"&amp;E303</f>
        <v>I-046-WS-39</v>
      </c>
      <c r="B303" s="214" t="str">
        <f>C303&amp;"-"&amp;D303</f>
        <v>I-046-20</v>
      </c>
      <c r="C303" s="45" t="s">
        <v>542</v>
      </c>
      <c r="D303" s="45">
        <v>20</v>
      </c>
      <c r="E303" s="45" t="s">
        <v>612</v>
      </c>
      <c r="F303" s="42" t="str">
        <f>VLOOKUP(E303, 'S11 Work Stations'!$A$2:$B$45, 2, 0)</f>
        <v>SAW-400-424</v>
      </c>
      <c r="G303" s="45">
        <v>120</v>
      </c>
      <c r="H303" s="3">
        <v>200</v>
      </c>
    </row>
    <row r="304" spans="1:8" s="44" customFormat="1" x14ac:dyDescent="0.2">
      <c r="A304" s="214" t="str">
        <f>C304&amp;"-"&amp;E304</f>
        <v>I-046-WS-43</v>
      </c>
      <c r="B304" s="214" t="str">
        <f>C304&amp;"-"&amp;D304</f>
        <v>I-046-10</v>
      </c>
      <c r="C304" s="45" t="s">
        <v>542</v>
      </c>
      <c r="D304" s="45">
        <v>10</v>
      </c>
      <c r="E304" s="45" t="s">
        <v>616</v>
      </c>
      <c r="F304" s="42" t="str">
        <f>VLOOKUP(E304, 'S11 Work Stations'!$A$2:$B$45, 2, 0)</f>
        <v>RAW-MAT-INV</v>
      </c>
      <c r="G304" s="45">
        <v>0</v>
      </c>
      <c r="H304" s="3">
        <v>200</v>
      </c>
    </row>
    <row r="305" spans="1:8" s="44" customFormat="1" x14ac:dyDescent="0.2">
      <c r="A305" s="214" t="str">
        <f>C305&amp;"-"&amp;E305</f>
        <v>I-046-WS-44</v>
      </c>
      <c r="B305" s="214" t="str">
        <f>C305&amp;"-"&amp;D305</f>
        <v>I-046-60</v>
      </c>
      <c r="C305" s="45" t="s">
        <v>542</v>
      </c>
      <c r="D305" s="45">
        <v>60</v>
      </c>
      <c r="E305" s="45" t="s">
        <v>617</v>
      </c>
      <c r="F305" s="42" t="str">
        <f>VLOOKUP(E305, 'S11 Work Stations'!$A$2:$B$45, 2, 0)</f>
        <v>FIN-GOOD-INV</v>
      </c>
      <c r="G305" s="45">
        <v>0</v>
      </c>
      <c r="H305" s="3">
        <v>200</v>
      </c>
    </row>
    <row r="306" spans="1:8" s="44" customFormat="1" x14ac:dyDescent="0.2">
      <c r="A306" s="214" t="str">
        <f>C306&amp;"-"&amp;E306</f>
        <v>I-047-WS-06</v>
      </c>
      <c r="B306" s="214" t="str">
        <f>C306&amp;"-"&amp;D306</f>
        <v>I-047-30</v>
      </c>
      <c r="C306" s="45" t="s">
        <v>543</v>
      </c>
      <c r="D306" s="45">
        <v>30</v>
      </c>
      <c r="E306" s="45" t="s">
        <v>579</v>
      </c>
      <c r="F306" s="42" t="str">
        <f>VLOOKUP(E306, 'S11 Work Stations'!$A$2:$B$45, 2, 0)</f>
        <v>TUR-C1-366</v>
      </c>
      <c r="G306" s="45">
        <v>480</v>
      </c>
      <c r="H306" s="3">
        <v>200</v>
      </c>
    </row>
    <row r="307" spans="1:8" s="44" customFormat="1" x14ac:dyDescent="0.2">
      <c r="A307" s="214" t="str">
        <f>C307&amp;"-"&amp;E307</f>
        <v>I-047-WS-23</v>
      </c>
      <c r="B307" s="214" t="str">
        <f>C307&amp;"-"&amp;D307</f>
        <v>I-047-60</v>
      </c>
      <c r="C307" s="45" t="s">
        <v>543</v>
      </c>
      <c r="D307" s="45">
        <v>60</v>
      </c>
      <c r="E307" s="45" t="s">
        <v>596</v>
      </c>
      <c r="F307" s="42" t="str">
        <f>VLOOKUP(E307, 'S11 Work Stations'!$A$2:$B$45, 2, 0)</f>
        <v>MIL-U2-607</v>
      </c>
      <c r="G307" s="45">
        <v>180</v>
      </c>
      <c r="H307" s="3">
        <v>200</v>
      </c>
    </row>
    <row r="308" spans="1:8" s="44" customFormat="1" x14ac:dyDescent="0.2">
      <c r="A308" s="214" t="str">
        <f>C308&amp;"-"&amp;E308</f>
        <v>I-047-WS-26</v>
      </c>
      <c r="B308" s="214" t="str">
        <f>C308&amp;"-"&amp;D308</f>
        <v>I-047-40</v>
      </c>
      <c r="C308" s="45" t="s">
        <v>543</v>
      </c>
      <c r="D308" s="45">
        <v>40</v>
      </c>
      <c r="E308" s="45" t="s">
        <v>599</v>
      </c>
      <c r="F308" s="42" t="str">
        <f>VLOOKUP(E308, 'S11 Work Stations'!$A$2:$B$45, 2, 0)</f>
        <v>DR-2A2-202</v>
      </c>
      <c r="G308" s="45">
        <v>120</v>
      </c>
      <c r="H308" s="3">
        <v>200</v>
      </c>
    </row>
    <row r="309" spans="1:8" s="44" customFormat="1" x14ac:dyDescent="0.2">
      <c r="A309" s="214" t="str">
        <f>C309&amp;"-"&amp;E309</f>
        <v>I-047-WS-33</v>
      </c>
      <c r="B309" s="214" t="str">
        <f>C309&amp;"-"&amp;D309</f>
        <v>I-047-50</v>
      </c>
      <c r="C309" s="45" t="s">
        <v>543</v>
      </c>
      <c r="D309" s="45">
        <v>50</v>
      </c>
      <c r="E309" s="45" t="s">
        <v>606</v>
      </c>
      <c r="F309" s="42" t="str">
        <f>VLOOKUP(E309, 'S11 Work Stations'!$A$2:$B$45, 2, 0)</f>
        <v>SAW-50-150-252</v>
      </c>
      <c r="G309" s="45">
        <v>360</v>
      </c>
      <c r="H309" s="3">
        <v>200</v>
      </c>
    </row>
    <row r="310" spans="1:8" s="44" customFormat="1" x14ac:dyDescent="0.2">
      <c r="A310" s="214" t="str">
        <f>C310&amp;"-"&amp;E310</f>
        <v>I-047-WS-39</v>
      </c>
      <c r="B310" s="214" t="str">
        <f>C310&amp;"-"&amp;D310</f>
        <v>I-047-20</v>
      </c>
      <c r="C310" s="45" t="s">
        <v>543</v>
      </c>
      <c r="D310" s="45">
        <v>20</v>
      </c>
      <c r="E310" s="45" t="s">
        <v>612</v>
      </c>
      <c r="F310" s="42" t="str">
        <f>VLOOKUP(E310, 'S11 Work Stations'!$A$2:$B$45, 2, 0)</f>
        <v>SAW-400-424</v>
      </c>
      <c r="G310" s="45">
        <v>120</v>
      </c>
      <c r="H310" s="3">
        <v>200</v>
      </c>
    </row>
    <row r="311" spans="1:8" s="44" customFormat="1" x14ac:dyDescent="0.2">
      <c r="A311" s="214" t="str">
        <f>C311&amp;"-"&amp;E311</f>
        <v>I-047-WS-43</v>
      </c>
      <c r="B311" s="214" t="str">
        <f>C311&amp;"-"&amp;D311</f>
        <v>I-047-10</v>
      </c>
      <c r="C311" s="45" t="s">
        <v>543</v>
      </c>
      <c r="D311" s="45">
        <v>10</v>
      </c>
      <c r="E311" s="45" t="s">
        <v>616</v>
      </c>
      <c r="F311" s="42" t="str">
        <f>VLOOKUP(E311, 'S11 Work Stations'!$A$2:$B$45, 2, 0)</f>
        <v>RAW-MAT-INV</v>
      </c>
      <c r="G311" s="45">
        <v>0</v>
      </c>
      <c r="H311" s="3">
        <v>200</v>
      </c>
    </row>
    <row r="312" spans="1:8" s="44" customFormat="1" x14ac:dyDescent="0.2">
      <c r="A312" s="214" t="str">
        <f>C312&amp;"-"&amp;E312</f>
        <v>I-047-WS-44</v>
      </c>
      <c r="B312" s="214" t="str">
        <f>C312&amp;"-"&amp;D312</f>
        <v>I-047-70</v>
      </c>
      <c r="C312" s="45" t="s">
        <v>543</v>
      </c>
      <c r="D312" s="45">
        <v>70</v>
      </c>
      <c r="E312" s="45" t="s">
        <v>617</v>
      </c>
      <c r="F312" s="42" t="str">
        <f>VLOOKUP(E312, 'S11 Work Stations'!$A$2:$B$45, 2, 0)</f>
        <v>FIN-GOOD-INV</v>
      </c>
      <c r="G312" s="45">
        <v>0</v>
      </c>
      <c r="H312" s="3">
        <v>200</v>
      </c>
    </row>
    <row r="313" spans="1:8" s="44" customFormat="1" x14ac:dyDescent="0.2">
      <c r="A313" s="214" t="str">
        <f>C313&amp;"-"&amp;E313</f>
        <v>I-048-WS-06</v>
      </c>
      <c r="B313" s="214" t="str">
        <f>C313&amp;"-"&amp;D313</f>
        <v>I-048-30</v>
      </c>
      <c r="C313" s="45" t="s">
        <v>544</v>
      </c>
      <c r="D313" s="45">
        <v>30</v>
      </c>
      <c r="E313" s="45" t="s">
        <v>579</v>
      </c>
      <c r="F313" s="42" t="str">
        <f>VLOOKUP(E313, 'S11 Work Stations'!$A$2:$B$45, 2, 0)</f>
        <v>TUR-C1-366</v>
      </c>
      <c r="G313" s="45">
        <v>360</v>
      </c>
      <c r="H313" s="3">
        <v>200</v>
      </c>
    </row>
    <row r="314" spans="1:8" s="44" customFormat="1" x14ac:dyDescent="0.2">
      <c r="A314" s="214" t="str">
        <f>C314&amp;"-"&amp;E314</f>
        <v>I-048-WS-25</v>
      </c>
      <c r="B314" s="214" t="str">
        <f>C314&amp;"-"&amp;D314</f>
        <v>I-048-60</v>
      </c>
      <c r="C314" s="45" t="s">
        <v>544</v>
      </c>
      <c r="D314" s="45">
        <v>60</v>
      </c>
      <c r="E314" s="45" t="s">
        <v>598</v>
      </c>
      <c r="F314" s="42" t="str">
        <f>VLOOKUP(E314, 'S11 Work Stations'!$A$2:$B$45, 2, 0)</f>
        <v>DR-2A-201</v>
      </c>
      <c r="G314" s="45">
        <v>1440</v>
      </c>
      <c r="H314" s="3">
        <v>200</v>
      </c>
    </row>
    <row r="315" spans="1:8" s="44" customFormat="1" x14ac:dyDescent="0.2">
      <c r="A315" s="214" t="str">
        <f>C315&amp;"-"&amp;E315</f>
        <v>I-048-WS-30</v>
      </c>
      <c r="B315" s="214" t="str">
        <f>C315&amp;"-"&amp;D315</f>
        <v>I-048-40</v>
      </c>
      <c r="C315" s="45" t="s">
        <v>544</v>
      </c>
      <c r="D315" s="45">
        <v>40</v>
      </c>
      <c r="E315" s="45" t="s">
        <v>603</v>
      </c>
      <c r="F315" s="42" t="str">
        <f>VLOOKUP(E315, 'S11 Work Stations'!$A$2:$B$45, 2, 0)</f>
        <v>DR-3A-206</v>
      </c>
      <c r="G315" s="45">
        <v>300</v>
      </c>
      <c r="H315" s="3">
        <v>200</v>
      </c>
    </row>
    <row r="316" spans="1:8" s="44" customFormat="1" x14ac:dyDescent="0.2">
      <c r="A316" s="214" t="str">
        <f>C316&amp;"-"&amp;E316</f>
        <v>I-048-WS-33</v>
      </c>
      <c r="B316" s="214" t="str">
        <f>C316&amp;"-"&amp;D316</f>
        <v>I-048-50</v>
      </c>
      <c r="C316" s="45" t="s">
        <v>544</v>
      </c>
      <c r="D316" s="45">
        <v>50</v>
      </c>
      <c r="E316" s="45" t="s">
        <v>606</v>
      </c>
      <c r="F316" s="42" t="str">
        <f>VLOOKUP(E316, 'S11 Work Stations'!$A$2:$B$45, 2, 0)</f>
        <v>SAW-50-150-252</v>
      </c>
      <c r="G316" s="45">
        <v>420</v>
      </c>
      <c r="H316" s="3">
        <v>200</v>
      </c>
    </row>
    <row r="317" spans="1:8" s="44" customFormat="1" x14ac:dyDescent="0.2">
      <c r="A317" s="214" t="str">
        <f>C317&amp;"-"&amp;E317</f>
        <v>I-048-WS-39</v>
      </c>
      <c r="B317" s="214" t="str">
        <f>C317&amp;"-"&amp;D317</f>
        <v>I-048-20</v>
      </c>
      <c r="C317" s="45" t="s">
        <v>544</v>
      </c>
      <c r="D317" s="45">
        <v>20</v>
      </c>
      <c r="E317" s="45" t="s">
        <v>612</v>
      </c>
      <c r="F317" s="42" t="str">
        <f>VLOOKUP(E317, 'S11 Work Stations'!$A$2:$B$45, 2, 0)</f>
        <v>SAW-400-424</v>
      </c>
      <c r="G317" s="45">
        <v>120</v>
      </c>
      <c r="H317" s="3">
        <v>200</v>
      </c>
    </row>
    <row r="318" spans="1:8" s="44" customFormat="1" x14ac:dyDescent="0.2">
      <c r="A318" s="214" t="str">
        <f>C318&amp;"-"&amp;E318</f>
        <v>I-048-WS-43</v>
      </c>
      <c r="B318" s="214" t="str">
        <f>C318&amp;"-"&amp;D318</f>
        <v>I-048-10</v>
      </c>
      <c r="C318" s="45" t="s">
        <v>544</v>
      </c>
      <c r="D318" s="45">
        <v>10</v>
      </c>
      <c r="E318" s="45" t="s">
        <v>616</v>
      </c>
      <c r="F318" s="42" t="str">
        <f>VLOOKUP(E318, 'S11 Work Stations'!$A$2:$B$45, 2, 0)</f>
        <v>RAW-MAT-INV</v>
      </c>
      <c r="G318" s="45">
        <v>0</v>
      </c>
      <c r="H318" s="3">
        <v>200</v>
      </c>
    </row>
    <row r="319" spans="1:8" s="44" customFormat="1" x14ac:dyDescent="0.2">
      <c r="A319" s="214" t="str">
        <f>C319&amp;"-"&amp;E319</f>
        <v>I-048-WS-44</v>
      </c>
      <c r="B319" s="214" t="str">
        <f>C319&amp;"-"&amp;D319</f>
        <v>I-048-70</v>
      </c>
      <c r="C319" s="45" t="s">
        <v>544</v>
      </c>
      <c r="D319" s="45">
        <v>70</v>
      </c>
      <c r="E319" s="45" t="s">
        <v>617</v>
      </c>
      <c r="F319" s="42" t="str">
        <f>VLOOKUP(E319, 'S11 Work Stations'!$A$2:$B$45, 2, 0)</f>
        <v>FIN-GOOD-INV</v>
      </c>
      <c r="G319" s="45">
        <v>0</v>
      </c>
      <c r="H319" s="3">
        <v>200</v>
      </c>
    </row>
    <row r="320" spans="1:8" s="44" customFormat="1" x14ac:dyDescent="0.2">
      <c r="A320" s="214" t="str">
        <f>C320&amp;"-"&amp;E320</f>
        <v>I-049-WS-06</v>
      </c>
      <c r="B320" s="214" t="str">
        <f>C320&amp;"-"&amp;D320</f>
        <v>I-049-30</v>
      </c>
      <c r="C320" s="45" t="s">
        <v>545</v>
      </c>
      <c r="D320" s="45">
        <v>30</v>
      </c>
      <c r="E320" s="45" t="s">
        <v>579</v>
      </c>
      <c r="F320" s="42" t="str">
        <f>VLOOKUP(E320, 'S11 Work Stations'!$A$2:$B$45, 2, 0)</f>
        <v>TUR-C1-366</v>
      </c>
      <c r="G320" s="45">
        <v>360</v>
      </c>
      <c r="H320" s="3">
        <v>200</v>
      </c>
    </row>
    <row r="321" spans="1:8" s="44" customFormat="1" x14ac:dyDescent="0.2">
      <c r="A321" s="214" t="str">
        <f>C321&amp;"-"&amp;E321</f>
        <v>I-049-WS-23</v>
      </c>
      <c r="B321" s="214" t="str">
        <f>C321&amp;"-"&amp;D321</f>
        <v>I-049-60</v>
      </c>
      <c r="C321" s="45" t="s">
        <v>545</v>
      </c>
      <c r="D321" s="45">
        <v>60</v>
      </c>
      <c r="E321" s="45" t="s">
        <v>596</v>
      </c>
      <c r="F321" s="42" t="str">
        <f>VLOOKUP(E321, 'S11 Work Stations'!$A$2:$B$45, 2, 0)</f>
        <v>MIL-U2-607</v>
      </c>
      <c r="G321" s="45">
        <v>180</v>
      </c>
      <c r="H321" s="3">
        <v>200</v>
      </c>
    </row>
    <row r="322" spans="1:8" s="44" customFormat="1" x14ac:dyDescent="0.2">
      <c r="A322" s="214" t="str">
        <f>C322&amp;"-"&amp;E322</f>
        <v>I-049-WS-30</v>
      </c>
      <c r="B322" s="214" t="str">
        <f>C322&amp;"-"&amp;D322</f>
        <v>I-049-40</v>
      </c>
      <c r="C322" s="45" t="s">
        <v>545</v>
      </c>
      <c r="D322" s="45">
        <v>40</v>
      </c>
      <c r="E322" s="45" t="s">
        <v>603</v>
      </c>
      <c r="F322" s="42" t="str">
        <f>VLOOKUP(E322, 'S11 Work Stations'!$A$2:$B$45, 2, 0)</f>
        <v>DR-3A-206</v>
      </c>
      <c r="G322" s="45">
        <v>300</v>
      </c>
      <c r="H322" s="3">
        <v>200</v>
      </c>
    </row>
    <row r="323" spans="1:8" s="44" customFormat="1" x14ac:dyDescent="0.2">
      <c r="A323" s="214" t="str">
        <f>C323&amp;"-"&amp;E323</f>
        <v>I-049-WS-35</v>
      </c>
      <c r="B323" s="214" t="str">
        <f>C323&amp;"-"&amp;D323</f>
        <v>I-049-50</v>
      </c>
      <c r="C323" s="45" t="s">
        <v>545</v>
      </c>
      <c r="D323" s="45">
        <v>50</v>
      </c>
      <c r="E323" s="45" t="s">
        <v>608</v>
      </c>
      <c r="F323" s="42" t="str">
        <f>VLOOKUP(E323, 'S11 Work Stations'!$A$2:$B$45, 2, 0)</f>
        <v>SAW-35-100-254</v>
      </c>
      <c r="G323" s="45">
        <v>480</v>
      </c>
      <c r="H323" s="3">
        <v>200</v>
      </c>
    </row>
    <row r="324" spans="1:8" s="44" customFormat="1" x14ac:dyDescent="0.2">
      <c r="A324" s="214" t="str">
        <f>C324&amp;"-"&amp;E324</f>
        <v>I-049-WS-39</v>
      </c>
      <c r="B324" s="214" t="str">
        <f>C324&amp;"-"&amp;D324</f>
        <v>I-049-20</v>
      </c>
      <c r="C324" s="45" t="s">
        <v>545</v>
      </c>
      <c r="D324" s="45">
        <v>20</v>
      </c>
      <c r="E324" s="45" t="s">
        <v>612</v>
      </c>
      <c r="F324" s="42" t="str">
        <f>VLOOKUP(E324, 'S11 Work Stations'!$A$2:$B$45, 2, 0)</f>
        <v>SAW-400-424</v>
      </c>
      <c r="G324" s="45">
        <v>120</v>
      </c>
      <c r="H324" s="3">
        <v>200</v>
      </c>
    </row>
    <row r="325" spans="1:8" s="44" customFormat="1" x14ac:dyDescent="0.2">
      <c r="A325" s="214" t="str">
        <f>C325&amp;"-"&amp;E325</f>
        <v>I-049-WS-43</v>
      </c>
      <c r="B325" s="214" t="str">
        <f>C325&amp;"-"&amp;D325</f>
        <v>I-049-10</v>
      </c>
      <c r="C325" s="45" t="s">
        <v>545</v>
      </c>
      <c r="D325" s="45">
        <v>10</v>
      </c>
      <c r="E325" s="45" t="s">
        <v>616</v>
      </c>
      <c r="F325" s="42" t="str">
        <f>VLOOKUP(E325, 'S11 Work Stations'!$A$2:$B$45, 2, 0)</f>
        <v>RAW-MAT-INV</v>
      </c>
      <c r="G325" s="45">
        <v>0</v>
      </c>
      <c r="H325" s="3">
        <v>200</v>
      </c>
    </row>
    <row r="326" spans="1:8" s="44" customFormat="1" x14ac:dyDescent="0.2">
      <c r="A326" s="214" t="str">
        <f>C326&amp;"-"&amp;E326</f>
        <v>I-049-WS-44</v>
      </c>
      <c r="B326" s="214" t="str">
        <f>C326&amp;"-"&amp;D326</f>
        <v>I-049-70</v>
      </c>
      <c r="C326" s="45" t="s">
        <v>545</v>
      </c>
      <c r="D326" s="45">
        <v>70</v>
      </c>
      <c r="E326" s="45" t="s">
        <v>617</v>
      </c>
      <c r="F326" s="42" t="str">
        <f>VLOOKUP(E326, 'S11 Work Stations'!$A$2:$B$45, 2, 0)</f>
        <v>FIN-GOOD-INV</v>
      </c>
      <c r="G326" s="45">
        <v>0</v>
      </c>
      <c r="H326" s="3">
        <v>200</v>
      </c>
    </row>
    <row r="327" spans="1:8" s="44" customFormat="1" x14ac:dyDescent="0.2">
      <c r="A327" s="214" t="str">
        <f>C327&amp;"-"&amp;E327</f>
        <v>I-050-WS-07</v>
      </c>
      <c r="B327" s="214" t="str">
        <f>C327&amp;"-"&amp;D327</f>
        <v>I-050-30</v>
      </c>
      <c r="C327" s="45" t="s">
        <v>546</v>
      </c>
      <c r="D327" s="45">
        <v>30</v>
      </c>
      <c r="E327" s="45" t="s">
        <v>580</v>
      </c>
      <c r="F327" s="42" t="str">
        <f>VLOOKUP(E327, 'S11 Work Stations'!$A$2:$B$45, 2, 0)</f>
        <v>TUR-C2-367</v>
      </c>
      <c r="G327" s="45">
        <v>300</v>
      </c>
      <c r="H327" s="3">
        <v>200</v>
      </c>
    </row>
    <row r="328" spans="1:8" s="44" customFormat="1" x14ac:dyDescent="0.2">
      <c r="A328" s="214" t="str">
        <f>C328&amp;"-"&amp;E328</f>
        <v>I-050-WS-25</v>
      </c>
      <c r="B328" s="214" t="str">
        <f>C328&amp;"-"&amp;D328</f>
        <v>I-050-60</v>
      </c>
      <c r="C328" s="45" t="s">
        <v>546</v>
      </c>
      <c r="D328" s="45">
        <v>60</v>
      </c>
      <c r="E328" s="45" t="s">
        <v>598</v>
      </c>
      <c r="F328" s="42" t="str">
        <f>VLOOKUP(E328, 'S11 Work Stations'!$A$2:$B$45, 2, 0)</f>
        <v>DR-2A-201</v>
      </c>
      <c r="G328" s="45">
        <v>420</v>
      </c>
      <c r="H328" s="3">
        <v>200</v>
      </c>
    </row>
    <row r="329" spans="1:8" s="44" customFormat="1" x14ac:dyDescent="0.2">
      <c r="A329" s="214" t="str">
        <f>C329&amp;"-"&amp;E329</f>
        <v>I-050-WS-30</v>
      </c>
      <c r="B329" s="214" t="str">
        <f>C329&amp;"-"&amp;D329</f>
        <v>I-050-40</v>
      </c>
      <c r="C329" s="45" t="s">
        <v>546</v>
      </c>
      <c r="D329" s="45">
        <v>40</v>
      </c>
      <c r="E329" s="45" t="s">
        <v>603</v>
      </c>
      <c r="F329" s="42" t="str">
        <f>VLOOKUP(E329, 'S11 Work Stations'!$A$2:$B$45, 2, 0)</f>
        <v>DR-3A-206</v>
      </c>
      <c r="G329" s="45">
        <v>300</v>
      </c>
      <c r="H329" s="3">
        <v>200</v>
      </c>
    </row>
    <row r="330" spans="1:8" s="44" customFormat="1" x14ac:dyDescent="0.2">
      <c r="A330" s="214" t="str">
        <f>C330&amp;"-"&amp;E330</f>
        <v>I-050-WS-35</v>
      </c>
      <c r="B330" s="214" t="str">
        <f>C330&amp;"-"&amp;D330</f>
        <v>I-050-50</v>
      </c>
      <c r="C330" s="45" t="s">
        <v>546</v>
      </c>
      <c r="D330" s="45">
        <v>50</v>
      </c>
      <c r="E330" s="45" t="s">
        <v>608</v>
      </c>
      <c r="F330" s="42" t="str">
        <f>VLOOKUP(E330, 'S11 Work Stations'!$A$2:$B$45, 2, 0)</f>
        <v>SAW-35-100-254</v>
      </c>
      <c r="G330" s="45">
        <v>180</v>
      </c>
      <c r="H330" s="3">
        <v>200</v>
      </c>
    </row>
    <row r="331" spans="1:8" s="44" customFormat="1" x14ac:dyDescent="0.2">
      <c r="A331" s="214" t="str">
        <f>C331&amp;"-"&amp;E331</f>
        <v>I-050-WS-39</v>
      </c>
      <c r="B331" s="214" t="str">
        <f>C331&amp;"-"&amp;D331</f>
        <v>I-050-20</v>
      </c>
      <c r="C331" s="45" t="s">
        <v>546</v>
      </c>
      <c r="D331" s="45">
        <v>20</v>
      </c>
      <c r="E331" s="45" t="s">
        <v>612</v>
      </c>
      <c r="F331" s="42" t="str">
        <f>VLOOKUP(E331, 'S11 Work Stations'!$A$2:$B$45, 2, 0)</f>
        <v>SAW-400-424</v>
      </c>
      <c r="G331" s="45">
        <v>120</v>
      </c>
      <c r="H331" s="3">
        <v>200</v>
      </c>
    </row>
    <row r="332" spans="1:8" s="44" customFormat="1" x14ac:dyDescent="0.2">
      <c r="A332" s="214" t="str">
        <f>C332&amp;"-"&amp;E332</f>
        <v>I-050-WS-43</v>
      </c>
      <c r="B332" s="214" t="str">
        <f>C332&amp;"-"&amp;D332</f>
        <v>I-050-10</v>
      </c>
      <c r="C332" s="45" t="s">
        <v>546</v>
      </c>
      <c r="D332" s="45">
        <v>10</v>
      </c>
      <c r="E332" s="45" t="s">
        <v>616</v>
      </c>
      <c r="F332" s="42" t="str">
        <f>VLOOKUP(E332, 'S11 Work Stations'!$A$2:$B$45, 2, 0)</f>
        <v>RAW-MAT-INV</v>
      </c>
      <c r="G332" s="45">
        <v>0</v>
      </c>
      <c r="H332" s="3">
        <v>200</v>
      </c>
    </row>
    <row r="333" spans="1:8" s="44" customFormat="1" x14ac:dyDescent="0.2">
      <c r="A333" s="214" t="str">
        <f>C333&amp;"-"&amp;E333</f>
        <v>I-050-WS-44</v>
      </c>
      <c r="B333" s="214" t="str">
        <f>C333&amp;"-"&amp;D333</f>
        <v>I-050-70</v>
      </c>
      <c r="C333" s="45" t="s">
        <v>546</v>
      </c>
      <c r="D333" s="45">
        <v>70</v>
      </c>
      <c r="E333" s="45" t="s">
        <v>617</v>
      </c>
      <c r="F333" s="42" t="str">
        <f>VLOOKUP(E333, 'S11 Work Stations'!$A$2:$B$45, 2, 0)</f>
        <v>FIN-GOOD-INV</v>
      </c>
      <c r="G333" s="45">
        <v>0</v>
      </c>
      <c r="H333" s="3">
        <v>200</v>
      </c>
    </row>
    <row r="334" spans="1:8" s="44" customFormat="1" x14ac:dyDescent="0.2">
      <c r="A334" s="214" t="str">
        <f>C334&amp;"-"&amp;E334</f>
        <v>I-051-WS-07</v>
      </c>
      <c r="B334" s="214" t="str">
        <f>C334&amp;"-"&amp;D334</f>
        <v>I-051-30</v>
      </c>
      <c r="C334" s="45" t="s">
        <v>547</v>
      </c>
      <c r="D334" s="45">
        <v>30</v>
      </c>
      <c r="E334" s="45" t="s">
        <v>580</v>
      </c>
      <c r="F334" s="42" t="str">
        <f>VLOOKUP(E334, 'S11 Work Stations'!$A$2:$B$45, 2, 0)</f>
        <v>TUR-C2-367</v>
      </c>
      <c r="G334" s="45">
        <v>420</v>
      </c>
      <c r="H334" s="3">
        <v>200</v>
      </c>
    </row>
    <row r="335" spans="1:8" s="44" customFormat="1" x14ac:dyDescent="0.2">
      <c r="A335" s="214" t="str">
        <f>C335&amp;"-"&amp;E335</f>
        <v>I-051-WS-40</v>
      </c>
      <c r="B335" s="214" t="str">
        <f>C335&amp;"-"&amp;D335</f>
        <v>I-051-20</v>
      </c>
      <c r="C335" s="45" t="s">
        <v>547</v>
      </c>
      <c r="D335" s="45">
        <v>20</v>
      </c>
      <c r="E335" s="45" t="s">
        <v>613</v>
      </c>
      <c r="F335" s="42" t="str">
        <f>VLOOKUP(E335, 'S11 Work Stations'!$A$2:$B$45, 2, 0)</f>
        <v>SAW-CNC-40-425</v>
      </c>
      <c r="G335" s="45">
        <v>120</v>
      </c>
      <c r="H335" s="3">
        <v>200</v>
      </c>
    </row>
    <row r="336" spans="1:8" s="44" customFormat="1" x14ac:dyDescent="0.2">
      <c r="A336" s="214" t="str">
        <f>C336&amp;"-"&amp;E336</f>
        <v>I-051-WS-43</v>
      </c>
      <c r="B336" s="214" t="str">
        <f>C336&amp;"-"&amp;D336</f>
        <v>I-051-10</v>
      </c>
      <c r="C336" s="45" t="s">
        <v>547</v>
      </c>
      <c r="D336" s="45">
        <v>10</v>
      </c>
      <c r="E336" s="45" t="s">
        <v>616</v>
      </c>
      <c r="F336" s="42" t="str">
        <f>VLOOKUP(E336, 'S11 Work Stations'!$A$2:$B$45, 2, 0)</f>
        <v>RAW-MAT-INV</v>
      </c>
      <c r="G336" s="45">
        <v>0</v>
      </c>
      <c r="H336" s="3">
        <v>200</v>
      </c>
    </row>
    <row r="337" spans="1:8" s="44" customFormat="1" x14ac:dyDescent="0.2">
      <c r="A337" s="214" t="str">
        <f>C337&amp;"-"&amp;E337</f>
        <v>I-051-WS-44</v>
      </c>
      <c r="B337" s="214" t="str">
        <f>C337&amp;"-"&amp;D337</f>
        <v>I-051-40</v>
      </c>
      <c r="C337" s="45" t="s">
        <v>547</v>
      </c>
      <c r="D337" s="45">
        <v>40</v>
      </c>
      <c r="E337" s="45" t="s">
        <v>617</v>
      </c>
      <c r="F337" s="42" t="str">
        <f>VLOOKUP(E337, 'S11 Work Stations'!$A$2:$B$45, 2, 0)</f>
        <v>FIN-GOOD-INV</v>
      </c>
      <c r="G337" s="45">
        <v>0</v>
      </c>
      <c r="H337" s="3">
        <v>200</v>
      </c>
    </row>
    <row r="338" spans="1:8" s="44" customFormat="1" x14ac:dyDescent="0.2">
      <c r="A338" s="214" t="str">
        <f>C338&amp;"-"&amp;E338</f>
        <v>I-052-WS-07</v>
      </c>
      <c r="B338" s="214" t="str">
        <f>C338&amp;"-"&amp;D338</f>
        <v>I-052-30</v>
      </c>
      <c r="C338" s="45" t="s">
        <v>184</v>
      </c>
      <c r="D338" s="45">
        <v>30</v>
      </c>
      <c r="E338" s="45" t="s">
        <v>580</v>
      </c>
      <c r="F338" s="42" t="str">
        <f>VLOOKUP(E338, 'S11 Work Stations'!$A$2:$B$45, 2, 0)</f>
        <v>TUR-C2-367</v>
      </c>
      <c r="G338" s="45">
        <v>420</v>
      </c>
      <c r="H338" s="3">
        <v>200</v>
      </c>
    </row>
    <row r="339" spans="1:8" s="44" customFormat="1" x14ac:dyDescent="0.2">
      <c r="A339" s="214" t="str">
        <f>C339&amp;"-"&amp;E339</f>
        <v>I-052-WS-08</v>
      </c>
      <c r="B339" s="214" t="str">
        <f>C339&amp;"-"&amp;D339</f>
        <v>I-052-40</v>
      </c>
      <c r="C339" s="45" t="s">
        <v>184</v>
      </c>
      <c r="D339" s="45">
        <v>40</v>
      </c>
      <c r="E339" s="45" t="s">
        <v>581</v>
      </c>
      <c r="F339" s="42" t="str">
        <f>VLOOKUP(E339, 'S11 Work Stations'!$A$2:$B$45, 2, 0)</f>
        <v>MIL-10-150-401</v>
      </c>
      <c r="G339" s="45">
        <v>480</v>
      </c>
      <c r="H339" s="3">
        <v>200</v>
      </c>
    </row>
    <row r="340" spans="1:8" s="44" customFormat="1" x14ac:dyDescent="0.2">
      <c r="A340" s="214" t="str">
        <f>C340&amp;"-"&amp;E340</f>
        <v>I-052-WS-20</v>
      </c>
      <c r="B340" s="214" t="str">
        <f>C340&amp;"-"&amp;D340</f>
        <v>I-052-50</v>
      </c>
      <c r="C340" s="45" t="s">
        <v>184</v>
      </c>
      <c r="D340" s="45">
        <v>50</v>
      </c>
      <c r="E340" s="45" t="s">
        <v>593</v>
      </c>
      <c r="F340" s="42" t="str">
        <f>VLOOKUP(E340, 'S11 Work Stations'!$A$2:$B$45, 2, 0)</f>
        <v>MIL-H21-604</v>
      </c>
      <c r="G340" s="45">
        <v>180</v>
      </c>
      <c r="H340" s="3">
        <v>200</v>
      </c>
    </row>
    <row r="341" spans="1:8" s="44" customFormat="1" x14ac:dyDescent="0.2">
      <c r="A341" s="214" t="str">
        <f>C341&amp;"-"&amp;E341</f>
        <v>I-052-WS-26</v>
      </c>
      <c r="B341" s="214" t="str">
        <f>C341&amp;"-"&amp;D341</f>
        <v>I-052-60</v>
      </c>
      <c r="C341" s="45" t="s">
        <v>184</v>
      </c>
      <c r="D341" s="45">
        <v>60</v>
      </c>
      <c r="E341" s="45" t="s">
        <v>599</v>
      </c>
      <c r="F341" s="42" t="str">
        <f>VLOOKUP(E341, 'S11 Work Stations'!$A$2:$B$45, 2, 0)</f>
        <v>DR-2A2-202</v>
      </c>
      <c r="G341" s="45">
        <v>180</v>
      </c>
      <c r="H341" s="3">
        <v>200</v>
      </c>
    </row>
    <row r="342" spans="1:8" s="44" customFormat="1" x14ac:dyDescent="0.2">
      <c r="A342" s="214" t="str">
        <f>C342&amp;"-"&amp;E342</f>
        <v>I-052-WS-32</v>
      </c>
      <c r="B342" s="214" t="str">
        <f>C342&amp;"-"&amp;D342</f>
        <v>I-052-70</v>
      </c>
      <c r="C342" s="45" t="s">
        <v>184</v>
      </c>
      <c r="D342" s="45">
        <v>70</v>
      </c>
      <c r="E342" s="45" t="s">
        <v>605</v>
      </c>
      <c r="F342" s="42" t="str">
        <f>VLOOKUP(E342, 'S11 Work Stations'!$A$2:$B$45, 2, 0)</f>
        <v>SAW-30-150-251</v>
      </c>
      <c r="G342" s="45">
        <v>180</v>
      </c>
      <c r="H342" s="3">
        <v>200</v>
      </c>
    </row>
    <row r="343" spans="1:8" s="44" customFormat="1" x14ac:dyDescent="0.2">
      <c r="A343" s="214" t="str">
        <f>C343&amp;"-"&amp;E343</f>
        <v>I-052-WS-40</v>
      </c>
      <c r="B343" s="214" t="str">
        <f>C343&amp;"-"&amp;D343</f>
        <v>I-052-20</v>
      </c>
      <c r="C343" s="45" t="s">
        <v>184</v>
      </c>
      <c r="D343" s="45">
        <v>20</v>
      </c>
      <c r="E343" s="45" t="s">
        <v>613</v>
      </c>
      <c r="F343" s="42" t="str">
        <f>VLOOKUP(E343, 'S11 Work Stations'!$A$2:$B$45, 2, 0)</f>
        <v>SAW-CNC-40-425</v>
      </c>
      <c r="G343" s="45">
        <v>120</v>
      </c>
      <c r="H343" s="3">
        <v>200</v>
      </c>
    </row>
    <row r="344" spans="1:8" s="44" customFormat="1" x14ac:dyDescent="0.2">
      <c r="A344" s="214" t="str">
        <f>C344&amp;"-"&amp;E344</f>
        <v>I-052-WS-43</v>
      </c>
      <c r="B344" s="214" t="str">
        <f>C344&amp;"-"&amp;D344</f>
        <v>I-052-10</v>
      </c>
      <c r="C344" s="45" t="s">
        <v>184</v>
      </c>
      <c r="D344" s="45">
        <v>10</v>
      </c>
      <c r="E344" s="45" t="s">
        <v>616</v>
      </c>
      <c r="F344" s="42" t="str">
        <f>VLOOKUP(E344, 'S11 Work Stations'!$A$2:$B$45, 2, 0)</f>
        <v>RAW-MAT-INV</v>
      </c>
      <c r="G344" s="45">
        <v>0</v>
      </c>
      <c r="H344" s="3">
        <v>200</v>
      </c>
    </row>
    <row r="345" spans="1:8" s="44" customFormat="1" x14ac:dyDescent="0.2">
      <c r="A345" s="214" t="str">
        <f>C345&amp;"-"&amp;E345</f>
        <v>I-052-WS-44</v>
      </c>
      <c r="B345" s="214" t="str">
        <f>C345&amp;"-"&amp;D345</f>
        <v>I-052-80</v>
      </c>
      <c r="C345" s="45" t="s">
        <v>184</v>
      </c>
      <c r="D345" s="45">
        <v>80</v>
      </c>
      <c r="E345" s="45" t="s">
        <v>617</v>
      </c>
      <c r="F345" s="42" t="str">
        <f>VLOOKUP(E345, 'S11 Work Stations'!$A$2:$B$45, 2, 0)</f>
        <v>FIN-GOOD-INV</v>
      </c>
      <c r="G345" s="45">
        <v>0</v>
      </c>
      <c r="H345" s="3">
        <v>200</v>
      </c>
    </row>
    <row r="346" spans="1:8" s="44" customFormat="1" x14ac:dyDescent="0.2">
      <c r="A346" s="214" t="str">
        <f>C346&amp;"-"&amp;E346</f>
        <v>I-053-WS-03</v>
      </c>
      <c r="B346" s="214" t="str">
        <f>C346&amp;"-"&amp;D346</f>
        <v>I-053-40</v>
      </c>
      <c r="C346" s="45" t="s">
        <v>188</v>
      </c>
      <c r="D346" s="45">
        <v>40</v>
      </c>
      <c r="E346" s="45" t="s">
        <v>576</v>
      </c>
      <c r="F346" s="42" t="str">
        <f>VLOOKUP(E346, 'S11 Work Stations'!$A$2:$B$45, 2, 0)</f>
        <v>MIL-A31-363</v>
      </c>
      <c r="G346" s="45">
        <v>420</v>
      </c>
      <c r="H346" s="3">
        <v>200</v>
      </c>
    </row>
    <row r="347" spans="1:8" s="44" customFormat="1" x14ac:dyDescent="0.2">
      <c r="A347" s="214" t="str">
        <f>C347&amp;"-"&amp;E347</f>
        <v>I-053-WS-04</v>
      </c>
      <c r="B347" s="214" t="str">
        <f>C347&amp;"-"&amp;D347</f>
        <v>I-053-30</v>
      </c>
      <c r="C347" s="45" t="s">
        <v>188</v>
      </c>
      <c r="D347" s="45">
        <v>30</v>
      </c>
      <c r="E347" s="45" t="s">
        <v>577</v>
      </c>
      <c r="F347" s="42" t="str">
        <f>VLOOKUP(E347, 'S11 Work Stations'!$A$2:$B$45, 2, 0)</f>
        <v>TUR-A4-364</v>
      </c>
      <c r="G347" s="45">
        <v>180</v>
      </c>
      <c r="H347" s="3">
        <v>200</v>
      </c>
    </row>
    <row r="348" spans="1:8" s="44" customFormat="1" x14ac:dyDescent="0.2">
      <c r="A348" s="214" t="str">
        <f>C348&amp;"-"&amp;E348</f>
        <v>I-053-WS-23</v>
      </c>
      <c r="B348" s="214" t="str">
        <f>C348&amp;"-"&amp;D348</f>
        <v>I-053-50</v>
      </c>
      <c r="C348" s="45" t="s">
        <v>188</v>
      </c>
      <c r="D348" s="45">
        <v>50</v>
      </c>
      <c r="E348" s="45" t="s">
        <v>596</v>
      </c>
      <c r="F348" s="42" t="str">
        <f>VLOOKUP(E348, 'S11 Work Stations'!$A$2:$B$45, 2, 0)</f>
        <v>MIL-U2-607</v>
      </c>
      <c r="G348" s="45">
        <v>420</v>
      </c>
      <c r="H348" s="3">
        <v>200</v>
      </c>
    </row>
    <row r="349" spans="1:8" s="44" customFormat="1" x14ac:dyDescent="0.2">
      <c r="A349" s="214" t="str">
        <f>C349&amp;"-"&amp;E349</f>
        <v>I-053-WS-31</v>
      </c>
      <c r="B349" s="214" t="str">
        <f>C349&amp;"-"&amp;D349</f>
        <v>I-053-60</v>
      </c>
      <c r="C349" s="45" t="s">
        <v>188</v>
      </c>
      <c r="D349" s="45">
        <v>60</v>
      </c>
      <c r="E349" s="45" t="s">
        <v>604</v>
      </c>
      <c r="F349" s="42" t="str">
        <f>VLOOKUP(E349, 'S11 Work Stations'!$A$2:$B$45, 2, 0)</f>
        <v>DR-3AW-207</v>
      </c>
      <c r="G349" s="45">
        <v>180</v>
      </c>
      <c r="H349" s="3">
        <v>200</v>
      </c>
    </row>
    <row r="350" spans="1:8" s="44" customFormat="1" x14ac:dyDescent="0.2">
      <c r="A350" s="214" t="str">
        <f>C350&amp;"-"&amp;E350</f>
        <v>I-053-WS-32</v>
      </c>
      <c r="B350" s="214" t="str">
        <f>C350&amp;"-"&amp;D350</f>
        <v>I-053-70</v>
      </c>
      <c r="C350" s="45" t="s">
        <v>188</v>
      </c>
      <c r="D350" s="45">
        <v>70</v>
      </c>
      <c r="E350" s="45" t="s">
        <v>605</v>
      </c>
      <c r="F350" s="42" t="str">
        <f>VLOOKUP(E350, 'S11 Work Stations'!$A$2:$B$45, 2, 0)</f>
        <v>SAW-30-150-251</v>
      </c>
      <c r="G350" s="45">
        <v>180</v>
      </c>
      <c r="H350" s="3">
        <v>200</v>
      </c>
    </row>
    <row r="351" spans="1:8" s="44" customFormat="1" x14ac:dyDescent="0.2">
      <c r="A351" s="214" t="str">
        <f>C351&amp;"-"&amp;E351</f>
        <v>I-053-WS-40</v>
      </c>
      <c r="B351" s="214" t="str">
        <f>C351&amp;"-"&amp;D351</f>
        <v>I-053-20</v>
      </c>
      <c r="C351" s="45" t="s">
        <v>188</v>
      </c>
      <c r="D351" s="45">
        <v>20</v>
      </c>
      <c r="E351" s="45" t="s">
        <v>613</v>
      </c>
      <c r="F351" s="42" t="str">
        <f>VLOOKUP(E351, 'S11 Work Stations'!$A$2:$B$45, 2, 0)</f>
        <v>SAW-CNC-40-425</v>
      </c>
      <c r="G351" s="45">
        <v>180</v>
      </c>
      <c r="H351" s="3">
        <v>200</v>
      </c>
    </row>
    <row r="352" spans="1:8" s="44" customFormat="1" x14ac:dyDescent="0.2">
      <c r="A352" s="214" t="str">
        <f>C352&amp;"-"&amp;E352</f>
        <v>I-053-WS-43</v>
      </c>
      <c r="B352" s="214" t="str">
        <f>C352&amp;"-"&amp;D352</f>
        <v>I-053-10</v>
      </c>
      <c r="C352" s="45" t="s">
        <v>188</v>
      </c>
      <c r="D352" s="45">
        <v>10</v>
      </c>
      <c r="E352" s="45" t="s">
        <v>616</v>
      </c>
      <c r="F352" s="42" t="str">
        <f>VLOOKUP(E352, 'S11 Work Stations'!$A$2:$B$45, 2, 0)</f>
        <v>RAW-MAT-INV</v>
      </c>
      <c r="G352" s="45">
        <v>0</v>
      </c>
      <c r="H352" s="3">
        <v>200</v>
      </c>
    </row>
    <row r="353" spans="1:8" s="44" customFormat="1" x14ac:dyDescent="0.2">
      <c r="A353" s="214" t="str">
        <f>C353&amp;"-"&amp;E353</f>
        <v>I-053-WS-44</v>
      </c>
      <c r="B353" s="214" t="str">
        <f>C353&amp;"-"&amp;D353</f>
        <v>I-053-80</v>
      </c>
      <c r="C353" s="45" t="s">
        <v>188</v>
      </c>
      <c r="D353" s="45">
        <v>80</v>
      </c>
      <c r="E353" s="45" t="s">
        <v>617</v>
      </c>
      <c r="F353" s="42" t="str">
        <f>VLOOKUP(E353, 'S11 Work Stations'!$A$2:$B$45, 2, 0)</f>
        <v>FIN-GOOD-INV</v>
      </c>
      <c r="G353" s="45">
        <v>0</v>
      </c>
      <c r="H353" s="3">
        <v>200</v>
      </c>
    </row>
    <row r="354" spans="1:8" s="44" customFormat="1" x14ac:dyDescent="0.2">
      <c r="A354" s="214" t="str">
        <f>C354&amp;"-"&amp;E354</f>
        <v>I-054-WS-03</v>
      </c>
      <c r="B354" s="214" t="str">
        <f>C354&amp;"-"&amp;D354</f>
        <v>I-054-40</v>
      </c>
      <c r="C354" s="45" t="s">
        <v>209</v>
      </c>
      <c r="D354" s="45">
        <v>40</v>
      </c>
      <c r="E354" s="45" t="s">
        <v>576</v>
      </c>
      <c r="F354" s="42" t="str">
        <f>VLOOKUP(E354, 'S11 Work Stations'!$A$2:$B$45, 2, 0)</f>
        <v>MIL-A31-363</v>
      </c>
      <c r="G354" s="45">
        <v>120</v>
      </c>
      <c r="H354" s="3">
        <v>200</v>
      </c>
    </row>
    <row r="355" spans="1:8" s="44" customFormat="1" x14ac:dyDescent="0.2">
      <c r="A355" s="214" t="str">
        <f>C355&amp;"-"&amp;E355</f>
        <v>I-054-WS-04</v>
      </c>
      <c r="B355" s="214" t="str">
        <f>C355&amp;"-"&amp;D355</f>
        <v>I-054-30</v>
      </c>
      <c r="C355" s="45" t="s">
        <v>209</v>
      </c>
      <c r="D355" s="45">
        <v>30</v>
      </c>
      <c r="E355" s="45" t="s">
        <v>577</v>
      </c>
      <c r="F355" s="42" t="str">
        <f>VLOOKUP(E355, 'S11 Work Stations'!$A$2:$B$45, 2, 0)</f>
        <v>TUR-A4-364</v>
      </c>
      <c r="G355" s="45">
        <v>420</v>
      </c>
      <c r="H355" s="3">
        <v>200</v>
      </c>
    </row>
    <row r="356" spans="1:8" s="44" customFormat="1" x14ac:dyDescent="0.2">
      <c r="A356" s="214" t="str">
        <f>C356&amp;"-"&amp;E356</f>
        <v>I-054-WS-23</v>
      </c>
      <c r="B356" s="214" t="str">
        <f>C356&amp;"-"&amp;D356</f>
        <v>I-054-50</v>
      </c>
      <c r="C356" s="45" t="s">
        <v>209</v>
      </c>
      <c r="D356" s="45">
        <v>50</v>
      </c>
      <c r="E356" s="45" t="s">
        <v>596</v>
      </c>
      <c r="F356" s="42" t="str">
        <f>VLOOKUP(E356, 'S11 Work Stations'!$A$2:$B$45, 2, 0)</f>
        <v>MIL-U2-607</v>
      </c>
      <c r="G356" s="45">
        <v>120</v>
      </c>
      <c r="H356" s="3">
        <v>200</v>
      </c>
    </row>
    <row r="357" spans="1:8" s="44" customFormat="1" x14ac:dyDescent="0.2">
      <c r="A357" s="214" t="str">
        <f>C357&amp;"-"&amp;E357</f>
        <v>I-054-WS-31</v>
      </c>
      <c r="B357" s="214" t="str">
        <f>C357&amp;"-"&amp;D357</f>
        <v>I-054-60</v>
      </c>
      <c r="C357" s="45" t="s">
        <v>209</v>
      </c>
      <c r="D357" s="45">
        <v>60</v>
      </c>
      <c r="E357" s="45" t="s">
        <v>604</v>
      </c>
      <c r="F357" s="42" t="str">
        <f>VLOOKUP(E357, 'S11 Work Stations'!$A$2:$B$45, 2, 0)</f>
        <v>DR-3AW-207</v>
      </c>
      <c r="G357" s="45">
        <v>360</v>
      </c>
      <c r="H357" s="3">
        <v>200</v>
      </c>
    </row>
    <row r="358" spans="1:8" s="44" customFormat="1" x14ac:dyDescent="0.2">
      <c r="A358" s="214" t="str">
        <f>C358&amp;"-"&amp;E358</f>
        <v>I-054-WS-32</v>
      </c>
      <c r="B358" s="214" t="str">
        <f>C358&amp;"-"&amp;D358</f>
        <v>I-054-70</v>
      </c>
      <c r="C358" s="45" t="s">
        <v>209</v>
      </c>
      <c r="D358" s="45">
        <v>70</v>
      </c>
      <c r="E358" s="45" t="s">
        <v>605</v>
      </c>
      <c r="F358" s="42" t="str">
        <f>VLOOKUP(E358, 'S11 Work Stations'!$A$2:$B$45, 2, 0)</f>
        <v>SAW-30-150-251</v>
      </c>
      <c r="G358" s="45">
        <v>120</v>
      </c>
      <c r="H358" s="3">
        <v>200</v>
      </c>
    </row>
    <row r="359" spans="1:8" s="44" customFormat="1" x14ac:dyDescent="0.2">
      <c r="A359" s="214" t="str">
        <f>C359&amp;"-"&amp;E359</f>
        <v>I-054-WS-40</v>
      </c>
      <c r="B359" s="214" t="str">
        <f>C359&amp;"-"&amp;D359</f>
        <v>I-054-20</v>
      </c>
      <c r="C359" s="45" t="s">
        <v>209</v>
      </c>
      <c r="D359" s="45">
        <v>20</v>
      </c>
      <c r="E359" s="45" t="s">
        <v>613</v>
      </c>
      <c r="F359" s="42" t="str">
        <f>VLOOKUP(E359, 'S11 Work Stations'!$A$2:$B$45, 2, 0)</f>
        <v>SAW-CNC-40-425</v>
      </c>
      <c r="G359" s="45">
        <v>120</v>
      </c>
      <c r="H359" s="3">
        <v>200</v>
      </c>
    </row>
    <row r="360" spans="1:8" s="44" customFormat="1" x14ac:dyDescent="0.2">
      <c r="A360" s="214" t="str">
        <f>C360&amp;"-"&amp;E360</f>
        <v>I-054-WS-42</v>
      </c>
      <c r="B360" s="214" t="str">
        <f>C360&amp;"-"&amp;D360</f>
        <v>I-054-80</v>
      </c>
      <c r="C360" s="45" t="s">
        <v>209</v>
      </c>
      <c r="D360" s="45">
        <v>80</v>
      </c>
      <c r="E360" s="45" t="s">
        <v>615</v>
      </c>
      <c r="F360" s="42" t="str">
        <f>VLOOKUP(E360, 'S11 Work Stations'!$A$2:$B$45, 2, 0)</f>
        <v>TEMP-A01-202</v>
      </c>
      <c r="G360" s="45">
        <v>360</v>
      </c>
      <c r="H360" s="3">
        <v>200</v>
      </c>
    </row>
    <row r="361" spans="1:8" s="44" customFormat="1" x14ac:dyDescent="0.2">
      <c r="A361" s="214" t="str">
        <f>C361&amp;"-"&amp;E361</f>
        <v>I-054-WS-43</v>
      </c>
      <c r="B361" s="214" t="str">
        <f>C361&amp;"-"&amp;D361</f>
        <v>I-054-10</v>
      </c>
      <c r="C361" s="45" t="s">
        <v>209</v>
      </c>
      <c r="D361" s="45">
        <v>10</v>
      </c>
      <c r="E361" s="45" t="s">
        <v>616</v>
      </c>
      <c r="F361" s="42" t="str">
        <f>VLOOKUP(E361, 'S11 Work Stations'!$A$2:$B$45, 2, 0)</f>
        <v>RAW-MAT-INV</v>
      </c>
      <c r="G361" s="45">
        <v>0</v>
      </c>
      <c r="H361" s="3">
        <v>200</v>
      </c>
    </row>
    <row r="362" spans="1:8" s="44" customFormat="1" x14ac:dyDescent="0.2">
      <c r="A362" s="214" t="str">
        <f>C362&amp;"-"&amp;E362</f>
        <v>I-054-WS-44</v>
      </c>
      <c r="B362" s="214" t="str">
        <f>C362&amp;"-"&amp;D362</f>
        <v>I-054-90</v>
      </c>
      <c r="C362" s="45" t="s">
        <v>209</v>
      </c>
      <c r="D362" s="45">
        <v>90</v>
      </c>
      <c r="E362" s="45" t="s">
        <v>617</v>
      </c>
      <c r="F362" s="42" t="str">
        <f>VLOOKUP(E362, 'S11 Work Stations'!$A$2:$B$45, 2, 0)</f>
        <v>FIN-GOOD-INV</v>
      </c>
      <c r="G362" s="45">
        <v>0</v>
      </c>
      <c r="H362" s="3">
        <v>200</v>
      </c>
    </row>
    <row r="363" spans="1:8" s="44" customFormat="1" x14ac:dyDescent="0.2">
      <c r="A363" s="214" t="str">
        <f>C363&amp;"-"&amp;E363</f>
        <v>I-055-WS-12</v>
      </c>
      <c r="B363" s="214" t="str">
        <f>C363&amp;"-"&amp;D363</f>
        <v>I-055-30</v>
      </c>
      <c r="C363" s="45" t="s">
        <v>548</v>
      </c>
      <c r="D363" s="45">
        <v>30</v>
      </c>
      <c r="E363" s="45" t="s">
        <v>585</v>
      </c>
      <c r="F363" s="42" t="str">
        <f>VLOOKUP(E363, 'S11 Work Stations'!$A$2:$B$45, 2, 0)</f>
        <v>TUR-15-250-405</v>
      </c>
      <c r="G363" s="45">
        <v>540</v>
      </c>
      <c r="H363" s="3">
        <v>200</v>
      </c>
    </row>
    <row r="364" spans="1:8" s="44" customFormat="1" x14ac:dyDescent="0.2">
      <c r="A364" s="214" t="str">
        <f>C364&amp;"-"&amp;E364</f>
        <v>I-055-WS-26</v>
      </c>
      <c r="B364" s="214" t="str">
        <f>C364&amp;"-"&amp;D364</f>
        <v>I-055-40</v>
      </c>
      <c r="C364" s="45" t="s">
        <v>548</v>
      </c>
      <c r="D364" s="45">
        <v>40</v>
      </c>
      <c r="E364" s="45" t="s">
        <v>599</v>
      </c>
      <c r="F364" s="42" t="str">
        <f>VLOOKUP(E364, 'S11 Work Stations'!$A$2:$B$45, 2, 0)</f>
        <v>DR-2A2-202</v>
      </c>
      <c r="G364" s="45">
        <v>360</v>
      </c>
      <c r="H364" s="3">
        <v>200</v>
      </c>
    </row>
    <row r="365" spans="1:8" s="44" customFormat="1" x14ac:dyDescent="0.2">
      <c r="A365" s="214" t="str">
        <f>C365&amp;"-"&amp;E365</f>
        <v>I-055-WS-40</v>
      </c>
      <c r="B365" s="214" t="str">
        <f>C365&amp;"-"&amp;D365</f>
        <v>I-055-20</v>
      </c>
      <c r="C365" s="45" t="s">
        <v>548</v>
      </c>
      <c r="D365" s="45">
        <v>20</v>
      </c>
      <c r="E365" s="45" t="s">
        <v>613</v>
      </c>
      <c r="F365" s="42" t="str">
        <f>VLOOKUP(E365, 'S11 Work Stations'!$A$2:$B$45, 2, 0)</f>
        <v>SAW-CNC-40-425</v>
      </c>
      <c r="G365" s="45">
        <v>120</v>
      </c>
      <c r="H365" s="3">
        <v>200</v>
      </c>
    </row>
    <row r="366" spans="1:8" s="44" customFormat="1" x14ac:dyDescent="0.2">
      <c r="A366" s="214" t="str">
        <f>C366&amp;"-"&amp;E366</f>
        <v>I-055-WS-43</v>
      </c>
      <c r="B366" s="214" t="str">
        <f>C366&amp;"-"&amp;D366</f>
        <v>I-055-10</v>
      </c>
      <c r="C366" s="45" t="s">
        <v>548</v>
      </c>
      <c r="D366" s="45">
        <v>10</v>
      </c>
      <c r="E366" s="45" t="s">
        <v>616</v>
      </c>
      <c r="F366" s="42" t="str">
        <f>VLOOKUP(E366, 'S11 Work Stations'!$A$2:$B$45, 2, 0)</f>
        <v>RAW-MAT-INV</v>
      </c>
      <c r="G366" s="45">
        <v>0</v>
      </c>
      <c r="H366" s="3">
        <v>200</v>
      </c>
    </row>
    <row r="367" spans="1:8" s="44" customFormat="1" x14ac:dyDescent="0.2">
      <c r="A367" s="214" t="str">
        <f>C367&amp;"-"&amp;E367</f>
        <v>I-055-WS-44</v>
      </c>
      <c r="B367" s="214" t="str">
        <f>C367&amp;"-"&amp;D367</f>
        <v>I-055-50</v>
      </c>
      <c r="C367" s="45" t="s">
        <v>548</v>
      </c>
      <c r="D367" s="45">
        <v>50</v>
      </c>
      <c r="E367" s="45" t="s">
        <v>617</v>
      </c>
      <c r="F367" s="42" t="str">
        <f>VLOOKUP(E367, 'S11 Work Stations'!$A$2:$B$45, 2, 0)</f>
        <v>FIN-GOOD-INV</v>
      </c>
      <c r="G367" s="45">
        <v>0</v>
      </c>
      <c r="H367" s="3">
        <v>200</v>
      </c>
    </row>
    <row r="368" spans="1:8" s="44" customFormat="1" x14ac:dyDescent="0.2">
      <c r="A368" s="214" t="str">
        <f>C368&amp;"-"&amp;E368</f>
        <v>I-056-WS-12</v>
      </c>
      <c r="B368" s="214" t="str">
        <f>C368&amp;"-"&amp;D368</f>
        <v>I-056-30</v>
      </c>
      <c r="C368" s="45" t="s">
        <v>549</v>
      </c>
      <c r="D368" s="45">
        <v>30</v>
      </c>
      <c r="E368" s="45" t="s">
        <v>585</v>
      </c>
      <c r="F368" s="42" t="str">
        <f>VLOOKUP(E368, 'S11 Work Stations'!$A$2:$B$45, 2, 0)</f>
        <v>TUR-15-250-405</v>
      </c>
      <c r="G368" s="45">
        <v>420</v>
      </c>
      <c r="H368" s="3">
        <v>200</v>
      </c>
    </row>
    <row r="369" spans="1:8" s="44" customFormat="1" x14ac:dyDescent="0.2">
      <c r="A369" s="214" t="str">
        <f>C369&amp;"-"&amp;E369</f>
        <v>I-056-WS-27</v>
      </c>
      <c r="B369" s="214" t="str">
        <f>C369&amp;"-"&amp;D369</f>
        <v>I-056-40</v>
      </c>
      <c r="C369" s="45" t="s">
        <v>549</v>
      </c>
      <c r="D369" s="45">
        <v>40</v>
      </c>
      <c r="E369" s="45" t="s">
        <v>600</v>
      </c>
      <c r="F369" s="42" t="str">
        <f>VLOOKUP(E369, 'S11 Work Stations'!$A$2:$B$45, 2, 0)</f>
        <v>GR-T1-203</v>
      </c>
      <c r="G369" s="45">
        <v>300</v>
      </c>
      <c r="H369" s="3">
        <v>200</v>
      </c>
    </row>
    <row r="370" spans="1:8" s="44" customFormat="1" x14ac:dyDescent="0.2">
      <c r="A370" s="214" t="str">
        <f>C370&amp;"-"&amp;E370</f>
        <v>I-056-WS-40</v>
      </c>
      <c r="B370" s="214" t="str">
        <f>C370&amp;"-"&amp;D370</f>
        <v>I-056-20</v>
      </c>
      <c r="C370" s="45" t="s">
        <v>549</v>
      </c>
      <c r="D370" s="45">
        <v>20</v>
      </c>
      <c r="E370" s="45" t="s">
        <v>613</v>
      </c>
      <c r="F370" s="42" t="str">
        <f>VLOOKUP(E370, 'S11 Work Stations'!$A$2:$B$45, 2, 0)</f>
        <v>SAW-CNC-40-425</v>
      </c>
      <c r="G370" s="45">
        <v>180</v>
      </c>
      <c r="H370" s="3">
        <v>200</v>
      </c>
    </row>
    <row r="371" spans="1:8" s="44" customFormat="1" x14ac:dyDescent="0.2">
      <c r="A371" s="214" t="str">
        <f>C371&amp;"-"&amp;E371</f>
        <v>I-056-WS-43</v>
      </c>
      <c r="B371" s="214" t="str">
        <f>C371&amp;"-"&amp;D371</f>
        <v>I-056-10</v>
      </c>
      <c r="C371" s="45" t="s">
        <v>549</v>
      </c>
      <c r="D371" s="45">
        <v>10</v>
      </c>
      <c r="E371" s="45" t="s">
        <v>616</v>
      </c>
      <c r="F371" s="42" t="str">
        <f>VLOOKUP(E371, 'S11 Work Stations'!$A$2:$B$45, 2, 0)</f>
        <v>RAW-MAT-INV</v>
      </c>
      <c r="G371" s="45">
        <v>0</v>
      </c>
      <c r="H371" s="3">
        <v>200</v>
      </c>
    </row>
    <row r="372" spans="1:8" s="44" customFormat="1" x14ac:dyDescent="0.2">
      <c r="A372" s="214" t="str">
        <f>C372&amp;"-"&amp;E372</f>
        <v>I-056-WS-44</v>
      </c>
      <c r="B372" s="214" t="str">
        <f>C372&amp;"-"&amp;D372</f>
        <v>I-056-50</v>
      </c>
      <c r="C372" s="45" t="s">
        <v>549</v>
      </c>
      <c r="D372" s="45">
        <v>50</v>
      </c>
      <c r="E372" s="45" t="s">
        <v>617</v>
      </c>
      <c r="F372" s="42" t="str">
        <f>VLOOKUP(E372, 'S11 Work Stations'!$A$2:$B$45, 2, 0)</f>
        <v>FIN-GOOD-INV</v>
      </c>
      <c r="G372" s="45">
        <v>0</v>
      </c>
      <c r="H372" s="3">
        <v>200</v>
      </c>
    </row>
    <row r="373" spans="1:8" s="44" customFormat="1" x14ac:dyDescent="0.2">
      <c r="A373" s="214" t="str">
        <f>C373&amp;"-"&amp;E373</f>
        <v>I-057-WS-12</v>
      </c>
      <c r="B373" s="214" t="str">
        <f>C373&amp;"-"&amp;D373</f>
        <v>I-057-30</v>
      </c>
      <c r="C373" s="45" t="s">
        <v>550</v>
      </c>
      <c r="D373" s="45">
        <v>30</v>
      </c>
      <c r="E373" s="45" t="s">
        <v>585</v>
      </c>
      <c r="F373" s="42" t="str">
        <f>VLOOKUP(E373, 'S11 Work Stations'!$A$2:$B$45, 2, 0)</f>
        <v>TUR-15-250-405</v>
      </c>
      <c r="G373" s="45">
        <v>420</v>
      </c>
      <c r="H373" s="3">
        <v>200</v>
      </c>
    </row>
    <row r="374" spans="1:8" s="44" customFormat="1" x14ac:dyDescent="0.2">
      <c r="A374" s="214" t="str">
        <f>C374&amp;"-"&amp;E374</f>
        <v>I-057-WS-27</v>
      </c>
      <c r="B374" s="214" t="str">
        <f>C374&amp;"-"&amp;D374</f>
        <v>I-057-40</v>
      </c>
      <c r="C374" s="45" t="s">
        <v>550</v>
      </c>
      <c r="D374" s="45">
        <v>40</v>
      </c>
      <c r="E374" s="45" t="s">
        <v>600</v>
      </c>
      <c r="F374" s="42" t="str">
        <f>VLOOKUP(E374, 'S11 Work Stations'!$A$2:$B$45, 2, 0)</f>
        <v>GR-T1-203</v>
      </c>
      <c r="G374" s="45">
        <v>300</v>
      </c>
      <c r="H374" s="3">
        <v>200</v>
      </c>
    </row>
    <row r="375" spans="1:8" s="44" customFormat="1" x14ac:dyDescent="0.2">
      <c r="A375" s="214" t="str">
        <f>C375&amp;"-"&amp;E375</f>
        <v>I-057-WS-40</v>
      </c>
      <c r="B375" s="214" t="str">
        <f>C375&amp;"-"&amp;D375</f>
        <v>I-057-20</v>
      </c>
      <c r="C375" s="45" t="s">
        <v>550</v>
      </c>
      <c r="D375" s="45">
        <v>20</v>
      </c>
      <c r="E375" s="45" t="s">
        <v>613</v>
      </c>
      <c r="F375" s="42" t="str">
        <f>VLOOKUP(E375, 'S11 Work Stations'!$A$2:$B$45, 2, 0)</f>
        <v>SAW-CNC-40-425</v>
      </c>
      <c r="G375" s="45">
        <v>120</v>
      </c>
      <c r="H375" s="3">
        <v>200</v>
      </c>
    </row>
    <row r="376" spans="1:8" s="44" customFormat="1" x14ac:dyDescent="0.2">
      <c r="A376" s="214" t="str">
        <f>C376&amp;"-"&amp;E376</f>
        <v>I-057-WS-43</v>
      </c>
      <c r="B376" s="214" t="str">
        <f>C376&amp;"-"&amp;D376</f>
        <v>I-057-10</v>
      </c>
      <c r="C376" s="45" t="s">
        <v>550</v>
      </c>
      <c r="D376" s="45">
        <v>10</v>
      </c>
      <c r="E376" s="45" t="s">
        <v>616</v>
      </c>
      <c r="F376" s="42" t="str">
        <f>VLOOKUP(E376, 'S11 Work Stations'!$A$2:$B$45, 2, 0)</f>
        <v>RAW-MAT-INV</v>
      </c>
      <c r="G376" s="45">
        <v>0</v>
      </c>
      <c r="H376" s="3">
        <v>200</v>
      </c>
    </row>
    <row r="377" spans="1:8" s="44" customFormat="1" x14ac:dyDescent="0.2">
      <c r="A377" s="214" t="str">
        <f>C377&amp;"-"&amp;E377</f>
        <v>I-057-WS-44</v>
      </c>
      <c r="B377" s="214" t="str">
        <f>C377&amp;"-"&amp;D377</f>
        <v>I-057-50</v>
      </c>
      <c r="C377" s="45" t="s">
        <v>550</v>
      </c>
      <c r="D377" s="45">
        <v>50</v>
      </c>
      <c r="E377" s="45" t="s">
        <v>617</v>
      </c>
      <c r="F377" s="42" t="str">
        <f>VLOOKUP(E377, 'S11 Work Stations'!$A$2:$B$45, 2, 0)</f>
        <v>FIN-GOOD-INV</v>
      </c>
      <c r="G377" s="45">
        <v>0</v>
      </c>
      <c r="H377" s="3">
        <v>200</v>
      </c>
    </row>
    <row r="378" spans="1:8" s="44" customFormat="1" x14ac:dyDescent="0.2">
      <c r="A378" s="214" t="str">
        <f>C378&amp;"-"&amp;E378</f>
        <v>I-058-WS-12</v>
      </c>
      <c r="B378" s="214" t="str">
        <f>C378&amp;"-"&amp;D378</f>
        <v>I-058-30</v>
      </c>
      <c r="C378" s="45" t="s">
        <v>551</v>
      </c>
      <c r="D378" s="45">
        <v>30</v>
      </c>
      <c r="E378" s="45" t="s">
        <v>585</v>
      </c>
      <c r="F378" s="42" t="str">
        <f>VLOOKUP(E378, 'S11 Work Stations'!$A$2:$B$45, 2, 0)</f>
        <v>TUR-15-250-405</v>
      </c>
      <c r="G378" s="45">
        <v>780</v>
      </c>
      <c r="H378" s="3">
        <v>200</v>
      </c>
    </row>
    <row r="379" spans="1:8" s="44" customFormat="1" x14ac:dyDescent="0.2">
      <c r="A379" s="214" t="str">
        <f>C379&amp;"-"&amp;E379</f>
        <v>I-058-WS-27</v>
      </c>
      <c r="B379" s="214" t="str">
        <f>C379&amp;"-"&amp;D379</f>
        <v>I-058-40</v>
      </c>
      <c r="C379" s="45" t="s">
        <v>551</v>
      </c>
      <c r="D379" s="45">
        <v>40</v>
      </c>
      <c r="E379" s="45" t="s">
        <v>600</v>
      </c>
      <c r="F379" s="42" t="str">
        <f>VLOOKUP(E379, 'S11 Work Stations'!$A$2:$B$45, 2, 0)</f>
        <v>GR-T1-203</v>
      </c>
      <c r="G379" s="45">
        <v>240</v>
      </c>
      <c r="H379" s="3">
        <v>200</v>
      </c>
    </row>
    <row r="380" spans="1:8" s="44" customFormat="1" x14ac:dyDescent="0.2">
      <c r="A380" s="214" t="str">
        <f>C380&amp;"-"&amp;E380</f>
        <v>I-058-WS-40</v>
      </c>
      <c r="B380" s="214" t="str">
        <f>C380&amp;"-"&amp;D380</f>
        <v>I-058-20</v>
      </c>
      <c r="C380" s="45" t="s">
        <v>551</v>
      </c>
      <c r="D380" s="45">
        <v>20</v>
      </c>
      <c r="E380" s="45" t="s">
        <v>613</v>
      </c>
      <c r="F380" s="42" t="str">
        <f>VLOOKUP(E380, 'S11 Work Stations'!$A$2:$B$45, 2, 0)</f>
        <v>SAW-CNC-40-425</v>
      </c>
      <c r="G380" s="45">
        <v>120</v>
      </c>
      <c r="H380" s="3">
        <v>200</v>
      </c>
    </row>
    <row r="381" spans="1:8" s="44" customFormat="1" x14ac:dyDescent="0.2">
      <c r="A381" s="214" t="str">
        <f>C381&amp;"-"&amp;E381</f>
        <v>I-058-WS-43</v>
      </c>
      <c r="B381" s="214" t="str">
        <f>C381&amp;"-"&amp;D381</f>
        <v>I-058-10</v>
      </c>
      <c r="C381" s="45" t="s">
        <v>551</v>
      </c>
      <c r="D381" s="45">
        <v>10</v>
      </c>
      <c r="E381" s="45" t="s">
        <v>616</v>
      </c>
      <c r="F381" s="42" t="str">
        <f>VLOOKUP(E381, 'S11 Work Stations'!$A$2:$B$45, 2, 0)</f>
        <v>RAW-MAT-INV</v>
      </c>
      <c r="G381" s="45">
        <v>0</v>
      </c>
      <c r="H381" s="3">
        <v>200</v>
      </c>
    </row>
    <row r="382" spans="1:8" s="44" customFormat="1" x14ac:dyDescent="0.2">
      <c r="A382" s="214" t="str">
        <f>C382&amp;"-"&amp;E382</f>
        <v>I-058-WS-44</v>
      </c>
      <c r="B382" s="214" t="str">
        <f>C382&amp;"-"&amp;D382</f>
        <v>I-058-50</v>
      </c>
      <c r="C382" s="45" t="s">
        <v>551</v>
      </c>
      <c r="D382" s="45">
        <v>50</v>
      </c>
      <c r="E382" s="45" t="s">
        <v>617</v>
      </c>
      <c r="F382" s="42" t="str">
        <f>VLOOKUP(E382, 'S11 Work Stations'!$A$2:$B$45, 2, 0)</f>
        <v>FIN-GOOD-INV</v>
      </c>
      <c r="G382" s="45">
        <v>0</v>
      </c>
      <c r="H382" s="3">
        <v>200</v>
      </c>
    </row>
    <row r="383" spans="1:8" s="44" customFormat="1" x14ac:dyDescent="0.2">
      <c r="A383" s="214" t="str">
        <f>C383&amp;"-"&amp;E383</f>
        <v>I-059-WS-12</v>
      </c>
      <c r="B383" s="214" t="str">
        <f>C383&amp;"-"&amp;D383</f>
        <v>I-059-30</v>
      </c>
      <c r="C383" s="45" t="s">
        <v>552</v>
      </c>
      <c r="D383" s="45">
        <v>30</v>
      </c>
      <c r="E383" s="45" t="s">
        <v>585</v>
      </c>
      <c r="F383" s="42" t="str">
        <f>VLOOKUP(E383, 'S11 Work Stations'!$A$2:$B$45, 2, 0)</f>
        <v>TUR-15-250-405</v>
      </c>
      <c r="G383" s="45">
        <v>840</v>
      </c>
      <c r="H383" s="3">
        <v>200</v>
      </c>
    </row>
    <row r="384" spans="1:8" s="44" customFormat="1" x14ac:dyDescent="0.2">
      <c r="A384" s="214" t="str">
        <f>C384&amp;"-"&amp;E384</f>
        <v>I-059-WS-40</v>
      </c>
      <c r="B384" s="214" t="str">
        <f>C384&amp;"-"&amp;D384</f>
        <v>I-059-20</v>
      </c>
      <c r="C384" s="45" t="s">
        <v>552</v>
      </c>
      <c r="D384" s="45">
        <v>20</v>
      </c>
      <c r="E384" s="45" t="s">
        <v>613</v>
      </c>
      <c r="F384" s="42" t="str">
        <f>VLOOKUP(E384, 'S11 Work Stations'!$A$2:$B$45, 2, 0)</f>
        <v>SAW-CNC-40-425</v>
      </c>
      <c r="G384" s="45">
        <v>180</v>
      </c>
      <c r="H384" s="3">
        <v>200</v>
      </c>
    </row>
    <row r="385" spans="1:8" s="44" customFormat="1" x14ac:dyDescent="0.2">
      <c r="A385" s="214" t="str">
        <f>C385&amp;"-"&amp;E385</f>
        <v>I-059-WS-43</v>
      </c>
      <c r="B385" s="214" t="str">
        <f>C385&amp;"-"&amp;D385</f>
        <v>I-059-10</v>
      </c>
      <c r="C385" s="45" t="s">
        <v>552</v>
      </c>
      <c r="D385" s="45">
        <v>10</v>
      </c>
      <c r="E385" s="45" t="s">
        <v>616</v>
      </c>
      <c r="F385" s="42" t="str">
        <f>VLOOKUP(E385, 'S11 Work Stations'!$A$2:$B$45, 2, 0)</f>
        <v>RAW-MAT-INV</v>
      </c>
      <c r="G385" s="45">
        <v>0</v>
      </c>
      <c r="H385" s="3">
        <v>200</v>
      </c>
    </row>
    <row r="386" spans="1:8" s="44" customFormat="1" x14ac:dyDescent="0.2">
      <c r="A386" s="214" t="str">
        <f>C386&amp;"-"&amp;E386</f>
        <v>I-059-WS-44</v>
      </c>
      <c r="B386" s="214" t="str">
        <f>C386&amp;"-"&amp;D386</f>
        <v>I-059-40</v>
      </c>
      <c r="C386" s="45" t="s">
        <v>552</v>
      </c>
      <c r="D386" s="45">
        <v>40</v>
      </c>
      <c r="E386" s="45" t="s">
        <v>617</v>
      </c>
      <c r="F386" s="42" t="str">
        <f>VLOOKUP(E386, 'S11 Work Stations'!$A$2:$B$45, 2, 0)</f>
        <v>FIN-GOOD-INV</v>
      </c>
      <c r="G386" s="45">
        <v>0</v>
      </c>
      <c r="H386" s="3">
        <v>200</v>
      </c>
    </row>
    <row r="387" spans="1:8" s="44" customFormat="1" x14ac:dyDescent="0.2">
      <c r="A387" s="214" t="str">
        <f>C387&amp;"-"&amp;E387</f>
        <v>I-060-WS-11</v>
      </c>
      <c r="B387" s="214" t="str">
        <f>C387&amp;"-"&amp;D387</f>
        <v>I-060-30</v>
      </c>
      <c r="C387" s="45" t="s">
        <v>553</v>
      </c>
      <c r="D387" s="45">
        <v>30</v>
      </c>
      <c r="E387" s="45" t="s">
        <v>584</v>
      </c>
      <c r="F387" s="42" t="str">
        <f>VLOOKUP(E387, 'S11 Work Stations'!$A$2:$B$45, 2, 0)</f>
        <v>TUR-40-100-404</v>
      </c>
      <c r="G387" s="45">
        <v>840</v>
      </c>
      <c r="H387" s="3">
        <v>200</v>
      </c>
    </row>
    <row r="388" spans="1:8" s="44" customFormat="1" x14ac:dyDescent="0.2">
      <c r="A388" s="214" t="str">
        <f>C388&amp;"-"&amp;E388</f>
        <v>I-060-WS-40</v>
      </c>
      <c r="B388" s="214" t="str">
        <f>C388&amp;"-"&amp;D388</f>
        <v>I-060-20</v>
      </c>
      <c r="C388" s="45" t="s">
        <v>553</v>
      </c>
      <c r="D388" s="45">
        <v>20</v>
      </c>
      <c r="E388" s="45" t="s">
        <v>613</v>
      </c>
      <c r="F388" s="42" t="str">
        <f>VLOOKUP(E388, 'S11 Work Stations'!$A$2:$B$45, 2, 0)</f>
        <v>SAW-CNC-40-425</v>
      </c>
      <c r="G388" s="45">
        <v>120</v>
      </c>
      <c r="H388" s="3">
        <v>200</v>
      </c>
    </row>
    <row r="389" spans="1:8" s="44" customFormat="1" x14ac:dyDescent="0.2">
      <c r="A389" s="214" t="str">
        <f>C389&amp;"-"&amp;E389</f>
        <v>I-060-WS-43</v>
      </c>
      <c r="B389" s="214" t="str">
        <f>C389&amp;"-"&amp;D389</f>
        <v>I-060-10</v>
      </c>
      <c r="C389" s="45" t="s">
        <v>553</v>
      </c>
      <c r="D389" s="45">
        <v>10</v>
      </c>
      <c r="E389" s="45" t="s">
        <v>616</v>
      </c>
      <c r="F389" s="42" t="str">
        <f>VLOOKUP(E389, 'S11 Work Stations'!$A$2:$B$45, 2, 0)</f>
        <v>RAW-MAT-INV</v>
      </c>
      <c r="G389" s="45">
        <v>0</v>
      </c>
      <c r="H389" s="3">
        <v>200</v>
      </c>
    </row>
    <row r="390" spans="1:8" s="44" customFormat="1" x14ac:dyDescent="0.2">
      <c r="A390" s="214" t="str">
        <f>C390&amp;"-"&amp;E390</f>
        <v>I-060-WS-44</v>
      </c>
      <c r="B390" s="214" t="str">
        <f>C390&amp;"-"&amp;D390</f>
        <v>I-060-40</v>
      </c>
      <c r="C390" s="45" t="s">
        <v>553</v>
      </c>
      <c r="D390" s="45">
        <v>40</v>
      </c>
      <c r="E390" s="45" t="s">
        <v>617</v>
      </c>
      <c r="F390" s="42" t="str">
        <f>VLOOKUP(E390, 'S11 Work Stations'!$A$2:$B$45, 2, 0)</f>
        <v>FIN-GOOD-INV</v>
      </c>
      <c r="G390" s="45">
        <v>0</v>
      </c>
      <c r="H390" s="3">
        <v>200</v>
      </c>
    </row>
    <row r="391" spans="1:8" s="44" customFormat="1" x14ac:dyDescent="0.2">
      <c r="A391" s="214" t="str">
        <f>C391&amp;"-"&amp;E391</f>
        <v>I-061-WS-11</v>
      </c>
      <c r="B391" s="214" t="str">
        <f>C391&amp;"-"&amp;D391</f>
        <v>I-061-30</v>
      </c>
      <c r="C391" s="45" t="s">
        <v>554</v>
      </c>
      <c r="D391" s="45">
        <v>30</v>
      </c>
      <c r="E391" s="45" t="s">
        <v>584</v>
      </c>
      <c r="F391" s="42" t="str">
        <f>VLOOKUP(E391, 'S11 Work Stations'!$A$2:$B$45, 2, 0)</f>
        <v>TUR-40-100-404</v>
      </c>
      <c r="G391" s="45">
        <v>1080</v>
      </c>
      <c r="H391" s="3">
        <v>200</v>
      </c>
    </row>
    <row r="392" spans="1:8" s="44" customFormat="1" x14ac:dyDescent="0.2">
      <c r="A392" s="214" t="str">
        <f>C392&amp;"-"&amp;E392</f>
        <v>I-061-WS-26</v>
      </c>
      <c r="B392" s="214" t="str">
        <f>C392&amp;"-"&amp;D392</f>
        <v>I-061-40</v>
      </c>
      <c r="C392" s="45" t="s">
        <v>554</v>
      </c>
      <c r="D392" s="45">
        <v>40</v>
      </c>
      <c r="E392" s="45" t="s">
        <v>599</v>
      </c>
      <c r="F392" s="42" t="str">
        <f>VLOOKUP(E392, 'S11 Work Stations'!$A$2:$B$45, 2, 0)</f>
        <v>DR-2A2-202</v>
      </c>
      <c r="G392" s="45">
        <v>480</v>
      </c>
      <c r="H392" s="3">
        <v>200</v>
      </c>
    </row>
    <row r="393" spans="1:8" s="44" customFormat="1" x14ac:dyDescent="0.2">
      <c r="A393" s="214" t="str">
        <f>C393&amp;"-"&amp;E393</f>
        <v>I-061-WS-40</v>
      </c>
      <c r="B393" s="214" t="str">
        <f>C393&amp;"-"&amp;D393</f>
        <v>I-061-20</v>
      </c>
      <c r="C393" s="45" t="s">
        <v>554</v>
      </c>
      <c r="D393" s="45">
        <v>20</v>
      </c>
      <c r="E393" s="45" t="s">
        <v>613</v>
      </c>
      <c r="F393" s="42" t="str">
        <f>VLOOKUP(E393, 'S11 Work Stations'!$A$2:$B$45, 2, 0)</f>
        <v>SAW-CNC-40-425</v>
      </c>
      <c r="G393" s="45">
        <v>120</v>
      </c>
      <c r="H393" s="3">
        <v>200</v>
      </c>
    </row>
    <row r="394" spans="1:8" s="44" customFormat="1" x14ac:dyDescent="0.2">
      <c r="A394" s="214" t="str">
        <f>C394&amp;"-"&amp;E394</f>
        <v>I-061-WS-43</v>
      </c>
      <c r="B394" s="214" t="str">
        <f>C394&amp;"-"&amp;D394</f>
        <v>I-061-10</v>
      </c>
      <c r="C394" s="45" t="s">
        <v>554</v>
      </c>
      <c r="D394" s="45">
        <v>10</v>
      </c>
      <c r="E394" s="45" t="s">
        <v>616</v>
      </c>
      <c r="F394" s="42" t="str">
        <f>VLOOKUP(E394, 'S11 Work Stations'!$A$2:$B$45, 2, 0)</f>
        <v>RAW-MAT-INV</v>
      </c>
      <c r="G394" s="45">
        <v>0</v>
      </c>
      <c r="H394" s="3">
        <v>200</v>
      </c>
    </row>
    <row r="395" spans="1:8" s="44" customFormat="1" x14ac:dyDescent="0.2">
      <c r="A395" s="214" t="str">
        <f>C395&amp;"-"&amp;E395</f>
        <v>I-061-WS-44</v>
      </c>
      <c r="B395" s="214" t="str">
        <f>C395&amp;"-"&amp;D395</f>
        <v>I-061-50</v>
      </c>
      <c r="C395" s="45" t="s">
        <v>554</v>
      </c>
      <c r="D395" s="45">
        <v>50</v>
      </c>
      <c r="E395" s="45" t="s">
        <v>617</v>
      </c>
      <c r="F395" s="42" t="str">
        <f>VLOOKUP(E395, 'S11 Work Stations'!$A$2:$B$45, 2, 0)</f>
        <v>FIN-GOOD-INV</v>
      </c>
      <c r="G395" s="45">
        <v>0</v>
      </c>
      <c r="H395" s="3">
        <v>200</v>
      </c>
    </row>
    <row r="396" spans="1:8" s="44" customFormat="1" x14ac:dyDescent="0.2">
      <c r="A396" s="214" t="str">
        <f>C396&amp;"-"&amp;E396</f>
        <v>I-062-WS-11</v>
      </c>
      <c r="B396" s="214" t="str">
        <f>C396&amp;"-"&amp;D396</f>
        <v>I-062-30</v>
      </c>
      <c r="C396" s="45" t="s">
        <v>555</v>
      </c>
      <c r="D396" s="45">
        <v>30</v>
      </c>
      <c r="E396" s="45" t="s">
        <v>584</v>
      </c>
      <c r="F396" s="42" t="str">
        <f>VLOOKUP(E396, 'S11 Work Stations'!$A$2:$B$45, 2, 0)</f>
        <v>TUR-40-100-404</v>
      </c>
      <c r="G396" s="45">
        <v>1080</v>
      </c>
      <c r="H396" s="3">
        <v>200</v>
      </c>
    </row>
    <row r="397" spans="1:8" s="44" customFormat="1" x14ac:dyDescent="0.2">
      <c r="A397" s="214" t="str">
        <f>C397&amp;"-"&amp;E397</f>
        <v>I-062-WS-27</v>
      </c>
      <c r="B397" s="214" t="str">
        <f>C397&amp;"-"&amp;D397</f>
        <v>I-062-40</v>
      </c>
      <c r="C397" s="45" t="s">
        <v>555</v>
      </c>
      <c r="D397" s="45">
        <v>40</v>
      </c>
      <c r="E397" s="45" t="s">
        <v>600</v>
      </c>
      <c r="F397" s="42" t="str">
        <f>VLOOKUP(E397, 'S11 Work Stations'!$A$2:$B$45, 2, 0)</f>
        <v>GR-T1-203</v>
      </c>
      <c r="G397" s="45">
        <v>360</v>
      </c>
      <c r="H397" s="3">
        <v>200</v>
      </c>
    </row>
    <row r="398" spans="1:8" s="44" customFormat="1" x14ac:dyDescent="0.2">
      <c r="A398" s="214" t="str">
        <f>C398&amp;"-"&amp;E398</f>
        <v>I-062-WS-34</v>
      </c>
      <c r="B398" s="214" t="str">
        <f>C398&amp;"-"&amp;D398</f>
        <v>I-062-50</v>
      </c>
      <c r="C398" s="45" t="s">
        <v>555</v>
      </c>
      <c r="D398" s="45">
        <v>50</v>
      </c>
      <c r="E398" s="45" t="s">
        <v>607</v>
      </c>
      <c r="F398" s="42" t="str">
        <f>VLOOKUP(E398, 'S11 Work Stations'!$A$2:$B$45, 2, 0)</f>
        <v>SAW-30-160-252</v>
      </c>
      <c r="G398" s="45">
        <v>420</v>
      </c>
      <c r="H398" s="3">
        <v>200</v>
      </c>
    </row>
    <row r="399" spans="1:8" s="44" customFormat="1" x14ac:dyDescent="0.2">
      <c r="A399" s="214" t="str">
        <f>C399&amp;"-"&amp;E399</f>
        <v>I-062-WS-40</v>
      </c>
      <c r="B399" s="214" t="str">
        <f>C399&amp;"-"&amp;D399</f>
        <v>I-062-20</v>
      </c>
      <c r="C399" s="45" t="s">
        <v>555</v>
      </c>
      <c r="D399" s="45">
        <v>20</v>
      </c>
      <c r="E399" s="45" t="s">
        <v>613</v>
      </c>
      <c r="F399" s="42" t="str">
        <f>VLOOKUP(E399, 'S11 Work Stations'!$A$2:$B$45, 2, 0)</f>
        <v>SAW-CNC-40-425</v>
      </c>
      <c r="G399" s="45">
        <v>180</v>
      </c>
      <c r="H399" s="3">
        <v>200</v>
      </c>
    </row>
    <row r="400" spans="1:8" s="44" customFormat="1" x14ac:dyDescent="0.2">
      <c r="A400" s="214" t="str">
        <f>C400&amp;"-"&amp;E400</f>
        <v>I-062-WS-43</v>
      </c>
      <c r="B400" s="214" t="str">
        <f>C400&amp;"-"&amp;D400</f>
        <v>I-062-10</v>
      </c>
      <c r="C400" s="45" t="s">
        <v>555</v>
      </c>
      <c r="D400" s="45">
        <v>10</v>
      </c>
      <c r="E400" s="45" t="s">
        <v>616</v>
      </c>
      <c r="F400" s="42" t="str">
        <f>VLOOKUP(E400, 'S11 Work Stations'!$A$2:$B$45, 2, 0)</f>
        <v>RAW-MAT-INV</v>
      </c>
      <c r="G400" s="45">
        <v>0</v>
      </c>
      <c r="H400" s="3">
        <v>200</v>
      </c>
    </row>
    <row r="401" spans="1:8" s="44" customFormat="1" x14ac:dyDescent="0.2">
      <c r="A401" s="214" t="str">
        <f>C401&amp;"-"&amp;E401</f>
        <v>I-062-WS-44</v>
      </c>
      <c r="B401" s="214" t="str">
        <f>C401&amp;"-"&amp;D401</f>
        <v>I-062-60</v>
      </c>
      <c r="C401" s="45" t="s">
        <v>555</v>
      </c>
      <c r="D401" s="45">
        <v>60</v>
      </c>
      <c r="E401" s="45" t="s">
        <v>617</v>
      </c>
      <c r="F401" s="42" t="str">
        <f>VLOOKUP(E401, 'S11 Work Stations'!$A$2:$B$45, 2, 0)</f>
        <v>FIN-GOOD-INV</v>
      </c>
      <c r="G401" s="45">
        <v>0</v>
      </c>
      <c r="H401" s="3">
        <v>200</v>
      </c>
    </row>
    <row r="402" spans="1:8" s="44" customFormat="1" x14ac:dyDescent="0.2">
      <c r="A402" s="214" t="str">
        <f>C402&amp;"-"&amp;E402</f>
        <v>I-063-WS-09</v>
      </c>
      <c r="B402" s="214" t="str">
        <f>C402&amp;"-"&amp;D402</f>
        <v>I-063-30</v>
      </c>
      <c r="C402" s="45" t="s">
        <v>556</v>
      </c>
      <c r="D402" s="45">
        <v>30</v>
      </c>
      <c r="E402" s="45" t="s">
        <v>582</v>
      </c>
      <c r="F402" s="42" t="str">
        <f>VLOOKUP(E402, 'S11 Work Stations'!$A$2:$B$45, 2, 0)</f>
        <v>TUR-20-120-402</v>
      </c>
      <c r="G402" s="45">
        <v>1080</v>
      </c>
      <c r="H402" s="3">
        <v>200</v>
      </c>
    </row>
    <row r="403" spans="1:8" s="44" customFormat="1" x14ac:dyDescent="0.2">
      <c r="A403" s="214" t="str">
        <f>C403&amp;"-"&amp;E403</f>
        <v>I-063-WS-26</v>
      </c>
      <c r="B403" s="214" t="str">
        <f>C403&amp;"-"&amp;D403</f>
        <v>I-063-40</v>
      </c>
      <c r="C403" s="45" t="s">
        <v>556</v>
      </c>
      <c r="D403" s="45">
        <v>40</v>
      </c>
      <c r="E403" s="45" t="s">
        <v>599</v>
      </c>
      <c r="F403" s="42" t="str">
        <f>VLOOKUP(E403, 'S11 Work Stations'!$A$2:$B$45, 2, 0)</f>
        <v>DR-2A2-202</v>
      </c>
      <c r="G403" s="45">
        <v>360</v>
      </c>
      <c r="H403" s="3">
        <v>200</v>
      </c>
    </row>
    <row r="404" spans="1:8" s="44" customFormat="1" x14ac:dyDescent="0.2">
      <c r="A404" s="214" t="str">
        <f>C404&amp;"-"&amp;E404</f>
        <v>I-063-WS-40</v>
      </c>
      <c r="B404" s="214" t="str">
        <f>C404&amp;"-"&amp;D404</f>
        <v>I-063-20</v>
      </c>
      <c r="C404" s="45" t="s">
        <v>556</v>
      </c>
      <c r="D404" s="45">
        <v>20</v>
      </c>
      <c r="E404" s="45" t="s">
        <v>613</v>
      </c>
      <c r="F404" s="42" t="str">
        <f>VLOOKUP(E404, 'S11 Work Stations'!$A$2:$B$45, 2, 0)</f>
        <v>SAW-CNC-40-425</v>
      </c>
      <c r="G404" s="45">
        <v>120</v>
      </c>
      <c r="H404" s="3">
        <v>200</v>
      </c>
    </row>
    <row r="405" spans="1:8" s="44" customFormat="1" x14ac:dyDescent="0.2">
      <c r="A405" s="214" t="str">
        <f>C405&amp;"-"&amp;E405</f>
        <v>I-063-WS-43</v>
      </c>
      <c r="B405" s="214" t="str">
        <f>C405&amp;"-"&amp;D405</f>
        <v>I-063-10</v>
      </c>
      <c r="C405" s="45" t="s">
        <v>556</v>
      </c>
      <c r="D405" s="45">
        <v>10</v>
      </c>
      <c r="E405" s="45" t="s">
        <v>616</v>
      </c>
      <c r="F405" s="42" t="str">
        <f>VLOOKUP(E405, 'S11 Work Stations'!$A$2:$B$45, 2, 0)</f>
        <v>RAW-MAT-INV</v>
      </c>
      <c r="G405" s="45">
        <v>0</v>
      </c>
      <c r="H405" s="3">
        <v>200</v>
      </c>
    </row>
    <row r="406" spans="1:8" s="44" customFormat="1" x14ac:dyDescent="0.2">
      <c r="A406" s="214" t="str">
        <f>C406&amp;"-"&amp;E406</f>
        <v>I-063-WS-44</v>
      </c>
      <c r="B406" s="214" t="str">
        <f>C406&amp;"-"&amp;D406</f>
        <v>I-063-50</v>
      </c>
      <c r="C406" s="45" t="s">
        <v>556</v>
      </c>
      <c r="D406" s="45">
        <v>50</v>
      </c>
      <c r="E406" s="45" t="s">
        <v>617</v>
      </c>
      <c r="F406" s="42" t="str">
        <f>VLOOKUP(E406, 'S11 Work Stations'!$A$2:$B$45, 2, 0)</f>
        <v>FIN-GOOD-INV</v>
      </c>
      <c r="G406" s="45">
        <v>0</v>
      </c>
      <c r="H406" s="3">
        <v>200</v>
      </c>
    </row>
    <row r="407" spans="1:8" s="44" customFormat="1" x14ac:dyDescent="0.2">
      <c r="A407" s="214" t="str">
        <f>C407&amp;"-"&amp;E407</f>
        <v>I-064-WS-03</v>
      </c>
      <c r="B407" s="214" t="str">
        <f>C407&amp;"-"&amp;D407</f>
        <v>I-064-40</v>
      </c>
      <c r="C407" s="45" t="s">
        <v>182</v>
      </c>
      <c r="D407" s="45">
        <v>40</v>
      </c>
      <c r="E407" s="45" t="s">
        <v>576</v>
      </c>
      <c r="F407" s="42" t="str">
        <f>VLOOKUP(E407, 'S11 Work Stations'!$A$2:$B$45, 2, 0)</f>
        <v>MIL-A31-363</v>
      </c>
      <c r="G407" s="45">
        <v>120</v>
      </c>
      <c r="H407" s="3">
        <v>200</v>
      </c>
    </row>
    <row r="408" spans="1:8" s="44" customFormat="1" x14ac:dyDescent="0.2">
      <c r="A408" s="214" t="str">
        <f>C408&amp;"-"&amp;E408</f>
        <v>I-064-WS-04</v>
      </c>
      <c r="B408" s="214" t="str">
        <f>C408&amp;"-"&amp;D408</f>
        <v>I-064-30</v>
      </c>
      <c r="C408" s="45" t="s">
        <v>182</v>
      </c>
      <c r="D408" s="45">
        <v>30</v>
      </c>
      <c r="E408" s="45" t="s">
        <v>577</v>
      </c>
      <c r="F408" s="42" t="str">
        <f>VLOOKUP(E408, 'S11 Work Stations'!$A$2:$B$45, 2, 0)</f>
        <v>TUR-A4-364</v>
      </c>
      <c r="G408" s="45">
        <v>120</v>
      </c>
      <c r="H408" s="3">
        <v>200</v>
      </c>
    </row>
    <row r="409" spans="1:8" s="44" customFormat="1" x14ac:dyDescent="0.2">
      <c r="A409" s="214" t="str">
        <f>C409&amp;"-"&amp;E409</f>
        <v>I-064-WS-23</v>
      </c>
      <c r="B409" s="214" t="str">
        <f>C409&amp;"-"&amp;D409</f>
        <v>I-064-50</v>
      </c>
      <c r="C409" s="45" t="s">
        <v>182</v>
      </c>
      <c r="D409" s="45">
        <v>50</v>
      </c>
      <c r="E409" s="45" t="s">
        <v>596</v>
      </c>
      <c r="F409" s="42" t="str">
        <f>VLOOKUP(E409, 'S11 Work Stations'!$A$2:$B$45, 2, 0)</f>
        <v>MIL-U2-607</v>
      </c>
      <c r="G409" s="45">
        <v>180</v>
      </c>
      <c r="H409" s="3">
        <v>200</v>
      </c>
    </row>
    <row r="410" spans="1:8" s="44" customFormat="1" x14ac:dyDescent="0.2">
      <c r="A410" s="214" t="str">
        <f>C410&amp;"-"&amp;E410</f>
        <v>I-064-WS-31</v>
      </c>
      <c r="B410" s="214" t="str">
        <f>C410&amp;"-"&amp;D410</f>
        <v>I-064-60</v>
      </c>
      <c r="C410" s="45" t="s">
        <v>182</v>
      </c>
      <c r="D410" s="45">
        <v>60</v>
      </c>
      <c r="E410" s="45" t="s">
        <v>604</v>
      </c>
      <c r="F410" s="42" t="str">
        <f>VLOOKUP(E410, 'S11 Work Stations'!$A$2:$B$45, 2, 0)</f>
        <v>DR-3AW-207</v>
      </c>
      <c r="G410" s="45">
        <v>180</v>
      </c>
      <c r="H410" s="3">
        <v>200</v>
      </c>
    </row>
    <row r="411" spans="1:8" s="44" customFormat="1" x14ac:dyDescent="0.2">
      <c r="A411" s="214" t="str">
        <f>C411&amp;"-"&amp;E411</f>
        <v>I-064-WS-32</v>
      </c>
      <c r="B411" s="214" t="str">
        <f>C411&amp;"-"&amp;D411</f>
        <v>I-064-70</v>
      </c>
      <c r="C411" s="45" t="s">
        <v>182</v>
      </c>
      <c r="D411" s="45">
        <v>70</v>
      </c>
      <c r="E411" s="45" t="s">
        <v>605</v>
      </c>
      <c r="F411" s="42" t="str">
        <f>VLOOKUP(E411, 'S11 Work Stations'!$A$2:$B$45, 2, 0)</f>
        <v>SAW-30-150-251</v>
      </c>
      <c r="G411" s="45">
        <v>780</v>
      </c>
      <c r="H411" s="3">
        <v>200</v>
      </c>
    </row>
    <row r="412" spans="1:8" s="44" customFormat="1" x14ac:dyDescent="0.2">
      <c r="A412" s="214" t="str">
        <f>C412&amp;"-"&amp;E412</f>
        <v>I-064-WS-40</v>
      </c>
      <c r="B412" s="214" t="str">
        <f>C412&amp;"-"&amp;D412</f>
        <v>I-064-20</v>
      </c>
      <c r="C412" s="45" t="s">
        <v>182</v>
      </c>
      <c r="D412" s="45">
        <v>20</v>
      </c>
      <c r="E412" s="45" t="s">
        <v>613</v>
      </c>
      <c r="F412" s="42" t="str">
        <f>VLOOKUP(E412, 'S11 Work Stations'!$A$2:$B$45, 2, 0)</f>
        <v>SAW-CNC-40-425</v>
      </c>
      <c r="G412" s="45">
        <v>180</v>
      </c>
      <c r="H412" s="3">
        <v>200</v>
      </c>
    </row>
    <row r="413" spans="1:8" s="44" customFormat="1" x14ac:dyDescent="0.2">
      <c r="A413" s="214" t="str">
        <f>C413&amp;"-"&amp;E413</f>
        <v>I-064-WS-42</v>
      </c>
      <c r="B413" s="214" t="str">
        <f>C413&amp;"-"&amp;D413</f>
        <v>I-064-80</v>
      </c>
      <c r="C413" s="45" t="s">
        <v>182</v>
      </c>
      <c r="D413" s="45">
        <v>80</v>
      </c>
      <c r="E413" s="45" t="s">
        <v>615</v>
      </c>
      <c r="F413" s="42" t="str">
        <f>VLOOKUP(E413, 'S11 Work Stations'!$A$2:$B$45, 2, 0)</f>
        <v>TEMP-A01-202</v>
      </c>
      <c r="G413" s="45">
        <v>300</v>
      </c>
      <c r="H413" s="3">
        <v>200</v>
      </c>
    </row>
    <row r="414" spans="1:8" s="44" customFormat="1" x14ac:dyDescent="0.2">
      <c r="A414" s="214" t="str">
        <f>C414&amp;"-"&amp;E414</f>
        <v>I-064-WS-43</v>
      </c>
      <c r="B414" s="214" t="str">
        <f>C414&amp;"-"&amp;D414</f>
        <v>I-064-10</v>
      </c>
      <c r="C414" s="45" t="s">
        <v>182</v>
      </c>
      <c r="D414" s="45">
        <v>10</v>
      </c>
      <c r="E414" s="45" t="s">
        <v>616</v>
      </c>
      <c r="F414" s="42" t="str">
        <f>VLOOKUP(E414, 'S11 Work Stations'!$A$2:$B$45, 2, 0)</f>
        <v>RAW-MAT-INV</v>
      </c>
      <c r="G414" s="45">
        <v>0</v>
      </c>
      <c r="H414" s="3">
        <v>200</v>
      </c>
    </row>
    <row r="415" spans="1:8" s="44" customFormat="1" x14ac:dyDescent="0.2">
      <c r="A415" s="214" t="str">
        <f>C415&amp;"-"&amp;E415</f>
        <v>I-064-WS-44</v>
      </c>
      <c r="B415" s="214" t="str">
        <f>C415&amp;"-"&amp;D415</f>
        <v>I-064-90</v>
      </c>
      <c r="C415" s="45" t="s">
        <v>182</v>
      </c>
      <c r="D415" s="45">
        <v>90</v>
      </c>
      <c r="E415" s="45" t="s">
        <v>617</v>
      </c>
      <c r="F415" s="42" t="str">
        <f>VLOOKUP(E415, 'S11 Work Stations'!$A$2:$B$45, 2, 0)</f>
        <v>FIN-GOOD-INV</v>
      </c>
      <c r="G415" s="45">
        <v>0</v>
      </c>
      <c r="H415" s="3">
        <v>200</v>
      </c>
    </row>
    <row r="416" spans="1:8" s="44" customFormat="1" x14ac:dyDescent="0.2">
      <c r="A416" s="214" t="str">
        <f>C416&amp;"-"&amp;E416</f>
        <v>I-065-WS-05</v>
      </c>
      <c r="B416" s="214" t="str">
        <f>C416&amp;"-"&amp;D416</f>
        <v>I-065-30</v>
      </c>
      <c r="C416" s="45" t="s">
        <v>557</v>
      </c>
      <c r="D416" s="45">
        <v>30</v>
      </c>
      <c r="E416" s="45" t="s">
        <v>578</v>
      </c>
      <c r="F416" s="42" t="str">
        <f>VLOOKUP(E416, 'S11 Work Stations'!$A$2:$B$45, 2, 0)</f>
        <v>MIL-A2-365</v>
      </c>
      <c r="G416" s="45">
        <v>720</v>
      </c>
      <c r="H416" s="3">
        <v>200</v>
      </c>
    </row>
    <row r="417" spans="1:8" s="44" customFormat="1" x14ac:dyDescent="0.2">
      <c r="A417" s="214" t="str">
        <f>C417&amp;"-"&amp;E417</f>
        <v>I-065-WS-24</v>
      </c>
      <c r="B417" s="214" t="str">
        <f>C417&amp;"-"&amp;D417</f>
        <v>I-065-50</v>
      </c>
      <c r="C417" s="45" t="s">
        <v>557</v>
      </c>
      <c r="D417" s="45">
        <v>50</v>
      </c>
      <c r="E417" s="45" t="s">
        <v>597</v>
      </c>
      <c r="F417" s="42" t="str">
        <f>VLOOKUP(E417, 'S11 Work Stations'!$A$2:$B$45, 2, 0)</f>
        <v>MIL-V5-608</v>
      </c>
      <c r="G417" s="45">
        <v>720</v>
      </c>
      <c r="H417" s="3">
        <v>200</v>
      </c>
    </row>
    <row r="418" spans="1:8" s="44" customFormat="1" x14ac:dyDescent="0.2">
      <c r="A418" s="214" t="str">
        <f>C418&amp;"-"&amp;E418</f>
        <v>I-065-WS-33</v>
      </c>
      <c r="B418" s="214" t="str">
        <f>C418&amp;"-"&amp;D418</f>
        <v>I-065-40</v>
      </c>
      <c r="C418" s="45" t="s">
        <v>557</v>
      </c>
      <c r="D418" s="45">
        <v>40</v>
      </c>
      <c r="E418" s="45" t="s">
        <v>606</v>
      </c>
      <c r="F418" s="42" t="str">
        <f>VLOOKUP(E418, 'S11 Work Stations'!$A$2:$B$45, 2, 0)</f>
        <v>SAW-50-150-252</v>
      </c>
      <c r="G418" s="45">
        <v>120</v>
      </c>
      <c r="H418" s="3">
        <v>200</v>
      </c>
    </row>
    <row r="419" spans="1:8" s="44" customFormat="1" x14ac:dyDescent="0.2">
      <c r="A419" s="214" t="str">
        <f>C419&amp;"-"&amp;E419</f>
        <v>I-065-WS-36</v>
      </c>
      <c r="B419" s="214" t="str">
        <f>C419&amp;"-"&amp;D419</f>
        <v>I-065-20</v>
      </c>
      <c r="C419" s="45" t="s">
        <v>557</v>
      </c>
      <c r="D419" s="45">
        <v>20</v>
      </c>
      <c r="E419" s="45" t="s">
        <v>609</v>
      </c>
      <c r="F419" s="42" t="str">
        <f>VLOOKUP(E419, 'S11 Work Stations'!$A$2:$B$45, 2, 0)</f>
        <v>SAW-10-421</v>
      </c>
      <c r="G419" s="45">
        <v>240</v>
      </c>
      <c r="H419" s="3">
        <v>200</v>
      </c>
    </row>
    <row r="420" spans="1:8" s="44" customFormat="1" x14ac:dyDescent="0.2">
      <c r="A420" s="214" t="str">
        <f>C420&amp;"-"&amp;E420</f>
        <v>I-065-WS-43</v>
      </c>
      <c r="B420" s="214" t="str">
        <f>C420&amp;"-"&amp;D420</f>
        <v>I-065-10</v>
      </c>
      <c r="C420" s="45" t="s">
        <v>557</v>
      </c>
      <c r="D420" s="45">
        <v>10</v>
      </c>
      <c r="E420" s="45" t="s">
        <v>616</v>
      </c>
      <c r="F420" s="42" t="str">
        <f>VLOOKUP(E420, 'S11 Work Stations'!$A$2:$B$45, 2, 0)</f>
        <v>RAW-MAT-INV</v>
      </c>
      <c r="G420" s="45">
        <v>0</v>
      </c>
      <c r="H420" s="3">
        <v>200</v>
      </c>
    </row>
    <row r="421" spans="1:8" s="44" customFormat="1" x14ac:dyDescent="0.2">
      <c r="A421" s="214" t="str">
        <f>C421&amp;"-"&amp;E421</f>
        <v>I-065-WS-44</v>
      </c>
      <c r="B421" s="214" t="str">
        <f>C421&amp;"-"&amp;D421</f>
        <v>I-065-60</v>
      </c>
      <c r="C421" s="45" t="s">
        <v>557</v>
      </c>
      <c r="D421" s="45">
        <v>60</v>
      </c>
      <c r="E421" s="45" t="s">
        <v>617</v>
      </c>
      <c r="F421" s="42" t="str">
        <f>VLOOKUP(E421, 'S11 Work Stations'!$A$2:$B$45, 2, 0)</f>
        <v>FIN-GOOD-INV</v>
      </c>
      <c r="G421" s="45">
        <v>0</v>
      </c>
      <c r="H421" s="3">
        <v>200</v>
      </c>
    </row>
    <row r="422" spans="1:8" s="44" customFormat="1" x14ac:dyDescent="0.2">
      <c r="A422" s="214" t="str">
        <f>C422&amp;"-"&amp;E422</f>
        <v>I-066-WS-05</v>
      </c>
      <c r="B422" s="214" t="str">
        <f>C422&amp;"-"&amp;D422</f>
        <v>I-066-30</v>
      </c>
      <c r="C422" s="45" t="s">
        <v>192</v>
      </c>
      <c r="D422" s="45">
        <v>30</v>
      </c>
      <c r="E422" s="45" t="s">
        <v>578</v>
      </c>
      <c r="F422" s="42" t="str">
        <f>VLOOKUP(E422, 'S11 Work Stations'!$A$2:$B$45, 2, 0)</f>
        <v>MIL-A2-365</v>
      </c>
      <c r="G422" s="45">
        <v>720</v>
      </c>
      <c r="H422" s="3">
        <v>200</v>
      </c>
    </row>
    <row r="423" spans="1:8" s="44" customFormat="1" x14ac:dyDescent="0.2">
      <c r="A423" s="214" t="str">
        <f>C423&amp;"-"&amp;E423</f>
        <v>I-066-WS-25</v>
      </c>
      <c r="B423" s="214" t="str">
        <f>C423&amp;"-"&amp;D423</f>
        <v>I-066-40</v>
      </c>
      <c r="C423" s="45" t="s">
        <v>192</v>
      </c>
      <c r="D423" s="45">
        <v>40</v>
      </c>
      <c r="E423" s="45" t="s">
        <v>598</v>
      </c>
      <c r="F423" s="42" t="str">
        <f>VLOOKUP(E423, 'S11 Work Stations'!$A$2:$B$45, 2, 0)</f>
        <v>DR-2A-201</v>
      </c>
      <c r="G423" s="45">
        <v>120</v>
      </c>
      <c r="H423" s="3">
        <v>200</v>
      </c>
    </row>
    <row r="424" spans="1:8" s="44" customFormat="1" x14ac:dyDescent="0.2">
      <c r="A424" s="214" t="str">
        <f>C424&amp;"-"&amp;E424</f>
        <v>I-066-WS-34</v>
      </c>
      <c r="B424" s="214" t="str">
        <f>C424&amp;"-"&amp;D424</f>
        <v>I-066-50</v>
      </c>
      <c r="C424" s="45" t="s">
        <v>192</v>
      </c>
      <c r="D424" s="45">
        <v>50</v>
      </c>
      <c r="E424" s="45" t="s">
        <v>607</v>
      </c>
      <c r="F424" s="42" t="str">
        <f>VLOOKUP(E424, 'S11 Work Stations'!$A$2:$B$45, 2, 0)</f>
        <v>SAW-30-160-252</v>
      </c>
      <c r="G424" s="45">
        <v>3600</v>
      </c>
      <c r="H424" s="3">
        <v>200</v>
      </c>
    </row>
    <row r="425" spans="1:8" s="44" customFormat="1" x14ac:dyDescent="0.2">
      <c r="A425" s="214" t="str">
        <f>C425&amp;"-"&amp;E425</f>
        <v>I-066-WS-36</v>
      </c>
      <c r="B425" s="214" t="str">
        <f>C425&amp;"-"&amp;D425</f>
        <v>I-066-20</v>
      </c>
      <c r="C425" s="45" t="s">
        <v>192</v>
      </c>
      <c r="D425" s="45">
        <v>20</v>
      </c>
      <c r="E425" s="45" t="s">
        <v>609</v>
      </c>
      <c r="F425" s="42" t="str">
        <f>VLOOKUP(E425, 'S11 Work Stations'!$A$2:$B$45, 2, 0)</f>
        <v>SAW-10-421</v>
      </c>
      <c r="G425" s="45">
        <v>120</v>
      </c>
      <c r="H425" s="3">
        <v>200</v>
      </c>
    </row>
    <row r="426" spans="1:8" s="44" customFormat="1" x14ac:dyDescent="0.2">
      <c r="A426" s="214" t="str">
        <f>C426&amp;"-"&amp;E426</f>
        <v>I-066-WS-43</v>
      </c>
      <c r="B426" s="214" t="str">
        <f>C426&amp;"-"&amp;D426</f>
        <v>I-066-10</v>
      </c>
      <c r="C426" s="45" t="s">
        <v>192</v>
      </c>
      <c r="D426" s="45">
        <v>10</v>
      </c>
      <c r="E426" s="45" t="s">
        <v>616</v>
      </c>
      <c r="F426" s="42" t="str">
        <f>VLOOKUP(E426, 'S11 Work Stations'!$A$2:$B$45, 2, 0)</f>
        <v>RAW-MAT-INV</v>
      </c>
      <c r="G426" s="45">
        <v>0</v>
      </c>
      <c r="H426" s="3">
        <v>200</v>
      </c>
    </row>
    <row r="427" spans="1:8" s="44" customFormat="1" x14ac:dyDescent="0.2">
      <c r="A427" s="214" t="str">
        <f>C427&amp;"-"&amp;E427</f>
        <v>I-066-WS-44</v>
      </c>
      <c r="B427" s="214" t="str">
        <f>C427&amp;"-"&amp;D427</f>
        <v>I-066-60</v>
      </c>
      <c r="C427" s="45" t="s">
        <v>192</v>
      </c>
      <c r="D427" s="45">
        <v>60</v>
      </c>
      <c r="E427" s="45" t="s">
        <v>617</v>
      </c>
      <c r="F427" s="42" t="str">
        <f>VLOOKUP(E427, 'S11 Work Stations'!$A$2:$B$45, 2, 0)</f>
        <v>FIN-GOOD-INV</v>
      </c>
      <c r="G427" s="45">
        <v>0</v>
      </c>
      <c r="H427" s="3">
        <v>200</v>
      </c>
    </row>
    <row r="428" spans="1:8" s="44" customFormat="1" x14ac:dyDescent="0.2">
      <c r="A428" s="214" t="str">
        <f>C428&amp;"-"&amp;E428</f>
        <v>I-067-WS-05</v>
      </c>
      <c r="B428" s="214" t="str">
        <f>C428&amp;"-"&amp;D428</f>
        <v>I-067-30</v>
      </c>
      <c r="C428" s="45" t="s">
        <v>558</v>
      </c>
      <c r="D428" s="45">
        <v>30</v>
      </c>
      <c r="E428" s="45" t="s">
        <v>578</v>
      </c>
      <c r="F428" s="42" t="str">
        <f>VLOOKUP(E428, 'S11 Work Stations'!$A$2:$B$45, 2, 0)</f>
        <v>MIL-A2-365</v>
      </c>
      <c r="G428" s="45">
        <v>720</v>
      </c>
      <c r="H428" s="3">
        <v>200</v>
      </c>
    </row>
    <row r="429" spans="1:8" s="44" customFormat="1" x14ac:dyDescent="0.2">
      <c r="A429" s="214" t="str">
        <f>C429&amp;"-"&amp;E429</f>
        <v>I-067-WS-24</v>
      </c>
      <c r="B429" s="214" t="str">
        <f>C429&amp;"-"&amp;D429</f>
        <v>I-067-50</v>
      </c>
      <c r="C429" s="45" t="s">
        <v>558</v>
      </c>
      <c r="D429" s="45">
        <v>50</v>
      </c>
      <c r="E429" s="45" t="s">
        <v>597</v>
      </c>
      <c r="F429" s="42" t="str">
        <f>VLOOKUP(E429, 'S11 Work Stations'!$A$2:$B$45, 2, 0)</f>
        <v>MIL-V5-608</v>
      </c>
      <c r="G429" s="45">
        <v>360</v>
      </c>
      <c r="H429" s="3">
        <v>200</v>
      </c>
    </row>
    <row r="430" spans="1:8" s="44" customFormat="1" x14ac:dyDescent="0.2">
      <c r="A430" s="214" t="str">
        <f>C430&amp;"-"&amp;E430</f>
        <v>I-067-WS-33</v>
      </c>
      <c r="B430" s="214" t="str">
        <f>C430&amp;"-"&amp;D430</f>
        <v>I-067-40</v>
      </c>
      <c r="C430" s="45" t="s">
        <v>558</v>
      </c>
      <c r="D430" s="45">
        <v>40</v>
      </c>
      <c r="E430" s="45" t="s">
        <v>606</v>
      </c>
      <c r="F430" s="42" t="str">
        <f>VLOOKUP(E430, 'S11 Work Stations'!$A$2:$B$45, 2, 0)</f>
        <v>SAW-50-150-252</v>
      </c>
      <c r="G430" s="45">
        <v>120</v>
      </c>
      <c r="H430" s="3">
        <v>200</v>
      </c>
    </row>
    <row r="431" spans="1:8" s="44" customFormat="1" x14ac:dyDescent="0.2">
      <c r="A431" s="214" t="str">
        <f>C431&amp;"-"&amp;E431</f>
        <v>I-067-WS-36</v>
      </c>
      <c r="B431" s="214" t="str">
        <f>C431&amp;"-"&amp;D431</f>
        <v>I-067-20</v>
      </c>
      <c r="C431" s="45" t="s">
        <v>558</v>
      </c>
      <c r="D431" s="45">
        <v>20</v>
      </c>
      <c r="E431" s="45" t="s">
        <v>609</v>
      </c>
      <c r="F431" s="42" t="str">
        <f>VLOOKUP(E431, 'S11 Work Stations'!$A$2:$B$45, 2, 0)</f>
        <v>SAW-10-421</v>
      </c>
      <c r="G431" s="45">
        <v>120</v>
      </c>
      <c r="H431" s="3">
        <v>200</v>
      </c>
    </row>
    <row r="432" spans="1:8" s="44" customFormat="1" x14ac:dyDescent="0.2">
      <c r="A432" s="214" t="str">
        <f>C432&amp;"-"&amp;E432</f>
        <v>I-067-WS-43</v>
      </c>
      <c r="B432" s="214" t="str">
        <f>C432&amp;"-"&amp;D432</f>
        <v>I-067-10</v>
      </c>
      <c r="C432" s="45" t="s">
        <v>558</v>
      </c>
      <c r="D432" s="45">
        <v>10</v>
      </c>
      <c r="E432" s="45" t="s">
        <v>616</v>
      </c>
      <c r="F432" s="42" t="str">
        <f>VLOOKUP(E432, 'S11 Work Stations'!$A$2:$B$45, 2, 0)</f>
        <v>RAW-MAT-INV</v>
      </c>
      <c r="G432" s="45">
        <v>0</v>
      </c>
      <c r="H432" s="3">
        <v>200</v>
      </c>
    </row>
    <row r="433" spans="1:8" s="44" customFormat="1" x14ac:dyDescent="0.2">
      <c r="A433" s="214" t="str">
        <f>C433&amp;"-"&amp;E433</f>
        <v>I-067-WS-44</v>
      </c>
      <c r="B433" s="214" t="str">
        <f>C433&amp;"-"&amp;D433</f>
        <v>I-067-60</v>
      </c>
      <c r="C433" s="45" t="s">
        <v>558</v>
      </c>
      <c r="D433" s="45">
        <v>60</v>
      </c>
      <c r="E433" s="45" t="s">
        <v>617</v>
      </c>
      <c r="F433" s="42" t="str">
        <f>VLOOKUP(E433, 'S11 Work Stations'!$A$2:$B$45, 2, 0)</f>
        <v>FIN-GOOD-INV</v>
      </c>
      <c r="G433" s="45">
        <v>0</v>
      </c>
      <c r="H433" s="3">
        <v>200</v>
      </c>
    </row>
    <row r="434" spans="1:8" s="44" customFormat="1" x14ac:dyDescent="0.2">
      <c r="A434" s="214" t="str">
        <f>C434&amp;"-"&amp;E434</f>
        <v>I-068-WS-05</v>
      </c>
      <c r="B434" s="214" t="str">
        <f>C434&amp;"-"&amp;D434</f>
        <v>I-068-30</v>
      </c>
      <c r="C434" s="45" t="s">
        <v>186</v>
      </c>
      <c r="D434" s="45">
        <v>30</v>
      </c>
      <c r="E434" s="45" t="s">
        <v>578</v>
      </c>
      <c r="F434" s="42" t="str">
        <f>VLOOKUP(E434, 'S11 Work Stations'!$A$2:$B$45, 2, 0)</f>
        <v>MIL-A2-365</v>
      </c>
      <c r="G434" s="45">
        <v>720</v>
      </c>
      <c r="H434" s="3">
        <v>200</v>
      </c>
    </row>
    <row r="435" spans="1:8" s="44" customFormat="1" x14ac:dyDescent="0.2">
      <c r="A435" s="214" t="str">
        <f>C435&amp;"-"&amp;E435</f>
        <v>I-068-WS-25</v>
      </c>
      <c r="B435" s="214" t="str">
        <f>C435&amp;"-"&amp;D435</f>
        <v>I-068-40</v>
      </c>
      <c r="C435" s="45" t="s">
        <v>186</v>
      </c>
      <c r="D435" s="45">
        <v>40</v>
      </c>
      <c r="E435" s="45" t="s">
        <v>598</v>
      </c>
      <c r="F435" s="42" t="str">
        <f>VLOOKUP(E435, 'S11 Work Stations'!$A$2:$B$45, 2, 0)</f>
        <v>DR-2A-201</v>
      </c>
      <c r="G435" s="45">
        <v>120</v>
      </c>
      <c r="H435" s="3">
        <v>200</v>
      </c>
    </row>
    <row r="436" spans="1:8" s="44" customFormat="1" x14ac:dyDescent="0.2">
      <c r="A436" s="214" t="str">
        <f>C436&amp;"-"&amp;E436</f>
        <v>I-068-WS-34</v>
      </c>
      <c r="B436" s="214" t="str">
        <f>C436&amp;"-"&amp;D436</f>
        <v>I-068-50</v>
      </c>
      <c r="C436" s="45" t="s">
        <v>186</v>
      </c>
      <c r="D436" s="45">
        <v>50</v>
      </c>
      <c r="E436" s="45" t="s">
        <v>607</v>
      </c>
      <c r="F436" s="42" t="str">
        <f>VLOOKUP(E436, 'S11 Work Stations'!$A$2:$B$45, 2, 0)</f>
        <v>SAW-30-160-252</v>
      </c>
      <c r="G436" s="45">
        <v>480</v>
      </c>
      <c r="H436" s="3">
        <v>200</v>
      </c>
    </row>
    <row r="437" spans="1:8" s="44" customFormat="1" x14ac:dyDescent="0.2">
      <c r="A437" s="214" t="str">
        <f>C437&amp;"-"&amp;E437</f>
        <v>I-068-WS-36</v>
      </c>
      <c r="B437" s="214" t="str">
        <f>C437&amp;"-"&amp;D437</f>
        <v>I-068-20</v>
      </c>
      <c r="C437" s="45" t="s">
        <v>186</v>
      </c>
      <c r="D437" s="45">
        <v>20</v>
      </c>
      <c r="E437" s="45" t="s">
        <v>609</v>
      </c>
      <c r="F437" s="42" t="str">
        <f>VLOOKUP(E437, 'S11 Work Stations'!$A$2:$B$45, 2, 0)</f>
        <v>SAW-10-421</v>
      </c>
      <c r="G437" s="45">
        <v>120</v>
      </c>
      <c r="H437" s="3">
        <v>200</v>
      </c>
    </row>
    <row r="438" spans="1:8" s="44" customFormat="1" x14ac:dyDescent="0.2">
      <c r="A438" s="214" t="str">
        <f>C438&amp;"-"&amp;E438</f>
        <v>I-068-WS-43</v>
      </c>
      <c r="B438" s="214" t="str">
        <f>C438&amp;"-"&amp;D438</f>
        <v>I-068-10</v>
      </c>
      <c r="C438" s="45" t="s">
        <v>186</v>
      </c>
      <c r="D438" s="45">
        <v>10</v>
      </c>
      <c r="E438" s="45" t="s">
        <v>616</v>
      </c>
      <c r="F438" s="42" t="str">
        <f>VLOOKUP(E438, 'S11 Work Stations'!$A$2:$B$45, 2, 0)</f>
        <v>RAW-MAT-INV</v>
      </c>
      <c r="G438" s="45">
        <v>0</v>
      </c>
      <c r="H438" s="3">
        <v>200</v>
      </c>
    </row>
    <row r="439" spans="1:8" s="44" customFormat="1" x14ac:dyDescent="0.2">
      <c r="A439" s="214" t="str">
        <f>C439&amp;"-"&amp;E439</f>
        <v>I-068-WS-44</v>
      </c>
      <c r="B439" s="214" t="str">
        <f>C439&amp;"-"&amp;D439</f>
        <v>I-068-60</v>
      </c>
      <c r="C439" s="45" t="s">
        <v>186</v>
      </c>
      <c r="D439" s="45">
        <v>60</v>
      </c>
      <c r="E439" s="45" t="s">
        <v>617</v>
      </c>
      <c r="F439" s="42" t="str">
        <f>VLOOKUP(E439, 'S11 Work Stations'!$A$2:$B$45, 2, 0)</f>
        <v>FIN-GOOD-INV</v>
      </c>
      <c r="G439" s="45">
        <v>0</v>
      </c>
      <c r="H439" s="3">
        <v>200</v>
      </c>
    </row>
    <row r="440" spans="1:8" s="44" customFormat="1" x14ac:dyDescent="0.2">
      <c r="A440" s="214" t="str">
        <f>C440&amp;"-"&amp;E440</f>
        <v>I-069-WS-05</v>
      </c>
      <c r="B440" s="214" t="str">
        <f>C440&amp;"-"&amp;D440</f>
        <v>I-069-30</v>
      </c>
      <c r="C440" s="45" t="s">
        <v>194</v>
      </c>
      <c r="D440" s="45">
        <v>30</v>
      </c>
      <c r="E440" s="45" t="s">
        <v>578</v>
      </c>
      <c r="F440" s="42" t="str">
        <f>VLOOKUP(E440, 'S11 Work Stations'!$A$2:$B$45, 2, 0)</f>
        <v>MIL-A2-365</v>
      </c>
      <c r="G440" s="45">
        <v>360</v>
      </c>
      <c r="H440" s="3">
        <v>200</v>
      </c>
    </row>
    <row r="441" spans="1:8" s="44" customFormat="1" x14ac:dyDescent="0.2">
      <c r="A441" s="214" t="str">
        <f>C441&amp;"-"&amp;E441</f>
        <v>I-069-WS-25</v>
      </c>
      <c r="B441" s="214" t="str">
        <f>C441&amp;"-"&amp;D441</f>
        <v>I-069-40</v>
      </c>
      <c r="C441" s="45" t="s">
        <v>194</v>
      </c>
      <c r="D441" s="45">
        <v>40</v>
      </c>
      <c r="E441" s="45" t="s">
        <v>598</v>
      </c>
      <c r="F441" s="42" t="str">
        <f>VLOOKUP(E441, 'S11 Work Stations'!$A$2:$B$45, 2, 0)</f>
        <v>DR-2A-201</v>
      </c>
      <c r="G441" s="45">
        <v>180</v>
      </c>
      <c r="H441" s="3">
        <v>200</v>
      </c>
    </row>
    <row r="442" spans="1:8" s="44" customFormat="1" x14ac:dyDescent="0.2">
      <c r="A442" s="214" t="str">
        <f>C442&amp;"-"&amp;E442</f>
        <v>I-069-WS-34</v>
      </c>
      <c r="B442" s="214" t="str">
        <f>C442&amp;"-"&amp;D442</f>
        <v>I-069-50</v>
      </c>
      <c r="C442" s="45" t="s">
        <v>194</v>
      </c>
      <c r="D442" s="45">
        <v>50</v>
      </c>
      <c r="E442" s="45" t="s">
        <v>607</v>
      </c>
      <c r="F442" s="42" t="str">
        <f>VLOOKUP(E442, 'S11 Work Stations'!$A$2:$B$45, 2, 0)</f>
        <v>SAW-30-160-252</v>
      </c>
      <c r="G442" s="45">
        <v>900</v>
      </c>
      <c r="H442" s="3">
        <v>200</v>
      </c>
    </row>
    <row r="443" spans="1:8" s="44" customFormat="1" x14ac:dyDescent="0.2">
      <c r="A443" s="214" t="str">
        <f>C443&amp;"-"&amp;E443</f>
        <v>I-069-WS-36</v>
      </c>
      <c r="B443" s="214" t="str">
        <f>C443&amp;"-"&amp;D443</f>
        <v>I-069-20</v>
      </c>
      <c r="C443" s="45" t="s">
        <v>194</v>
      </c>
      <c r="D443" s="45">
        <v>20</v>
      </c>
      <c r="E443" s="45" t="s">
        <v>609</v>
      </c>
      <c r="F443" s="42" t="str">
        <f>VLOOKUP(E443, 'S11 Work Stations'!$A$2:$B$45, 2, 0)</f>
        <v>SAW-10-421</v>
      </c>
      <c r="G443" s="45">
        <v>60</v>
      </c>
      <c r="H443" s="3">
        <v>200</v>
      </c>
    </row>
    <row r="444" spans="1:8" s="44" customFormat="1" x14ac:dyDescent="0.2">
      <c r="A444" s="214" t="str">
        <f>C444&amp;"-"&amp;E444</f>
        <v>I-069-WS-43</v>
      </c>
      <c r="B444" s="214" t="str">
        <f>C444&amp;"-"&amp;D444</f>
        <v>I-069-10</v>
      </c>
      <c r="C444" s="45" t="s">
        <v>194</v>
      </c>
      <c r="D444" s="45">
        <v>10</v>
      </c>
      <c r="E444" s="45" t="s">
        <v>616</v>
      </c>
      <c r="F444" s="42" t="str">
        <f>VLOOKUP(E444, 'S11 Work Stations'!$A$2:$B$45, 2, 0)</f>
        <v>RAW-MAT-INV</v>
      </c>
      <c r="G444" s="45">
        <v>0</v>
      </c>
      <c r="H444" s="3">
        <v>200</v>
      </c>
    </row>
    <row r="445" spans="1:8" s="44" customFormat="1" x14ac:dyDescent="0.2">
      <c r="A445" s="214" t="str">
        <f>C445&amp;"-"&amp;E445</f>
        <v>I-069-WS-44</v>
      </c>
      <c r="B445" s="214" t="str">
        <f>C445&amp;"-"&amp;D445</f>
        <v>I-069-60</v>
      </c>
      <c r="C445" s="45" t="s">
        <v>194</v>
      </c>
      <c r="D445" s="45">
        <v>60</v>
      </c>
      <c r="E445" s="45" t="s">
        <v>617</v>
      </c>
      <c r="F445" s="42" t="str">
        <f>VLOOKUP(E445, 'S11 Work Stations'!$A$2:$B$45, 2, 0)</f>
        <v>FIN-GOOD-INV</v>
      </c>
      <c r="G445" s="45">
        <v>0</v>
      </c>
      <c r="H445" s="3">
        <v>200</v>
      </c>
    </row>
    <row r="446" spans="1:8" s="44" customFormat="1" x14ac:dyDescent="0.2">
      <c r="A446" s="214" t="str">
        <f>C446&amp;"-"&amp;E446</f>
        <v>I-070-WS-05</v>
      </c>
      <c r="B446" s="214" t="str">
        <f>C446&amp;"-"&amp;D446</f>
        <v>I-070-30</v>
      </c>
      <c r="C446" s="45" t="s">
        <v>196</v>
      </c>
      <c r="D446" s="45">
        <v>30</v>
      </c>
      <c r="E446" s="45" t="s">
        <v>578</v>
      </c>
      <c r="F446" s="42" t="str">
        <f>VLOOKUP(E446, 'S11 Work Stations'!$A$2:$B$45, 2, 0)</f>
        <v>MIL-A2-365</v>
      </c>
      <c r="G446" s="45">
        <v>540</v>
      </c>
      <c r="H446" s="3">
        <v>200</v>
      </c>
    </row>
    <row r="447" spans="1:8" s="44" customFormat="1" x14ac:dyDescent="0.2">
      <c r="A447" s="214" t="str">
        <f>C447&amp;"-"&amp;E447</f>
        <v>I-070-WS-25</v>
      </c>
      <c r="B447" s="214" t="str">
        <f>C447&amp;"-"&amp;D447</f>
        <v>I-070-40</v>
      </c>
      <c r="C447" s="45" t="s">
        <v>196</v>
      </c>
      <c r="D447" s="45">
        <v>40</v>
      </c>
      <c r="E447" s="45" t="s">
        <v>598</v>
      </c>
      <c r="F447" s="42" t="str">
        <f>VLOOKUP(E447, 'S11 Work Stations'!$A$2:$B$45, 2, 0)</f>
        <v>DR-2A-201</v>
      </c>
      <c r="G447" s="45">
        <v>180</v>
      </c>
      <c r="H447" s="3">
        <v>200</v>
      </c>
    </row>
    <row r="448" spans="1:8" s="44" customFormat="1" x14ac:dyDescent="0.2">
      <c r="A448" s="214" t="str">
        <f>C448&amp;"-"&amp;E448</f>
        <v>I-070-WS-34</v>
      </c>
      <c r="B448" s="214" t="str">
        <f>C448&amp;"-"&amp;D448</f>
        <v>I-070-50</v>
      </c>
      <c r="C448" s="45" t="s">
        <v>196</v>
      </c>
      <c r="D448" s="45">
        <v>50</v>
      </c>
      <c r="E448" s="45" t="s">
        <v>607</v>
      </c>
      <c r="F448" s="42" t="str">
        <f>VLOOKUP(E448, 'S11 Work Stations'!$A$2:$B$45, 2, 0)</f>
        <v>SAW-30-160-252</v>
      </c>
      <c r="G448" s="45">
        <v>240</v>
      </c>
      <c r="H448" s="3">
        <v>200</v>
      </c>
    </row>
    <row r="449" spans="1:8" s="44" customFormat="1" x14ac:dyDescent="0.2">
      <c r="A449" s="214" t="str">
        <f>C449&amp;"-"&amp;E449</f>
        <v>I-070-WS-36</v>
      </c>
      <c r="B449" s="214" t="str">
        <f>C449&amp;"-"&amp;D449</f>
        <v>I-070-20</v>
      </c>
      <c r="C449" s="45" t="s">
        <v>196</v>
      </c>
      <c r="D449" s="45">
        <v>20</v>
      </c>
      <c r="E449" s="45" t="s">
        <v>609</v>
      </c>
      <c r="F449" s="42" t="str">
        <f>VLOOKUP(E449, 'S11 Work Stations'!$A$2:$B$45, 2, 0)</f>
        <v>SAW-10-421</v>
      </c>
      <c r="G449" s="45">
        <v>120</v>
      </c>
      <c r="H449" s="3">
        <v>200</v>
      </c>
    </row>
    <row r="450" spans="1:8" s="44" customFormat="1" x14ac:dyDescent="0.2">
      <c r="A450" s="214" t="str">
        <f>C450&amp;"-"&amp;E450</f>
        <v>I-070-WS-43</v>
      </c>
      <c r="B450" s="214" t="str">
        <f>C450&amp;"-"&amp;D450</f>
        <v>I-070-10</v>
      </c>
      <c r="C450" s="45" t="s">
        <v>196</v>
      </c>
      <c r="D450" s="45">
        <v>10</v>
      </c>
      <c r="E450" s="45" t="s">
        <v>616</v>
      </c>
      <c r="F450" s="42" t="str">
        <f>VLOOKUP(E450, 'S11 Work Stations'!$A$2:$B$45, 2, 0)</f>
        <v>RAW-MAT-INV</v>
      </c>
      <c r="G450" s="45">
        <v>0</v>
      </c>
      <c r="H450" s="3">
        <v>200</v>
      </c>
    </row>
    <row r="451" spans="1:8" s="44" customFormat="1" x14ac:dyDescent="0.2">
      <c r="A451" s="214" t="str">
        <f>C451&amp;"-"&amp;E451</f>
        <v>I-070-WS-44</v>
      </c>
      <c r="B451" s="214" t="str">
        <f>C451&amp;"-"&amp;D451</f>
        <v>I-070-60</v>
      </c>
      <c r="C451" s="45" t="s">
        <v>196</v>
      </c>
      <c r="D451" s="45">
        <v>60</v>
      </c>
      <c r="E451" s="45" t="s">
        <v>617</v>
      </c>
      <c r="F451" s="42" t="str">
        <f>VLOOKUP(E451, 'S11 Work Stations'!$A$2:$B$45, 2, 0)</f>
        <v>FIN-GOOD-INV</v>
      </c>
      <c r="G451" s="45">
        <v>0</v>
      </c>
      <c r="H451" s="3">
        <v>200</v>
      </c>
    </row>
    <row r="452" spans="1:8" s="44" customFormat="1" x14ac:dyDescent="0.2">
      <c r="A452" s="214" t="str">
        <f>C452&amp;"-"&amp;E452</f>
        <v>I-071-WS-05</v>
      </c>
      <c r="B452" s="214" t="str">
        <f>C452&amp;"-"&amp;D452</f>
        <v>I-071-30</v>
      </c>
      <c r="C452" s="45" t="s">
        <v>202</v>
      </c>
      <c r="D452" s="45">
        <v>30</v>
      </c>
      <c r="E452" s="45" t="s">
        <v>578</v>
      </c>
      <c r="F452" s="42" t="str">
        <f>VLOOKUP(E452, 'S11 Work Stations'!$A$2:$B$45, 2, 0)</f>
        <v>MIL-A2-365</v>
      </c>
      <c r="G452" s="45">
        <v>840</v>
      </c>
      <c r="H452" s="3">
        <v>200</v>
      </c>
    </row>
    <row r="453" spans="1:8" s="44" customFormat="1" x14ac:dyDescent="0.2">
      <c r="A453" s="214" t="str">
        <f>C453&amp;"-"&amp;E453</f>
        <v>I-071-WS-25</v>
      </c>
      <c r="B453" s="214" t="str">
        <f>C453&amp;"-"&amp;D453</f>
        <v>I-071-40</v>
      </c>
      <c r="C453" s="45" t="s">
        <v>202</v>
      </c>
      <c r="D453" s="45">
        <v>40</v>
      </c>
      <c r="E453" s="45" t="s">
        <v>598</v>
      </c>
      <c r="F453" s="42" t="str">
        <f>VLOOKUP(E453, 'S11 Work Stations'!$A$2:$B$45, 2, 0)</f>
        <v>DR-2A-201</v>
      </c>
      <c r="G453" s="45">
        <v>840</v>
      </c>
      <c r="H453" s="3">
        <v>200</v>
      </c>
    </row>
    <row r="454" spans="1:8" s="44" customFormat="1" x14ac:dyDescent="0.2">
      <c r="A454" s="214" t="str">
        <f>C454&amp;"-"&amp;E454</f>
        <v>I-071-WS-34</v>
      </c>
      <c r="B454" s="214" t="str">
        <f>C454&amp;"-"&amp;D454</f>
        <v>I-071-50</v>
      </c>
      <c r="C454" s="45" t="s">
        <v>202</v>
      </c>
      <c r="D454" s="45">
        <v>50</v>
      </c>
      <c r="E454" s="45" t="s">
        <v>607</v>
      </c>
      <c r="F454" s="42" t="str">
        <f>VLOOKUP(E454, 'S11 Work Stations'!$A$2:$B$45, 2, 0)</f>
        <v>SAW-30-160-252</v>
      </c>
      <c r="G454" s="45">
        <v>480</v>
      </c>
      <c r="H454" s="3">
        <v>200</v>
      </c>
    </row>
    <row r="455" spans="1:8" s="44" customFormat="1" x14ac:dyDescent="0.2">
      <c r="A455" s="214" t="str">
        <f>C455&amp;"-"&amp;E455</f>
        <v>I-071-WS-36</v>
      </c>
      <c r="B455" s="214" t="str">
        <f>C455&amp;"-"&amp;D455</f>
        <v>I-071-20</v>
      </c>
      <c r="C455" s="45" t="s">
        <v>202</v>
      </c>
      <c r="D455" s="45">
        <v>20</v>
      </c>
      <c r="E455" s="45" t="s">
        <v>609</v>
      </c>
      <c r="F455" s="42" t="str">
        <f>VLOOKUP(E455, 'S11 Work Stations'!$A$2:$B$45, 2, 0)</f>
        <v>SAW-10-421</v>
      </c>
      <c r="G455" s="45">
        <v>60</v>
      </c>
      <c r="H455" s="3">
        <v>200</v>
      </c>
    </row>
    <row r="456" spans="1:8" s="44" customFormat="1" x14ac:dyDescent="0.2">
      <c r="A456" s="214" t="str">
        <f>C456&amp;"-"&amp;E456</f>
        <v>I-071-WS-43</v>
      </c>
      <c r="B456" s="214" t="str">
        <f>C456&amp;"-"&amp;D456</f>
        <v>I-071-10</v>
      </c>
      <c r="C456" s="45" t="s">
        <v>202</v>
      </c>
      <c r="D456" s="45">
        <v>10</v>
      </c>
      <c r="E456" s="45" t="s">
        <v>616</v>
      </c>
      <c r="F456" s="42" t="str">
        <f>VLOOKUP(E456, 'S11 Work Stations'!$A$2:$B$45, 2, 0)</f>
        <v>RAW-MAT-INV</v>
      </c>
      <c r="G456" s="45">
        <v>0</v>
      </c>
      <c r="H456" s="3">
        <v>200</v>
      </c>
    </row>
    <row r="457" spans="1:8" s="44" customFormat="1" x14ac:dyDescent="0.2">
      <c r="A457" s="214" t="str">
        <f>C457&amp;"-"&amp;E457</f>
        <v>I-071-WS-44</v>
      </c>
      <c r="B457" s="214" t="str">
        <f>C457&amp;"-"&amp;D457</f>
        <v>I-071-60</v>
      </c>
      <c r="C457" s="45" t="s">
        <v>202</v>
      </c>
      <c r="D457" s="45">
        <v>60</v>
      </c>
      <c r="E457" s="45" t="s">
        <v>617</v>
      </c>
      <c r="F457" s="42" t="str">
        <f>VLOOKUP(E457, 'S11 Work Stations'!$A$2:$B$45, 2, 0)</f>
        <v>FIN-GOOD-INV</v>
      </c>
      <c r="G457" s="45">
        <v>0</v>
      </c>
      <c r="H457" s="3">
        <v>200</v>
      </c>
    </row>
    <row r="458" spans="1:8" s="44" customFormat="1" x14ac:dyDescent="0.2">
      <c r="A458" s="214" t="str">
        <f>C458&amp;"-"&amp;E458</f>
        <v>I-072-WS-05</v>
      </c>
      <c r="B458" s="214" t="str">
        <f>C458&amp;"-"&amp;D458</f>
        <v>I-072-30</v>
      </c>
      <c r="C458" s="45" t="s">
        <v>221</v>
      </c>
      <c r="D458" s="45">
        <v>30</v>
      </c>
      <c r="E458" s="45" t="s">
        <v>578</v>
      </c>
      <c r="F458" s="42" t="str">
        <f>VLOOKUP(E458, 'S11 Work Stations'!$A$2:$B$45, 2, 0)</f>
        <v>MIL-A2-365</v>
      </c>
      <c r="G458" s="45">
        <v>540</v>
      </c>
      <c r="H458" s="3">
        <v>200</v>
      </c>
    </row>
    <row r="459" spans="1:8" s="44" customFormat="1" x14ac:dyDescent="0.2">
      <c r="A459" s="214" t="str">
        <f>C459&amp;"-"&amp;E459</f>
        <v>I-072-WS-25</v>
      </c>
      <c r="B459" s="214" t="str">
        <f>C459&amp;"-"&amp;D459</f>
        <v>I-072-40</v>
      </c>
      <c r="C459" s="45" t="s">
        <v>221</v>
      </c>
      <c r="D459" s="45">
        <v>40</v>
      </c>
      <c r="E459" s="45" t="s">
        <v>598</v>
      </c>
      <c r="F459" s="42" t="str">
        <f>VLOOKUP(E459, 'S11 Work Stations'!$A$2:$B$45, 2, 0)</f>
        <v>DR-2A-201</v>
      </c>
      <c r="G459" s="45">
        <v>720</v>
      </c>
      <c r="H459" s="3">
        <v>200</v>
      </c>
    </row>
    <row r="460" spans="1:8" s="44" customFormat="1" x14ac:dyDescent="0.2">
      <c r="A460" s="214" t="str">
        <f>C460&amp;"-"&amp;E460</f>
        <v>I-072-WS-34</v>
      </c>
      <c r="B460" s="214" t="str">
        <f>C460&amp;"-"&amp;D460</f>
        <v>I-072-50</v>
      </c>
      <c r="C460" s="45" t="s">
        <v>221</v>
      </c>
      <c r="D460" s="45">
        <v>50</v>
      </c>
      <c r="E460" s="45" t="s">
        <v>607</v>
      </c>
      <c r="F460" s="42" t="str">
        <f>VLOOKUP(E460, 'S11 Work Stations'!$A$2:$B$45, 2, 0)</f>
        <v>SAW-30-160-252</v>
      </c>
      <c r="G460" s="45">
        <v>180</v>
      </c>
      <c r="H460" s="3">
        <v>200</v>
      </c>
    </row>
    <row r="461" spans="1:8" s="44" customFormat="1" x14ac:dyDescent="0.2">
      <c r="A461" s="214" t="str">
        <f>C461&amp;"-"&amp;E461</f>
        <v>I-072-WS-36</v>
      </c>
      <c r="B461" s="214" t="str">
        <f>C461&amp;"-"&amp;D461</f>
        <v>I-072-20</v>
      </c>
      <c r="C461" s="45" t="s">
        <v>221</v>
      </c>
      <c r="D461" s="45">
        <v>20</v>
      </c>
      <c r="E461" s="45" t="s">
        <v>609</v>
      </c>
      <c r="F461" s="42" t="str">
        <f>VLOOKUP(E461, 'S11 Work Stations'!$A$2:$B$45, 2, 0)</f>
        <v>SAW-10-421</v>
      </c>
      <c r="G461" s="45">
        <v>60</v>
      </c>
      <c r="H461" s="3">
        <v>200</v>
      </c>
    </row>
    <row r="462" spans="1:8" s="44" customFormat="1" x14ac:dyDescent="0.2">
      <c r="A462" s="214" t="str">
        <f>C462&amp;"-"&amp;E462</f>
        <v>I-072-WS-43</v>
      </c>
      <c r="B462" s="214" t="str">
        <f>C462&amp;"-"&amp;D462</f>
        <v>I-072-10</v>
      </c>
      <c r="C462" s="45" t="s">
        <v>221</v>
      </c>
      <c r="D462" s="45">
        <v>10</v>
      </c>
      <c r="E462" s="45" t="s">
        <v>616</v>
      </c>
      <c r="F462" s="42" t="str">
        <f>VLOOKUP(E462, 'S11 Work Stations'!$A$2:$B$45, 2, 0)</f>
        <v>RAW-MAT-INV</v>
      </c>
      <c r="G462" s="45">
        <v>0</v>
      </c>
      <c r="H462" s="3">
        <v>200</v>
      </c>
    </row>
    <row r="463" spans="1:8" s="44" customFormat="1" x14ac:dyDescent="0.2">
      <c r="A463" s="214" t="str">
        <f>C463&amp;"-"&amp;E463</f>
        <v>I-072-WS-44</v>
      </c>
      <c r="B463" s="214" t="str">
        <f>C463&amp;"-"&amp;D463</f>
        <v>I-072-60</v>
      </c>
      <c r="C463" s="45" t="s">
        <v>221</v>
      </c>
      <c r="D463" s="45">
        <v>60</v>
      </c>
      <c r="E463" s="45" t="s">
        <v>617</v>
      </c>
      <c r="F463" s="42" t="str">
        <f>VLOOKUP(E463, 'S11 Work Stations'!$A$2:$B$45, 2, 0)</f>
        <v>FIN-GOOD-INV</v>
      </c>
      <c r="G463" s="45">
        <v>0</v>
      </c>
      <c r="H463" s="3">
        <v>200</v>
      </c>
    </row>
    <row r="464" spans="1:8" s="44" customFormat="1" x14ac:dyDescent="0.2">
      <c r="A464" s="214" t="str">
        <f>C464&amp;"-"&amp;E464</f>
        <v>I-073-WS-07</v>
      </c>
      <c r="B464" s="214" t="str">
        <f>C464&amp;"-"&amp;D464</f>
        <v>I-073-30</v>
      </c>
      <c r="C464" s="45" t="s">
        <v>200</v>
      </c>
      <c r="D464" s="45">
        <v>30</v>
      </c>
      <c r="E464" s="45" t="s">
        <v>580</v>
      </c>
      <c r="F464" s="42" t="str">
        <f>VLOOKUP(E464, 'S11 Work Stations'!$A$2:$B$45, 2, 0)</f>
        <v>TUR-C2-367</v>
      </c>
      <c r="G464" s="45">
        <v>540</v>
      </c>
      <c r="H464" s="3">
        <v>200</v>
      </c>
    </row>
    <row r="465" spans="1:8" s="44" customFormat="1" x14ac:dyDescent="0.2">
      <c r="A465" s="214" t="str">
        <f>C465&amp;"-"&amp;E465</f>
        <v>I-073-WS-21</v>
      </c>
      <c r="B465" s="214" t="str">
        <f>C465&amp;"-"&amp;D465</f>
        <v>I-073-40</v>
      </c>
      <c r="C465" s="45" t="s">
        <v>200</v>
      </c>
      <c r="D465" s="45">
        <v>40</v>
      </c>
      <c r="E465" s="45" t="s">
        <v>594</v>
      </c>
      <c r="F465" s="42" t="str">
        <f>VLOOKUP(E465, 'S11 Work Stations'!$A$2:$B$45, 2, 0)</f>
        <v>MIL-U1-605</v>
      </c>
      <c r="G465" s="45">
        <v>180</v>
      </c>
      <c r="H465" s="3">
        <v>200</v>
      </c>
    </row>
    <row r="466" spans="1:8" s="44" customFormat="1" x14ac:dyDescent="0.2">
      <c r="A466" s="214" t="str">
        <f>C466&amp;"-"&amp;E466</f>
        <v>I-073-WS-27</v>
      </c>
      <c r="B466" s="214" t="str">
        <f>C466&amp;"-"&amp;D466</f>
        <v>I-073-60</v>
      </c>
      <c r="C466" s="45" t="s">
        <v>200</v>
      </c>
      <c r="D466" s="45">
        <v>60</v>
      </c>
      <c r="E466" s="45" t="s">
        <v>600</v>
      </c>
      <c r="F466" s="42" t="str">
        <f>VLOOKUP(E466, 'S11 Work Stations'!$A$2:$B$45, 2, 0)</f>
        <v>GR-T1-203</v>
      </c>
      <c r="G466" s="45">
        <v>540</v>
      </c>
      <c r="H466" s="3">
        <v>200</v>
      </c>
    </row>
    <row r="467" spans="1:8" s="44" customFormat="1" x14ac:dyDescent="0.2">
      <c r="A467" s="214" t="str">
        <f>C467&amp;"-"&amp;E467</f>
        <v>I-073-WS-28</v>
      </c>
      <c r="B467" s="214" t="str">
        <f>C467&amp;"-"&amp;D467</f>
        <v>I-073-50</v>
      </c>
      <c r="C467" s="45" t="s">
        <v>200</v>
      </c>
      <c r="D467" s="45">
        <v>50</v>
      </c>
      <c r="E467" s="45" t="s">
        <v>601</v>
      </c>
      <c r="F467" s="42" t="str">
        <f>VLOOKUP(E467, 'S11 Work Stations'!$A$2:$B$45, 2, 0)</f>
        <v>DR-T3-204</v>
      </c>
      <c r="G467" s="45">
        <v>300</v>
      </c>
      <c r="H467" s="3">
        <v>200</v>
      </c>
    </row>
    <row r="468" spans="1:8" s="44" customFormat="1" x14ac:dyDescent="0.2">
      <c r="A468" s="214" t="str">
        <f>C468&amp;"-"&amp;E468</f>
        <v>I-073-WS-32</v>
      </c>
      <c r="B468" s="214" t="str">
        <f>C468&amp;"-"&amp;D468</f>
        <v>I-073-70</v>
      </c>
      <c r="C468" s="45" t="s">
        <v>200</v>
      </c>
      <c r="D468" s="45">
        <v>70</v>
      </c>
      <c r="E468" s="45" t="s">
        <v>605</v>
      </c>
      <c r="F468" s="42" t="str">
        <f>VLOOKUP(E468, 'S11 Work Stations'!$A$2:$B$45, 2, 0)</f>
        <v>SAW-30-150-251</v>
      </c>
      <c r="G468" s="45">
        <v>180</v>
      </c>
      <c r="H468" s="3">
        <v>200</v>
      </c>
    </row>
    <row r="469" spans="1:8" s="44" customFormat="1" x14ac:dyDescent="0.2">
      <c r="A469" s="214" t="str">
        <f>C469&amp;"-"&amp;E469</f>
        <v>I-073-WS-38</v>
      </c>
      <c r="B469" s="214" t="str">
        <f>C469&amp;"-"&amp;D469</f>
        <v>I-073-20</v>
      </c>
      <c r="C469" s="45" t="s">
        <v>200</v>
      </c>
      <c r="D469" s="45">
        <v>20</v>
      </c>
      <c r="E469" s="45" t="s">
        <v>611</v>
      </c>
      <c r="F469" s="42" t="str">
        <f>VLOOKUP(E469, 'S11 Work Stations'!$A$2:$B$45, 2, 0)</f>
        <v>SAW-150-423</v>
      </c>
      <c r="G469" s="45">
        <v>120</v>
      </c>
      <c r="H469" s="3">
        <v>200</v>
      </c>
    </row>
    <row r="470" spans="1:8" s="44" customFormat="1" x14ac:dyDescent="0.2">
      <c r="A470" s="214" t="str">
        <f>C470&amp;"-"&amp;E470</f>
        <v>I-073-WS-43</v>
      </c>
      <c r="B470" s="214" t="str">
        <f>C470&amp;"-"&amp;D470</f>
        <v>I-073-10</v>
      </c>
      <c r="C470" s="45" t="s">
        <v>200</v>
      </c>
      <c r="D470" s="45">
        <v>10</v>
      </c>
      <c r="E470" s="45" t="s">
        <v>616</v>
      </c>
      <c r="F470" s="42" t="str">
        <f>VLOOKUP(E470, 'S11 Work Stations'!$A$2:$B$45, 2, 0)</f>
        <v>RAW-MAT-INV</v>
      </c>
      <c r="G470" s="45">
        <v>0</v>
      </c>
      <c r="H470" s="3">
        <v>200</v>
      </c>
    </row>
    <row r="471" spans="1:8" s="44" customFormat="1" x14ac:dyDescent="0.2">
      <c r="A471" s="214" t="str">
        <f>C471&amp;"-"&amp;E471</f>
        <v>I-073-WS-44</v>
      </c>
      <c r="B471" s="214" t="str">
        <f>C471&amp;"-"&amp;D471</f>
        <v>I-073-80</v>
      </c>
      <c r="C471" s="45" t="s">
        <v>200</v>
      </c>
      <c r="D471" s="45">
        <v>80</v>
      </c>
      <c r="E471" s="45" t="s">
        <v>617</v>
      </c>
      <c r="F471" s="42" t="str">
        <f>VLOOKUP(E471, 'S11 Work Stations'!$A$2:$B$45, 2, 0)</f>
        <v>FIN-GOOD-INV</v>
      </c>
      <c r="G471" s="45">
        <v>0</v>
      </c>
      <c r="H471" s="3">
        <v>200</v>
      </c>
    </row>
    <row r="472" spans="1:8" s="44" customFormat="1" x14ac:dyDescent="0.2">
      <c r="A472" s="214" t="str">
        <f>C472&amp;"-"&amp;E472</f>
        <v>I-074-WS-07</v>
      </c>
      <c r="B472" s="214" t="str">
        <f>C472&amp;"-"&amp;D472</f>
        <v>I-074-30</v>
      </c>
      <c r="C472" s="45" t="s">
        <v>205</v>
      </c>
      <c r="D472" s="45">
        <v>30</v>
      </c>
      <c r="E472" s="45" t="s">
        <v>580</v>
      </c>
      <c r="F472" s="42" t="str">
        <f>VLOOKUP(E472, 'S11 Work Stations'!$A$2:$B$45, 2, 0)</f>
        <v>TUR-C2-367</v>
      </c>
      <c r="G472" s="45">
        <v>840</v>
      </c>
      <c r="H472" s="3">
        <v>50</v>
      </c>
    </row>
    <row r="473" spans="1:8" s="44" customFormat="1" x14ac:dyDescent="0.2">
      <c r="A473" s="214" t="str">
        <f>C473&amp;"-"&amp;E473</f>
        <v>I-074-WS-21</v>
      </c>
      <c r="B473" s="214" t="str">
        <f>C473&amp;"-"&amp;D473</f>
        <v>I-074-40</v>
      </c>
      <c r="C473" s="45" t="s">
        <v>205</v>
      </c>
      <c r="D473" s="45">
        <v>40</v>
      </c>
      <c r="E473" s="45" t="s">
        <v>594</v>
      </c>
      <c r="F473" s="42" t="str">
        <f>VLOOKUP(E473, 'S11 Work Stations'!$A$2:$B$45, 2, 0)</f>
        <v>MIL-U1-605</v>
      </c>
      <c r="G473" s="45">
        <v>180</v>
      </c>
      <c r="H473" s="3">
        <v>50</v>
      </c>
    </row>
    <row r="474" spans="1:8" s="44" customFormat="1" x14ac:dyDescent="0.2">
      <c r="A474" s="214" t="str">
        <f>C474&amp;"-"&amp;E474</f>
        <v>I-074-WS-27</v>
      </c>
      <c r="B474" s="214" t="str">
        <f>C474&amp;"-"&amp;D474</f>
        <v>I-074-60</v>
      </c>
      <c r="C474" s="45" t="s">
        <v>205</v>
      </c>
      <c r="D474" s="45">
        <v>60</v>
      </c>
      <c r="E474" s="45" t="s">
        <v>600</v>
      </c>
      <c r="F474" s="42" t="str">
        <f>VLOOKUP(E474, 'S11 Work Stations'!$A$2:$B$45, 2, 0)</f>
        <v>GR-T1-203</v>
      </c>
      <c r="G474" s="45">
        <v>480</v>
      </c>
      <c r="H474" s="3">
        <v>50</v>
      </c>
    </row>
    <row r="475" spans="1:8" s="44" customFormat="1" x14ac:dyDescent="0.2">
      <c r="A475" s="214" t="str">
        <f>C475&amp;"-"&amp;E475</f>
        <v>I-074-WS-28</v>
      </c>
      <c r="B475" s="214" t="str">
        <f>C475&amp;"-"&amp;D475</f>
        <v>I-074-50</v>
      </c>
      <c r="C475" s="45" t="s">
        <v>205</v>
      </c>
      <c r="D475" s="45">
        <v>50</v>
      </c>
      <c r="E475" s="45" t="s">
        <v>601</v>
      </c>
      <c r="F475" s="42" t="str">
        <f>VLOOKUP(E475, 'S11 Work Stations'!$A$2:$B$45, 2, 0)</f>
        <v>DR-T3-204</v>
      </c>
      <c r="G475" s="45">
        <v>300</v>
      </c>
      <c r="H475" s="3">
        <v>50</v>
      </c>
    </row>
    <row r="476" spans="1:8" s="44" customFormat="1" x14ac:dyDescent="0.2">
      <c r="A476" s="214" t="str">
        <f>C476&amp;"-"&amp;E476</f>
        <v>I-074-WS-32</v>
      </c>
      <c r="B476" s="214" t="str">
        <f>C476&amp;"-"&amp;D476</f>
        <v>I-074-70</v>
      </c>
      <c r="C476" s="45" t="s">
        <v>205</v>
      </c>
      <c r="D476" s="45">
        <v>70</v>
      </c>
      <c r="E476" s="45" t="s">
        <v>605</v>
      </c>
      <c r="F476" s="42" t="str">
        <f>VLOOKUP(E476, 'S11 Work Stations'!$A$2:$B$45, 2, 0)</f>
        <v>SAW-30-150-251</v>
      </c>
      <c r="G476" s="45">
        <v>300</v>
      </c>
      <c r="H476" s="3">
        <v>50</v>
      </c>
    </row>
    <row r="477" spans="1:8" s="44" customFormat="1" x14ac:dyDescent="0.2">
      <c r="A477" s="214" t="str">
        <f>C477&amp;"-"&amp;E477</f>
        <v>I-074-WS-38</v>
      </c>
      <c r="B477" s="214" t="str">
        <f>C477&amp;"-"&amp;D477</f>
        <v>I-074-20</v>
      </c>
      <c r="C477" s="45" t="s">
        <v>205</v>
      </c>
      <c r="D477" s="45">
        <v>20</v>
      </c>
      <c r="E477" s="45" t="s">
        <v>611</v>
      </c>
      <c r="F477" s="42" t="str">
        <f>VLOOKUP(E477, 'S11 Work Stations'!$A$2:$B$45, 2, 0)</f>
        <v>SAW-150-423</v>
      </c>
      <c r="G477" s="45">
        <v>120</v>
      </c>
      <c r="H477" s="3">
        <v>50</v>
      </c>
    </row>
    <row r="478" spans="1:8" s="44" customFormat="1" x14ac:dyDescent="0.2">
      <c r="A478" s="214" t="str">
        <f>C478&amp;"-"&amp;E478</f>
        <v>I-074-WS-43</v>
      </c>
      <c r="B478" s="214" t="str">
        <f>C478&amp;"-"&amp;D478</f>
        <v>I-074-10</v>
      </c>
      <c r="C478" s="45" t="s">
        <v>205</v>
      </c>
      <c r="D478" s="45">
        <v>10</v>
      </c>
      <c r="E478" s="45" t="s">
        <v>616</v>
      </c>
      <c r="F478" s="42" t="str">
        <f>VLOOKUP(E478, 'S11 Work Stations'!$A$2:$B$45, 2, 0)</f>
        <v>RAW-MAT-INV</v>
      </c>
      <c r="G478" s="45">
        <v>0</v>
      </c>
      <c r="H478" s="3">
        <v>50</v>
      </c>
    </row>
    <row r="479" spans="1:8" s="44" customFormat="1" x14ac:dyDescent="0.2">
      <c r="A479" s="214" t="str">
        <f>C479&amp;"-"&amp;E479</f>
        <v>I-074-WS-44</v>
      </c>
      <c r="B479" s="214" t="str">
        <f>C479&amp;"-"&amp;D479</f>
        <v>I-074-80</v>
      </c>
      <c r="C479" s="45" t="s">
        <v>205</v>
      </c>
      <c r="D479" s="45">
        <v>80</v>
      </c>
      <c r="E479" s="45" t="s">
        <v>617</v>
      </c>
      <c r="F479" s="42" t="str">
        <f>VLOOKUP(E479, 'S11 Work Stations'!$A$2:$B$45, 2, 0)</f>
        <v>FIN-GOOD-INV</v>
      </c>
      <c r="G479" s="45">
        <v>0</v>
      </c>
      <c r="H479" s="3">
        <v>50</v>
      </c>
    </row>
    <row r="480" spans="1:8" s="44" customFormat="1" x14ac:dyDescent="0.2">
      <c r="A480" s="214" t="str">
        <f>C480&amp;"-"&amp;E480</f>
        <v>I-075-WS-01</v>
      </c>
      <c r="B480" s="214" t="str">
        <f>C480&amp;"-"&amp;D480</f>
        <v>I-075-30</v>
      </c>
      <c r="C480" s="45" t="s">
        <v>559</v>
      </c>
      <c r="D480" s="45">
        <v>30</v>
      </c>
      <c r="E480" s="45" t="s">
        <v>574</v>
      </c>
      <c r="F480" s="42" t="str">
        <f>VLOOKUP(E480, 'S11 Work Stations'!$A$2:$B$45, 2, 0)</f>
        <v>MIL-AB-361</v>
      </c>
      <c r="G480" s="45">
        <v>960</v>
      </c>
      <c r="H480" s="3">
        <v>50</v>
      </c>
    </row>
    <row r="481" spans="1:8" s="44" customFormat="1" x14ac:dyDescent="0.2">
      <c r="A481" s="214" t="str">
        <f>C481&amp;"-"&amp;E481</f>
        <v>I-075-WS-23</v>
      </c>
      <c r="B481" s="214" t="str">
        <f>C481&amp;"-"&amp;D481</f>
        <v>I-075-50</v>
      </c>
      <c r="C481" s="45" t="s">
        <v>559</v>
      </c>
      <c r="D481" s="45">
        <v>50</v>
      </c>
      <c r="E481" s="45" t="s">
        <v>596</v>
      </c>
      <c r="F481" s="42" t="str">
        <f>VLOOKUP(E481, 'S11 Work Stations'!$A$2:$B$45, 2, 0)</f>
        <v>MIL-U2-607</v>
      </c>
      <c r="G481" s="45">
        <v>720</v>
      </c>
      <c r="H481" s="3">
        <v>200</v>
      </c>
    </row>
    <row r="482" spans="1:8" s="44" customFormat="1" x14ac:dyDescent="0.2">
      <c r="A482" s="214" t="str">
        <f>C482&amp;"-"&amp;E482</f>
        <v>I-075-WS-28</v>
      </c>
      <c r="B482" s="214" t="str">
        <f>C482&amp;"-"&amp;D482</f>
        <v>I-075-40</v>
      </c>
      <c r="C482" s="45" t="s">
        <v>559</v>
      </c>
      <c r="D482" s="45">
        <v>40</v>
      </c>
      <c r="E482" s="45" t="s">
        <v>601</v>
      </c>
      <c r="F482" s="42" t="str">
        <f>VLOOKUP(E482, 'S11 Work Stations'!$A$2:$B$45, 2, 0)</f>
        <v>DR-T3-204</v>
      </c>
      <c r="G482" s="45">
        <v>480</v>
      </c>
      <c r="H482" s="3">
        <v>200</v>
      </c>
    </row>
    <row r="483" spans="1:8" s="44" customFormat="1" x14ac:dyDescent="0.2">
      <c r="A483" s="214" t="str">
        <f>C483&amp;"-"&amp;E483</f>
        <v>I-075-WS-32</v>
      </c>
      <c r="B483" s="214" t="str">
        <f>C483&amp;"-"&amp;D483</f>
        <v>I-075-60</v>
      </c>
      <c r="C483" s="45" t="s">
        <v>559</v>
      </c>
      <c r="D483" s="45">
        <v>60</v>
      </c>
      <c r="E483" s="45" t="s">
        <v>605</v>
      </c>
      <c r="F483" s="42" t="str">
        <f>VLOOKUP(E483, 'S11 Work Stations'!$A$2:$B$45, 2, 0)</f>
        <v>SAW-30-150-251</v>
      </c>
      <c r="G483" s="45">
        <v>720</v>
      </c>
      <c r="H483" s="3">
        <v>200</v>
      </c>
    </row>
    <row r="484" spans="1:8" s="44" customFormat="1" x14ac:dyDescent="0.2">
      <c r="A484" s="214" t="str">
        <f>C484&amp;"-"&amp;E484</f>
        <v>I-075-WS-38</v>
      </c>
      <c r="B484" s="214" t="str">
        <f>C484&amp;"-"&amp;D484</f>
        <v>I-075-20</v>
      </c>
      <c r="C484" s="45" t="s">
        <v>559</v>
      </c>
      <c r="D484" s="45">
        <v>20</v>
      </c>
      <c r="E484" s="45" t="s">
        <v>611</v>
      </c>
      <c r="F484" s="42" t="str">
        <f>VLOOKUP(E484, 'S11 Work Stations'!$A$2:$B$45, 2, 0)</f>
        <v>SAW-150-423</v>
      </c>
      <c r="G484" s="45">
        <v>120</v>
      </c>
      <c r="H484" s="3">
        <v>200</v>
      </c>
    </row>
    <row r="485" spans="1:8" s="44" customFormat="1" x14ac:dyDescent="0.2">
      <c r="A485" s="214" t="str">
        <f>C485&amp;"-"&amp;E485</f>
        <v>I-075-WS-42</v>
      </c>
      <c r="B485" s="214" t="str">
        <f>C485&amp;"-"&amp;D485</f>
        <v>I-075-70</v>
      </c>
      <c r="C485" s="45" t="s">
        <v>559</v>
      </c>
      <c r="D485" s="45">
        <v>70</v>
      </c>
      <c r="E485" s="45" t="s">
        <v>615</v>
      </c>
      <c r="F485" s="42" t="str">
        <f>VLOOKUP(E485, 'S11 Work Stations'!$A$2:$B$45, 2, 0)</f>
        <v>TEMP-A01-202</v>
      </c>
      <c r="G485" s="45">
        <v>300</v>
      </c>
      <c r="H485" s="3">
        <v>200</v>
      </c>
    </row>
    <row r="486" spans="1:8" s="44" customFormat="1" x14ac:dyDescent="0.2">
      <c r="A486" s="214" t="str">
        <f>C486&amp;"-"&amp;E486</f>
        <v>I-075-WS-43</v>
      </c>
      <c r="B486" s="214" t="str">
        <f>C486&amp;"-"&amp;D486</f>
        <v>I-075-10</v>
      </c>
      <c r="C486" s="45" t="s">
        <v>559</v>
      </c>
      <c r="D486" s="45">
        <v>10</v>
      </c>
      <c r="E486" s="45" t="s">
        <v>616</v>
      </c>
      <c r="F486" s="42" t="str">
        <f>VLOOKUP(E486, 'S11 Work Stations'!$A$2:$B$45, 2, 0)</f>
        <v>RAW-MAT-INV</v>
      </c>
      <c r="G486" s="45">
        <v>0</v>
      </c>
      <c r="H486" s="3">
        <v>200</v>
      </c>
    </row>
    <row r="487" spans="1:8" s="44" customFormat="1" x14ac:dyDescent="0.2">
      <c r="A487" s="214" t="str">
        <f>C487&amp;"-"&amp;E487</f>
        <v>I-075-WS-44</v>
      </c>
      <c r="B487" s="214" t="str">
        <f>C487&amp;"-"&amp;D487</f>
        <v>I-075-80</v>
      </c>
      <c r="C487" s="45" t="s">
        <v>559</v>
      </c>
      <c r="D487" s="45">
        <v>80</v>
      </c>
      <c r="E487" s="45" t="s">
        <v>617</v>
      </c>
      <c r="F487" s="42" t="str">
        <f>VLOOKUP(E487, 'S11 Work Stations'!$A$2:$B$45, 2, 0)</f>
        <v>FIN-GOOD-INV</v>
      </c>
      <c r="G487" s="45">
        <v>0</v>
      </c>
      <c r="H487" s="3">
        <v>200</v>
      </c>
    </row>
    <row r="488" spans="1:8" s="44" customFormat="1" x14ac:dyDescent="0.2">
      <c r="A488" s="214" t="str">
        <f>C488&amp;"-"&amp;E488</f>
        <v>I-076-WS-01</v>
      </c>
      <c r="B488" s="214" t="str">
        <f>C488&amp;"-"&amp;D488</f>
        <v>I-076-30</v>
      </c>
      <c r="C488" s="45" t="s">
        <v>560</v>
      </c>
      <c r="D488" s="45">
        <v>30</v>
      </c>
      <c r="E488" s="45" t="s">
        <v>574</v>
      </c>
      <c r="F488" s="42" t="str">
        <f>VLOOKUP(E488, 'S11 Work Stations'!$A$2:$B$45, 2, 0)</f>
        <v>MIL-AB-361</v>
      </c>
      <c r="G488" s="45">
        <v>1020</v>
      </c>
      <c r="H488" s="3">
        <v>200</v>
      </c>
    </row>
    <row r="489" spans="1:8" s="44" customFormat="1" x14ac:dyDescent="0.2">
      <c r="A489" s="214" t="str">
        <f>C489&amp;"-"&amp;E489</f>
        <v>I-076-WS-23</v>
      </c>
      <c r="B489" s="214" t="str">
        <f>C489&amp;"-"&amp;D489</f>
        <v>I-076-50</v>
      </c>
      <c r="C489" s="45" t="s">
        <v>560</v>
      </c>
      <c r="D489" s="45">
        <v>50</v>
      </c>
      <c r="E489" s="45" t="s">
        <v>596</v>
      </c>
      <c r="F489" s="42" t="str">
        <f>VLOOKUP(E489, 'S11 Work Stations'!$A$2:$B$45, 2, 0)</f>
        <v>MIL-U2-607</v>
      </c>
      <c r="G489" s="45">
        <v>360</v>
      </c>
      <c r="H489" s="3">
        <v>200</v>
      </c>
    </row>
    <row r="490" spans="1:8" s="44" customFormat="1" x14ac:dyDescent="0.2">
      <c r="A490" s="214" t="str">
        <f>C490&amp;"-"&amp;E490</f>
        <v>I-076-WS-28</v>
      </c>
      <c r="B490" s="214" t="str">
        <f>C490&amp;"-"&amp;D490</f>
        <v>I-076-40</v>
      </c>
      <c r="C490" s="45" t="s">
        <v>560</v>
      </c>
      <c r="D490" s="45">
        <v>40</v>
      </c>
      <c r="E490" s="45" t="s">
        <v>601</v>
      </c>
      <c r="F490" s="42" t="str">
        <f>VLOOKUP(E490, 'S11 Work Stations'!$A$2:$B$45, 2, 0)</f>
        <v>DR-T3-204</v>
      </c>
      <c r="G490" s="45">
        <v>480</v>
      </c>
      <c r="H490" s="3">
        <v>200</v>
      </c>
    </row>
    <row r="491" spans="1:8" s="44" customFormat="1" x14ac:dyDescent="0.2">
      <c r="A491" s="214" t="str">
        <f>C491&amp;"-"&amp;E491</f>
        <v>I-076-WS-32</v>
      </c>
      <c r="B491" s="214" t="str">
        <f>C491&amp;"-"&amp;D491</f>
        <v>I-076-60</v>
      </c>
      <c r="C491" s="45" t="s">
        <v>560</v>
      </c>
      <c r="D491" s="45">
        <v>60</v>
      </c>
      <c r="E491" s="45" t="s">
        <v>605</v>
      </c>
      <c r="F491" s="42" t="str">
        <f>VLOOKUP(E491, 'S11 Work Stations'!$A$2:$B$45, 2, 0)</f>
        <v>SAW-30-150-251</v>
      </c>
      <c r="G491" s="45">
        <v>720</v>
      </c>
      <c r="H491" s="3">
        <v>200</v>
      </c>
    </row>
    <row r="492" spans="1:8" s="44" customFormat="1" x14ac:dyDescent="0.2">
      <c r="A492" s="214" t="str">
        <f>C492&amp;"-"&amp;E492</f>
        <v>I-076-WS-38</v>
      </c>
      <c r="B492" s="214" t="str">
        <f>C492&amp;"-"&amp;D492</f>
        <v>I-076-20</v>
      </c>
      <c r="C492" s="45" t="s">
        <v>560</v>
      </c>
      <c r="D492" s="45">
        <v>20</v>
      </c>
      <c r="E492" s="45" t="s">
        <v>611</v>
      </c>
      <c r="F492" s="42" t="str">
        <f>VLOOKUP(E492, 'S11 Work Stations'!$A$2:$B$45, 2, 0)</f>
        <v>SAW-150-423</v>
      </c>
      <c r="G492" s="45">
        <v>180</v>
      </c>
      <c r="H492" s="3">
        <v>200</v>
      </c>
    </row>
    <row r="493" spans="1:8" s="44" customFormat="1" x14ac:dyDescent="0.2">
      <c r="A493" s="214" t="str">
        <f>C493&amp;"-"&amp;E493</f>
        <v>I-076-WS-42</v>
      </c>
      <c r="B493" s="214" t="str">
        <f>C493&amp;"-"&amp;D493</f>
        <v>I-076-70</v>
      </c>
      <c r="C493" s="45" t="s">
        <v>560</v>
      </c>
      <c r="D493" s="45">
        <v>70</v>
      </c>
      <c r="E493" s="45" t="s">
        <v>615</v>
      </c>
      <c r="F493" s="42" t="str">
        <f>VLOOKUP(E493, 'S11 Work Stations'!$A$2:$B$45, 2, 0)</f>
        <v>TEMP-A01-202</v>
      </c>
      <c r="G493" s="45">
        <v>300</v>
      </c>
      <c r="H493" s="3">
        <v>200</v>
      </c>
    </row>
    <row r="494" spans="1:8" s="44" customFormat="1" x14ac:dyDescent="0.2">
      <c r="A494" s="214" t="str">
        <f>C494&amp;"-"&amp;E494</f>
        <v>I-076-WS-43</v>
      </c>
      <c r="B494" s="214" t="str">
        <f>C494&amp;"-"&amp;D494</f>
        <v>I-076-10</v>
      </c>
      <c r="C494" s="45" t="s">
        <v>560</v>
      </c>
      <c r="D494" s="45">
        <v>10</v>
      </c>
      <c r="E494" s="45" t="s">
        <v>616</v>
      </c>
      <c r="F494" s="42" t="str">
        <f>VLOOKUP(E494, 'S11 Work Stations'!$A$2:$B$45, 2, 0)</f>
        <v>RAW-MAT-INV</v>
      </c>
      <c r="G494" s="45">
        <v>0</v>
      </c>
      <c r="H494" s="3">
        <v>200</v>
      </c>
    </row>
    <row r="495" spans="1:8" s="44" customFormat="1" x14ac:dyDescent="0.2">
      <c r="A495" s="214" t="str">
        <f>C495&amp;"-"&amp;E495</f>
        <v>I-076-WS-44</v>
      </c>
      <c r="B495" s="214" t="str">
        <f>C495&amp;"-"&amp;D495</f>
        <v>I-076-80</v>
      </c>
      <c r="C495" s="45" t="s">
        <v>560</v>
      </c>
      <c r="D495" s="45">
        <v>80</v>
      </c>
      <c r="E495" s="45" t="s">
        <v>617</v>
      </c>
      <c r="F495" s="42" t="str">
        <f>VLOOKUP(E495, 'S11 Work Stations'!$A$2:$B$45, 2, 0)</f>
        <v>FIN-GOOD-INV</v>
      </c>
      <c r="G495" s="45">
        <v>0</v>
      </c>
      <c r="H495" s="3">
        <v>200</v>
      </c>
    </row>
    <row r="496" spans="1:8" s="44" customFormat="1" x14ac:dyDescent="0.2">
      <c r="A496" s="214" t="str">
        <f>C496&amp;"-"&amp;E496</f>
        <v>I-077-WS-02</v>
      </c>
      <c r="B496" s="214" t="str">
        <f>C496&amp;"-"&amp;D496</f>
        <v>I-077-30</v>
      </c>
      <c r="C496" s="45" t="s">
        <v>561</v>
      </c>
      <c r="D496" s="45">
        <v>30</v>
      </c>
      <c r="E496" s="45" t="s">
        <v>575</v>
      </c>
      <c r="F496" s="42" t="str">
        <f>VLOOKUP(E496, 'S11 Work Stations'!$A$2:$B$45, 2, 0)</f>
        <v>TUR-B2-362</v>
      </c>
      <c r="G496" s="45">
        <v>360</v>
      </c>
      <c r="H496" s="3">
        <v>200</v>
      </c>
    </row>
    <row r="497" spans="1:8" s="44" customFormat="1" x14ac:dyDescent="0.2">
      <c r="A497" s="214" t="str">
        <f>C497&amp;"-"&amp;E497</f>
        <v>I-077-WS-23</v>
      </c>
      <c r="B497" s="214" t="str">
        <f>C497&amp;"-"&amp;D497</f>
        <v>I-077-50</v>
      </c>
      <c r="C497" s="45" t="s">
        <v>561</v>
      </c>
      <c r="D497" s="45">
        <v>50</v>
      </c>
      <c r="E497" s="45" t="s">
        <v>596</v>
      </c>
      <c r="F497" s="42" t="str">
        <f>VLOOKUP(E497, 'S11 Work Stations'!$A$2:$B$45, 2, 0)</f>
        <v>MIL-U2-607</v>
      </c>
      <c r="G497" s="45">
        <v>360</v>
      </c>
      <c r="H497" s="3">
        <v>200</v>
      </c>
    </row>
    <row r="498" spans="1:8" s="44" customFormat="1" x14ac:dyDescent="0.2">
      <c r="A498" s="214" t="str">
        <f>C498&amp;"-"&amp;E498</f>
        <v>I-077-WS-26</v>
      </c>
      <c r="B498" s="214" t="str">
        <f>C498&amp;"-"&amp;D498</f>
        <v>I-077-40</v>
      </c>
      <c r="C498" s="45" t="s">
        <v>561</v>
      </c>
      <c r="D498" s="45">
        <v>40</v>
      </c>
      <c r="E498" s="45" t="s">
        <v>599</v>
      </c>
      <c r="F498" s="42" t="str">
        <f>VLOOKUP(E498, 'S11 Work Stations'!$A$2:$B$45, 2, 0)</f>
        <v>DR-2A2-202</v>
      </c>
      <c r="G498" s="45">
        <v>180</v>
      </c>
      <c r="H498" s="3">
        <v>200</v>
      </c>
    </row>
    <row r="499" spans="1:8" s="44" customFormat="1" x14ac:dyDescent="0.2">
      <c r="A499" s="214" t="str">
        <f>C499&amp;"-"&amp;E499</f>
        <v>I-077-WS-38</v>
      </c>
      <c r="B499" s="214" t="str">
        <f>C499&amp;"-"&amp;D499</f>
        <v>I-077-20</v>
      </c>
      <c r="C499" s="45" t="s">
        <v>561</v>
      </c>
      <c r="D499" s="45">
        <v>20</v>
      </c>
      <c r="E499" s="45" t="s">
        <v>611</v>
      </c>
      <c r="F499" s="42" t="str">
        <f>VLOOKUP(E499, 'S11 Work Stations'!$A$2:$B$45, 2, 0)</f>
        <v>SAW-150-423</v>
      </c>
      <c r="G499" s="45">
        <v>180</v>
      </c>
      <c r="H499" s="3">
        <v>200</v>
      </c>
    </row>
    <row r="500" spans="1:8" s="44" customFormat="1" x14ac:dyDescent="0.2">
      <c r="A500" s="214" t="str">
        <f>C500&amp;"-"&amp;E500</f>
        <v>I-077-WS-43</v>
      </c>
      <c r="B500" s="214" t="str">
        <f>C500&amp;"-"&amp;D500</f>
        <v>I-077-10</v>
      </c>
      <c r="C500" s="45" t="s">
        <v>561</v>
      </c>
      <c r="D500" s="45">
        <v>10</v>
      </c>
      <c r="E500" s="45" t="s">
        <v>616</v>
      </c>
      <c r="F500" s="42" t="str">
        <f>VLOOKUP(E500, 'S11 Work Stations'!$A$2:$B$45, 2, 0)</f>
        <v>RAW-MAT-INV</v>
      </c>
      <c r="G500" s="45">
        <v>0</v>
      </c>
      <c r="H500" s="3">
        <v>200</v>
      </c>
    </row>
    <row r="501" spans="1:8" s="44" customFormat="1" x14ac:dyDescent="0.2">
      <c r="A501" s="214" t="str">
        <f>C501&amp;"-"&amp;E501</f>
        <v>I-077-WS-44</v>
      </c>
      <c r="B501" s="214" t="str">
        <f>C501&amp;"-"&amp;D501</f>
        <v>I-077-60</v>
      </c>
      <c r="C501" s="45" t="s">
        <v>561</v>
      </c>
      <c r="D501" s="45">
        <v>60</v>
      </c>
      <c r="E501" s="45" t="s">
        <v>617</v>
      </c>
      <c r="F501" s="42" t="str">
        <f>VLOOKUP(E501, 'S11 Work Stations'!$A$2:$B$45, 2, 0)</f>
        <v>FIN-GOOD-INV</v>
      </c>
      <c r="G501" s="45">
        <v>0</v>
      </c>
      <c r="H501" s="3">
        <v>200</v>
      </c>
    </row>
    <row r="502" spans="1:8" s="44" customFormat="1" x14ac:dyDescent="0.2">
      <c r="A502" s="214" t="str">
        <f>C502&amp;"-"&amp;E502</f>
        <v>I-078-WS-02</v>
      </c>
      <c r="B502" s="214" t="str">
        <f>C502&amp;"-"&amp;D502</f>
        <v>I-078-30</v>
      </c>
      <c r="C502" s="45" t="s">
        <v>562</v>
      </c>
      <c r="D502" s="45">
        <v>30</v>
      </c>
      <c r="E502" s="45" t="s">
        <v>575</v>
      </c>
      <c r="F502" s="42" t="str">
        <f>VLOOKUP(E502, 'S11 Work Stations'!$A$2:$B$45, 2, 0)</f>
        <v>TUR-B2-362</v>
      </c>
      <c r="G502" s="45">
        <v>480</v>
      </c>
      <c r="H502" s="3">
        <v>200</v>
      </c>
    </row>
    <row r="503" spans="1:8" s="44" customFormat="1" x14ac:dyDescent="0.2">
      <c r="A503" s="214" t="str">
        <f>C503&amp;"-"&amp;E503</f>
        <v>I-078-WS-23</v>
      </c>
      <c r="B503" s="214" t="str">
        <f>C503&amp;"-"&amp;D503</f>
        <v>I-078-50</v>
      </c>
      <c r="C503" s="45" t="s">
        <v>562</v>
      </c>
      <c r="D503" s="45">
        <v>50</v>
      </c>
      <c r="E503" s="45" t="s">
        <v>596</v>
      </c>
      <c r="F503" s="42" t="str">
        <f>VLOOKUP(E503, 'S11 Work Stations'!$A$2:$B$45, 2, 0)</f>
        <v>MIL-U2-607</v>
      </c>
      <c r="G503" s="45">
        <v>420</v>
      </c>
      <c r="H503" s="3">
        <v>200</v>
      </c>
    </row>
    <row r="504" spans="1:8" s="44" customFormat="1" x14ac:dyDescent="0.2">
      <c r="A504" s="214" t="str">
        <f>C504&amp;"-"&amp;E504</f>
        <v>I-078-WS-26</v>
      </c>
      <c r="B504" s="214" t="str">
        <f>C504&amp;"-"&amp;D504</f>
        <v>I-078-40</v>
      </c>
      <c r="C504" s="45" t="s">
        <v>562</v>
      </c>
      <c r="D504" s="45">
        <v>40</v>
      </c>
      <c r="E504" s="45" t="s">
        <v>599</v>
      </c>
      <c r="F504" s="42" t="str">
        <f>VLOOKUP(E504, 'S11 Work Stations'!$A$2:$B$45, 2, 0)</f>
        <v>DR-2A2-202</v>
      </c>
      <c r="G504" s="45">
        <v>180</v>
      </c>
      <c r="H504" s="3">
        <v>200</v>
      </c>
    </row>
    <row r="505" spans="1:8" s="44" customFormat="1" x14ac:dyDescent="0.2">
      <c r="A505" s="214" t="str">
        <f>C505&amp;"-"&amp;E505</f>
        <v>I-078-WS-39</v>
      </c>
      <c r="B505" s="214" t="str">
        <f>C505&amp;"-"&amp;D505</f>
        <v>I-078-20</v>
      </c>
      <c r="C505" s="45" t="s">
        <v>562</v>
      </c>
      <c r="D505" s="45">
        <v>20</v>
      </c>
      <c r="E505" s="45" t="s">
        <v>612</v>
      </c>
      <c r="F505" s="42" t="str">
        <f>VLOOKUP(E505, 'S11 Work Stations'!$A$2:$B$45, 2, 0)</f>
        <v>SAW-400-424</v>
      </c>
      <c r="G505" s="45">
        <v>60</v>
      </c>
      <c r="H505" s="3">
        <v>200</v>
      </c>
    </row>
    <row r="506" spans="1:8" s="44" customFormat="1" x14ac:dyDescent="0.2">
      <c r="A506" s="214" t="str">
        <f>C506&amp;"-"&amp;E506</f>
        <v>I-078-WS-43</v>
      </c>
      <c r="B506" s="214" t="str">
        <f>C506&amp;"-"&amp;D506</f>
        <v>I-078-10</v>
      </c>
      <c r="C506" s="45" t="s">
        <v>562</v>
      </c>
      <c r="D506" s="45">
        <v>10</v>
      </c>
      <c r="E506" s="45" t="s">
        <v>616</v>
      </c>
      <c r="F506" s="42" t="str">
        <f>VLOOKUP(E506, 'S11 Work Stations'!$A$2:$B$45, 2, 0)</f>
        <v>RAW-MAT-INV</v>
      </c>
      <c r="G506" s="45">
        <v>0</v>
      </c>
      <c r="H506" s="3">
        <v>200</v>
      </c>
    </row>
    <row r="507" spans="1:8" s="44" customFormat="1" x14ac:dyDescent="0.2">
      <c r="A507" s="214" t="str">
        <f>C507&amp;"-"&amp;E507</f>
        <v>I-078-WS-44</v>
      </c>
      <c r="B507" s="214" t="str">
        <f>C507&amp;"-"&amp;D507</f>
        <v>I-078-60</v>
      </c>
      <c r="C507" s="45" t="s">
        <v>562</v>
      </c>
      <c r="D507" s="45">
        <v>60</v>
      </c>
      <c r="E507" s="45" t="s">
        <v>617</v>
      </c>
      <c r="F507" s="42" t="str">
        <f>VLOOKUP(E507, 'S11 Work Stations'!$A$2:$B$45, 2, 0)</f>
        <v>FIN-GOOD-INV</v>
      </c>
      <c r="G507" s="45">
        <v>0</v>
      </c>
      <c r="H507" s="3">
        <v>200</v>
      </c>
    </row>
    <row r="508" spans="1:8" s="44" customFormat="1" x14ac:dyDescent="0.2">
      <c r="A508" s="214" t="str">
        <f>C508&amp;"-"&amp;E508</f>
        <v>I-079-WS-01</v>
      </c>
      <c r="B508" s="214" t="str">
        <f>C508&amp;"-"&amp;D508</f>
        <v>I-079-30</v>
      </c>
      <c r="C508" s="45" t="s">
        <v>563</v>
      </c>
      <c r="D508" s="45">
        <v>30</v>
      </c>
      <c r="E508" s="45" t="s">
        <v>574</v>
      </c>
      <c r="F508" s="42" t="str">
        <f>VLOOKUP(E508, 'S11 Work Stations'!$A$2:$B$45, 2, 0)</f>
        <v>MIL-AB-361</v>
      </c>
      <c r="G508" s="45">
        <v>660</v>
      </c>
      <c r="H508" s="3">
        <v>200</v>
      </c>
    </row>
    <row r="509" spans="1:8" s="44" customFormat="1" x14ac:dyDescent="0.2">
      <c r="A509" s="214" t="str">
        <f>C509&amp;"-"&amp;E509</f>
        <v>I-079-WS-23</v>
      </c>
      <c r="B509" s="214" t="str">
        <f>C509&amp;"-"&amp;D509</f>
        <v>I-079-50</v>
      </c>
      <c r="C509" s="45" t="s">
        <v>563</v>
      </c>
      <c r="D509" s="45">
        <v>50</v>
      </c>
      <c r="E509" s="45" t="s">
        <v>596</v>
      </c>
      <c r="F509" s="42" t="str">
        <f>VLOOKUP(E509, 'S11 Work Stations'!$A$2:$B$45, 2, 0)</f>
        <v>MIL-U2-607</v>
      </c>
      <c r="G509" s="45">
        <v>420</v>
      </c>
      <c r="H509" s="3">
        <v>200</v>
      </c>
    </row>
    <row r="510" spans="1:8" s="44" customFormat="1" x14ac:dyDescent="0.2">
      <c r="A510" s="214" t="str">
        <f>C510&amp;"-"&amp;E510</f>
        <v>I-079-WS-33</v>
      </c>
      <c r="B510" s="214" t="str">
        <f>C510&amp;"-"&amp;D510</f>
        <v>I-079-40</v>
      </c>
      <c r="C510" s="45" t="s">
        <v>563</v>
      </c>
      <c r="D510" s="45">
        <v>40</v>
      </c>
      <c r="E510" s="45" t="s">
        <v>606</v>
      </c>
      <c r="F510" s="42" t="str">
        <f>VLOOKUP(E510, 'S11 Work Stations'!$A$2:$B$45, 2, 0)</f>
        <v>SAW-50-150-252</v>
      </c>
      <c r="G510" s="45">
        <v>480</v>
      </c>
      <c r="H510" s="3">
        <v>200</v>
      </c>
    </row>
    <row r="511" spans="1:8" s="44" customFormat="1" x14ac:dyDescent="0.2">
      <c r="A511" s="214" t="str">
        <f>C511&amp;"-"&amp;E511</f>
        <v>I-079-WS-38</v>
      </c>
      <c r="B511" s="214" t="str">
        <f>C511&amp;"-"&amp;D511</f>
        <v>I-079-20</v>
      </c>
      <c r="C511" s="45" t="s">
        <v>563</v>
      </c>
      <c r="D511" s="45">
        <v>20</v>
      </c>
      <c r="E511" s="45" t="s">
        <v>611</v>
      </c>
      <c r="F511" s="42" t="str">
        <f>VLOOKUP(E511, 'S11 Work Stations'!$A$2:$B$45, 2, 0)</f>
        <v>SAW-150-423</v>
      </c>
      <c r="G511" s="45">
        <v>120</v>
      </c>
      <c r="H511" s="3">
        <v>200</v>
      </c>
    </row>
    <row r="512" spans="1:8" s="44" customFormat="1" x14ac:dyDescent="0.2">
      <c r="A512" s="214" t="str">
        <f>C512&amp;"-"&amp;E512</f>
        <v>I-079-WS-43</v>
      </c>
      <c r="B512" s="214" t="str">
        <f>C512&amp;"-"&amp;D512</f>
        <v>I-079-10</v>
      </c>
      <c r="C512" s="45" t="s">
        <v>563</v>
      </c>
      <c r="D512" s="45">
        <v>10</v>
      </c>
      <c r="E512" s="45" t="s">
        <v>616</v>
      </c>
      <c r="F512" s="42" t="str">
        <f>VLOOKUP(E512, 'S11 Work Stations'!$A$2:$B$45, 2, 0)</f>
        <v>RAW-MAT-INV</v>
      </c>
      <c r="G512" s="45">
        <v>0</v>
      </c>
      <c r="H512" s="3">
        <v>200</v>
      </c>
    </row>
    <row r="513" spans="1:8" s="44" customFormat="1" x14ac:dyDescent="0.2">
      <c r="A513" s="214" t="str">
        <f>C513&amp;"-"&amp;E513</f>
        <v>I-079-WS-44</v>
      </c>
      <c r="B513" s="214" t="str">
        <f>C513&amp;"-"&amp;D513</f>
        <v>I-079-60</v>
      </c>
      <c r="C513" s="45" t="s">
        <v>563</v>
      </c>
      <c r="D513" s="45">
        <v>60</v>
      </c>
      <c r="E513" s="45" t="s">
        <v>617</v>
      </c>
      <c r="F513" s="42" t="str">
        <f>VLOOKUP(E513, 'S11 Work Stations'!$A$2:$B$45, 2, 0)</f>
        <v>FIN-GOOD-INV</v>
      </c>
      <c r="G513" s="45">
        <v>0</v>
      </c>
      <c r="H513" s="3">
        <v>200</v>
      </c>
    </row>
    <row r="514" spans="1:8" s="44" customFormat="1" x14ac:dyDescent="0.2">
      <c r="A514" s="214" t="str">
        <f>C514&amp;"-"&amp;E514</f>
        <v>I-080-WS-02</v>
      </c>
      <c r="B514" s="214" t="str">
        <f>C514&amp;"-"&amp;D514</f>
        <v>I-080-30</v>
      </c>
      <c r="C514" s="45" t="s">
        <v>213</v>
      </c>
      <c r="D514" s="45">
        <v>30</v>
      </c>
      <c r="E514" s="45" t="s">
        <v>575</v>
      </c>
      <c r="F514" s="42" t="str">
        <f>VLOOKUP(E514, 'S11 Work Stations'!$A$2:$B$45, 2, 0)</f>
        <v>TUR-B2-362</v>
      </c>
      <c r="G514" s="45">
        <v>360</v>
      </c>
      <c r="H514" s="3">
        <v>200</v>
      </c>
    </row>
    <row r="515" spans="1:8" s="44" customFormat="1" x14ac:dyDescent="0.2">
      <c r="A515" s="214" t="str">
        <f>C515&amp;"-"&amp;E515</f>
        <v>I-080-WS-23</v>
      </c>
      <c r="B515" s="214" t="str">
        <f>C515&amp;"-"&amp;D515</f>
        <v>I-080-50</v>
      </c>
      <c r="C515" s="45" t="s">
        <v>213</v>
      </c>
      <c r="D515" s="45">
        <v>50</v>
      </c>
      <c r="E515" s="45" t="s">
        <v>596</v>
      </c>
      <c r="F515" s="42" t="str">
        <f>VLOOKUP(E515, 'S11 Work Stations'!$A$2:$B$45, 2, 0)</f>
        <v>MIL-U2-607</v>
      </c>
      <c r="G515" s="45">
        <v>480</v>
      </c>
      <c r="H515" s="3">
        <v>200</v>
      </c>
    </row>
    <row r="516" spans="1:8" s="44" customFormat="1" x14ac:dyDescent="0.2">
      <c r="A516" s="214" t="str">
        <f>C516&amp;"-"&amp;E516</f>
        <v>I-080-WS-33</v>
      </c>
      <c r="B516" s="214" t="str">
        <f>C516&amp;"-"&amp;D516</f>
        <v>I-080-40</v>
      </c>
      <c r="C516" s="45" t="s">
        <v>213</v>
      </c>
      <c r="D516" s="45">
        <v>40</v>
      </c>
      <c r="E516" s="45" t="s">
        <v>606</v>
      </c>
      <c r="F516" s="42" t="str">
        <f>VLOOKUP(E516, 'S11 Work Stations'!$A$2:$B$45, 2, 0)</f>
        <v>SAW-50-150-252</v>
      </c>
      <c r="G516" s="45">
        <v>480</v>
      </c>
      <c r="H516" s="3">
        <v>200</v>
      </c>
    </row>
    <row r="517" spans="1:8" s="44" customFormat="1" x14ac:dyDescent="0.2">
      <c r="A517" s="214" t="str">
        <f>C517&amp;"-"&amp;E517</f>
        <v>I-080-WS-39</v>
      </c>
      <c r="B517" s="214" t="str">
        <f>C517&amp;"-"&amp;D517</f>
        <v>I-080-20</v>
      </c>
      <c r="C517" s="45" t="s">
        <v>213</v>
      </c>
      <c r="D517" s="45">
        <v>20</v>
      </c>
      <c r="E517" s="45" t="s">
        <v>612</v>
      </c>
      <c r="F517" s="42" t="str">
        <f>VLOOKUP(E517, 'S11 Work Stations'!$A$2:$B$45, 2, 0)</f>
        <v>SAW-400-424</v>
      </c>
      <c r="G517" s="45">
        <v>120</v>
      </c>
      <c r="H517" s="3">
        <v>200</v>
      </c>
    </row>
    <row r="518" spans="1:8" s="44" customFormat="1" x14ac:dyDescent="0.2">
      <c r="A518" s="214" t="str">
        <f>C518&amp;"-"&amp;E518</f>
        <v>I-080-WS-43</v>
      </c>
      <c r="B518" s="214" t="str">
        <f>C518&amp;"-"&amp;D518</f>
        <v>I-080-10</v>
      </c>
      <c r="C518" s="45" t="s">
        <v>213</v>
      </c>
      <c r="D518" s="45">
        <v>10</v>
      </c>
      <c r="E518" s="45" t="s">
        <v>616</v>
      </c>
      <c r="F518" s="42" t="str">
        <f>VLOOKUP(E518, 'S11 Work Stations'!$A$2:$B$45, 2, 0)</f>
        <v>RAW-MAT-INV</v>
      </c>
      <c r="G518" s="45">
        <v>0</v>
      </c>
      <c r="H518" s="3">
        <v>200</v>
      </c>
    </row>
    <row r="519" spans="1:8" s="44" customFormat="1" x14ac:dyDescent="0.2">
      <c r="A519" s="214" t="str">
        <f>C519&amp;"-"&amp;E519</f>
        <v>I-080-WS-44</v>
      </c>
      <c r="B519" s="214" t="str">
        <f>C519&amp;"-"&amp;D519</f>
        <v>I-080-60</v>
      </c>
      <c r="C519" s="45" t="s">
        <v>213</v>
      </c>
      <c r="D519" s="45">
        <v>60</v>
      </c>
      <c r="E519" s="45" t="s">
        <v>617</v>
      </c>
      <c r="F519" s="42" t="str">
        <f>VLOOKUP(E519, 'S11 Work Stations'!$A$2:$B$45, 2, 0)</f>
        <v>FIN-GOOD-INV</v>
      </c>
      <c r="G519" s="45">
        <v>0</v>
      </c>
      <c r="H519" s="3">
        <v>200</v>
      </c>
    </row>
    <row r="520" spans="1:8" s="44" customFormat="1" x14ac:dyDescent="0.2">
      <c r="A520" s="214" t="str">
        <f>C520&amp;"-"&amp;E520</f>
        <v>I-081-WS-01</v>
      </c>
      <c r="B520" s="214" t="str">
        <f>C520&amp;"-"&amp;D520</f>
        <v>I-081-30</v>
      </c>
      <c r="C520" s="45" t="s">
        <v>219</v>
      </c>
      <c r="D520" s="45">
        <v>30</v>
      </c>
      <c r="E520" s="45" t="s">
        <v>574</v>
      </c>
      <c r="F520" s="42" t="str">
        <f>VLOOKUP(E520, 'S11 Work Stations'!$A$2:$B$45, 2, 0)</f>
        <v>MIL-AB-361</v>
      </c>
      <c r="G520" s="45">
        <v>600</v>
      </c>
      <c r="H520" s="3">
        <v>200</v>
      </c>
    </row>
    <row r="521" spans="1:8" s="44" customFormat="1" x14ac:dyDescent="0.2">
      <c r="A521" s="214" t="str">
        <f>C521&amp;"-"&amp;E521</f>
        <v>I-081-WS-33</v>
      </c>
      <c r="B521" s="214" t="str">
        <f>C521&amp;"-"&amp;D521</f>
        <v>I-081-40</v>
      </c>
      <c r="C521" s="45" t="s">
        <v>219</v>
      </c>
      <c r="D521" s="45">
        <v>40</v>
      </c>
      <c r="E521" s="45" t="s">
        <v>606</v>
      </c>
      <c r="F521" s="42" t="str">
        <f>VLOOKUP(E521, 'S11 Work Stations'!$A$2:$B$45, 2, 0)</f>
        <v>SAW-50-150-252</v>
      </c>
      <c r="G521" s="45">
        <v>480</v>
      </c>
      <c r="H521" s="3">
        <v>200</v>
      </c>
    </row>
    <row r="522" spans="1:8" s="44" customFormat="1" x14ac:dyDescent="0.2">
      <c r="A522" s="214" t="str">
        <f>C522&amp;"-"&amp;E522</f>
        <v>I-081-WS-39</v>
      </c>
      <c r="B522" s="214" t="str">
        <f>C522&amp;"-"&amp;D522</f>
        <v>I-081-20</v>
      </c>
      <c r="C522" s="45" t="s">
        <v>219</v>
      </c>
      <c r="D522" s="45">
        <v>20</v>
      </c>
      <c r="E522" s="45" t="s">
        <v>612</v>
      </c>
      <c r="F522" s="42" t="str">
        <f>VLOOKUP(E522, 'S11 Work Stations'!$A$2:$B$45, 2, 0)</f>
        <v>SAW-400-424</v>
      </c>
      <c r="G522" s="45">
        <v>180</v>
      </c>
      <c r="H522" s="3">
        <v>200</v>
      </c>
    </row>
    <row r="523" spans="1:8" s="44" customFormat="1" x14ac:dyDescent="0.2">
      <c r="A523" s="214" t="str">
        <f>C523&amp;"-"&amp;E523</f>
        <v>I-081-WS-43</v>
      </c>
      <c r="B523" s="214" t="str">
        <f>C523&amp;"-"&amp;D523</f>
        <v>I-081-10</v>
      </c>
      <c r="C523" s="45" t="s">
        <v>219</v>
      </c>
      <c r="D523" s="45">
        <v>10</v>
      </c>
      <c r="E523" s="45" t="s">
        <v>616</v>
      </c>
      <c r="F523" s="42" t="str">
        <f>VLOOKUP(E523, 'S11 Work Stations'!$A$2:$B$45, 2, 0)</f>
        <v>RAW-MAT-INV</v>
      </c>
      <c r="G523" s="45">
        <v>0</v>
      </c>
      <c r="H523" s="3">
        <v>200</v>
      </c>
    </row>
    <row r="524" spans="1:8" s="44" customFormat="1" x14ac:dyDescent="0.2">
      <c r="A524" s="214" t="str">
        <f>C524&amp;"-"&amp;E524</f>
        <v>I-081-WS-44</v>
      </c>
      <c r="B524" s="214" t="str">
        <f>C524&amp;"-"&amp;D524</f>
        <v>I-081-50</v>
      </c>
      <c r="C524" s="45" t="s">
        <v>219</v>
      </c>
      <c r="D524" s="45">
        <v>50</v>
      </c>
      <c r="E524" s="45" t="s">
        <v>617</v>
      </c>
      <c r="F524" s="42" t="str">
        <f>VLOOKUP(E524, 'S11 Work Stations'!$A$2:$B$45, 2, 0)</f>
        <v>FIN-GOOD-INV</v>
      </c>
      <c r="G524" s="45">
        <v>0</v>
      </c>
      <c r="H524" s="3">
        <v>200</v>
      </c>
    </row>
    <row r="525" spans="1:8" s="44" customFormat="1" x14ac:dyDescent="0.2">
      <c r="A525" s="214" t="str">
        <f>C525&amp;"-"&amp;E525</f>
        <v>I-082-WS-01</v>
      </c>
      <c r="B525" s="214" t="str">
        <f>C525&amp;"-"&amp;D525</f>
        <v>I-082-30</v>
      </c>
      <c r="C525" s="45" t="s">
        <v>564</v>
      </c>
      <c r="D525" s="45">
        <v>30</v>
      </c>
      <c r="E525" s="45" t="s">
        <v>574</v>
      </c>
      <c r="F525" s="42" t="str">
        <f>VLOOKUP(E525, 'S11 Work Stations'!$A$2:$B$45, 2, 0)</f>
        <v>MIL-AB-361</v>
      </c>
      <c r="G525" s="45">
        <v>960</v>
      </c>
      <c r="H525" s="3">
        <v>200</v>
      </c>
    </row>
    <row r="526" spans="1:8" s="44" customFormat="1" x14ac:dyDescent="0.2">
      <c r="A526" s="214" t="str">
        <f>C526&amp;"-"&amp;E526</f>
        <v>I-082-WS-33</v>
      </c>
      <c r="B526" s="214" t="str">
        <f>C526&amp;"-"&amp;D526</f>
        <v>I-082-40</v>
      </c>
      <c r="C526" s="45" t="s">
        <v>564</v>
      </c>
      <c r="D526" s="45">
        <v>40</v>
      </c>
      <c r="E526" s="45" t="s">
        <v>606</v>
      </c>
      <c r="F526" s="42" t="str">
        <f>VLOOKUP(E526, 'S11 Work Stations'!$A$2:$B$45, 2, 0)</f>
        <v>SAW-50-150-252</v>
      </c>
      <c r="G526" s="45">
        <v>600</v>
      </c>
      <c r="H526" s="3">
        <v>200</v>
      </c>
    </row>
    <row r="527" spans="1:8" s="44" customFormat="1" x14ac:dyDescent="0.2">
      <c r="A527" s="214" t="str">
        <f>C527&amp;"-"&amp;E527</f>
        <v>I-082-WS-40</v>
      </c>
      <c r="B527" s="214" t="str">
        <f>C527&amp;"-"&amp;D527</f>
        <v>I-082-20</v>
      </c>
      <c r="C527" s="45" t="s">
        <v>564</v>
      </c>
      <c r="D527" s="45">
        <v>20</v>
      </c>
      <c r="E527" s="45" t="s">
        <v>613</v>
      </c>
      <c r="F527" s="42" t="str">
        <f>VLOOKUP(E527, 'S11 Work Stations'!$A$2:$B$45, 2, 0)</f>
        <v>SAW-CNC-40-425</v>
      </c>
      <c r="G527" s="45">
        <v>180</v>
      </c>
      <c r="H527" s="3">
        <v>200</v>
      </c>
    </row>
    <row r="528" spans="1:8" s="44" customFormat="1" x14ac:dyDescent="0.2">
      <c r="A528" s="214" t="str">
        <f>C528&amp;"-"&amp;E528</f>
        <v>I-082-WS-43</v>
      </c>
      <c r="B528" s="214" t="str">
        <f>C528&amp;"-"&amp;D528</f>
        <v>I-082-10</v>
      </c>
      <c r="C528" s="45" t="s">
        <v>564</v>
      </c>
      <c r="D528" s="45">
        <v>10</v>
      </c>
      <c r="E528" s="45" t="s">
        <v>616</v>
      </c>
      <c r="F528" s="42" t="str">
        <f>VLOOKUP(E528, 'S11 Work Stations'!$A$2:$B$45, 2, 0)</f>
        <v>RAW-MAT-INV</v>
      </c>
      <c r="G528" s="45">
        <v>0</v>
      </c>
      <c r="H528" s="3">
        <v>200</v>
      </c>
    </row>
    <row r="529" spans="1:8" s="44" customFormat="1" x14ac:dyDescent="0.2">
      <c r="A529" s="214" t="str">
        <f>C529&amp;"-"&amp;E529</f>
        <v>I-082-WS-44</v>
      </c>
      <c r="B529" s="214" t="str">
        <f>C529&amp;"-"&amp;D529</f>
        <v>I-082-50</v>
      </c>
      <c r="C529" s="45" t="s">
        <v>564</v>
      </c>
      <c r="D529" s="45">
        <v>50</v>
      </c>
      <c r="E529" s="45" t="s">
        <v>617</v>
      </c>
      <c r="F529" s="42" t="str">
        <f>VLOOKUP(E529, 'S11 Work Stations'!$A$2:$B$45, 2, 0)</f>
        <v>FIN-GOOD-INV</v>
      </c>
      <c r="G529" s="45">
        <v>0</v>
      </c>
      <c r="H529" s="3">
        <v>200</v>
      </c>
    </row>
    <row r="530" spans="1:8" s="44" customFormat="1" x14ac:dyDescent="0.2">
      <c r="A530" s="214" t="str">
        <f>C530&amp;"-"&amp;E530</f>
        <v>I-083-WS-01</v>
      </c>
      <c r="B530" s="214" t="str">
        <f>C530&amp;"-"&amp;D530</f>
        <v>I-083-30</v>
      </c>
      <c r="C530" s="45" t="s">
        <v>223</v>
      </c>
      <c r="D530" s="45">
        <v>30</v>
      </c>
      <c r="E530" s="45" t="s">
        <v>574</v>
      </c>
      <c r="F530" s="42" t="str">
        <f>VLOOKUP(E530, 'S11 Work Stations'!$A$2:$B$45, 2, 0)</f>
        <v>MIL-AB-361</v>
      </c>
      <c r="G530" s="45">
        <v>600</v>
      </c>
      <c r="H530" s="3">
        <v>200</v>
      </c>
    </row>
    <row r="531" spans="1:8" s="44" customFormat="1" x14ac:dyDescent="0.2">
      <c r="A531" s="214" t="str">
        <f>C531&amp;"-"&amp;E531</f>
        <v>I-083-WS-33</v>
      </c>
      <c r="B531" s="214" t="str">
        <f>C531&amp;"-"&amp;D531</f>
        <v>I-083-40</v>
      </c>
      <c r="C531" s="45" t="s">
        <v>223</v>
      </c>
      <c r="D531" s="45">
        <v>40</v>
      </c>
      <c r="E531" s="45" t="s">
        <v>606</v>
      </c>
      <c r="F531" s="42" t="str">
        <f>VLOOKUP(E531, 'S11 Work Stations'!$A$2:$B$45, 2, 0)</f>
        <v>SAW-50-150-252</v>
      </c>
      <c r="G531" s="45">
        <v>180</v>
      </c>
      <c r="H531" s="3">
        <v>200</v>
      </c>
    </row>
    <row r="532" spans="1:8" s="44" customFormat="1" x14ac:dyDescent="0.2">
      <c r="A532" s="214" t="str">
        <f>C532&amp;"-"&amp;E532</f>
        <v>I-083-WS-39</v>
      </c>
      <c r="B532" s="214" t="str">
        <f>C532&amp;"-"&amp;D532</f>
        <v>I-083-20</v>
      </c>
      <c r="C532" s="45" t="s">
        <v>223</v>
      </c>
      <c r="D532" s="45">
        <v>20</v>
      </c>
      <c r="E532" s="45" t="s">
        <v>612</v>
      </c>
      <c r="F532" s="42" t="str">
        <f>VLOOKUP(E532, 'S11 Work Stations'!$A$2:$B$45, 2, 0)</f>
        <v>SAW-400-424</v>
      </c>
      <c r="G532" s="45">
        <v>60</v>
      </c>
      <c r="H532" s="3">
        <v>200</v>
      </c>
    </row>
    <row r="533" spans="1:8" s="44" customFormat="1" x14ac:dyDescent="0.2">
      <c r="A533" s="214" t="str">
        <f>C533&amp;"-"&amp;E533</f>
        <v>I-083-WS-43</v>
      </c>
      <c r="B533" s="214" t="str">
        <f>C533&amp;"-"&amp;D533</f>
        <v>I-083-10</v>
      </c>
      <c r="C533" s="45" t="s">
        <v>223</v>
      </c>
      <c r="D533" s="45">
        <v>10</v>
      </c>
      <c r="E533" s="45" t="s">
        <v>616</v>
      </c>
      <c r="F533" s="42" t="str">
        <f>VLOOKUP(E533, 'S11 Work Stations'!$A$2:$B$45, 2, 0)</f>
        <v>RAW-MAT-INV</v>
      </c>
      <c r="G533" s="45">
        <v>0</v>
      </c>
      <c r="H533" s="3">
        <v>200</v>
      </c>
    </row>
    <row r="534" spans="1:8" s="44" customFormat="1" x14ac:dyDescent="0.2">
      <c r="A534" s="214" t="str">
        <f>C534&amp;"-"&amp;E534</f>
        <v>I-083-WS-44</v>
      </c>
      <c r="B534" s="214" t="str">
        <f>C534&amp;"-"&amp;D534</f>
        <v>I-083-50</v>
      </c>
      <c r="C534" s="45" t="s">
        <v>223</v>
      </c>
      <c r="D534" s="45">
        <v>50</v>
      </c>
      <c r="E534" s="45" t="s">
        <v>617</v>
      </c>
      <c r="F534" s="42" t="str">
        <f>VLOOKUP(E534, 'S11 Work Stations'!$A$2:$B$45, 2, 0)</f>
        <v>FIN-GOOD-INV</v>
      </c>
      <c r="G534" s="45">
        <v>0</v>
      </c>
      <c r="H534" s="3">
        <v>200</v>
      </c>
    </row>
  </sheetData>
  <autoFilter ref="A1:H534" xr:uid="{AC983E17-0E9A-DC46-AB9E-9866803D37A8}">
    <sortState xmlns:xlrd2="http://schemas.microsoft.com/office/spreadsheetml/2017/richdata2" ref="A2:H534">
      <sortCondition ref="C1:C534"/>
    </sortState>
  </autoFilter>
  <phoneticPr fontId="22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zoomScale="150" workbookViewId="0">
      <selection activeCell="A3" sqref="A3:XFD3"/>
    </sheetView>
  </sheetViews>
  <sheetFormatPr baseColWidth="10" defaultColWidth="11" defaultRowHeight="16" x14ac:dyDescent="0.2"/>
  <cols>
    <col min="1" max="9" width="16.1640625" customWidth="1"/>
  </cols>
  <sheetData>
    <row r="1" spans="1:9" ht="17" thickBot="1" x14ac:dyDescent="0.25">
      <c r="B1" s="307" t="s">
        <v>565</v>
      </c>
      <c r="C1" s="308"/>
      <c r="D1" s="308"/>
      <c r="E1" s="308"/>
      <c r="F1" s="308"/>
      <c r="G1" s="308"/>
      <c r="H1" s="308"/>
      <c r="I1" s="309"/>
    </row>
    <row r="2" spans="1:9" ht="17" thickBot="1" x14ac:dyDescent="0.25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 x14ac:dyDescent="0.2">
      <c r="A3" s="50" t="str">
        <f>'S08 ABC Output'!A3</f>
        <v>I-010</v>
      </c>
      <c r="B3" s="51" t="str">
        <f t="array" ref="B3">IFERROR(VLOOKUP($A3&amp;"-"&amp;B$2, CHOOSE({1,2}, 'S12 Operations'!$C$2:$C$534&amp;"-"&amp;'S12 Operations'!$D$2:$D$534, 'S12 Operations'!$E$2:$E$534), 2, 0), "")</f>
        <v>WS-43</v>
      </c>
      <c r="C3" s="51" t="str">
        <f t="array" ref="C3">IFERROR(VLOOKUP($A3&amp;"-"&amp;C$2, CHOOSE({1,2}, 'S12 Operations'!$C$2:$C$534&amp;"-"&amp;'S12 Operations'!$D$2:$D$534, 'S12 Operations'!$E$2:$E$534), 2, 0), "")</f>
        <v>WS-40</v>
      </c>
      <c r="D3" s="51" t="str">
        <f t="array" ref="D3">IFERROR(VLOOKUP($A3&amp;"-"&amp;D$2, CHOOSE({1,2}, 'S12 Operations'!$C$2:$C$534&amp;"-"&amp;'S12 Operations'!$D$2:$D$534, 'S12 Operations'!$E$2:$E$534), 2, 0), "")</f>
        <v>WS-02</v>
      </c>
      <c r="E3" s="51" t="str">
        <f t="array" ref="E3">IFERROR(VLOOKUP($A3&amp;"-"&amp;E$2, CHOOSE({1,2}, 'S12 Operations'!$C$2:$C$534&amp;"-"&amp;'S12 Operations'!$D$2:$D$534, 'S12 Operations'!$E$2:$E$534), 2, 0), "")</f>
        <v>WS-18</v>
      </c>
      <c r="F3" s="51" t="str">
        <f t="array" ref="F3">IFERROR(VLOOKUP($A3&amp;"-"&amp;F$2, CHOOSE({1,2}, 'S12 Operations'!$C$2:$C$534&amp;"-"&amp;'S12 Operations'!$D$2:$D$534, 'S12 Operations'!$E$2:$E$534), 2, 0), "")</f>
        <v>WS-24</v>
      </c>
      <c r="G3" s="51" t="str">
        <f t="array" ref="G3">IFERROR(VLOOKUP($A3&amp;"-"&amp;G$2, CHOOSE({1,2}, 'S12 Operations'!$C$2:$C$534&amp;"-"&amp;'S12 Operations'!$D$2:$D$534, 'S12 Operations'!$E$2:$E$534), 2, 0), "")</f>
        <v>WS-29</v>
      </c>
      <c r="H3" s="51" t="str">
        <f t="array" ref="H3">IFERROR(VLOOKUP($A3&amp;"-"&amp;H$2, CHOOSE({1,2}, 'S12 Operations'!$C$2:$C$534&amp;"-"&amp;'S12 Operations'!$D$2:$D$534, 'S12 Operations'!$E$2:$E$534), 2, 0), "")</f>
        <v>WS-33</v>
      </c>
      <c r="I3" s="51" t="str">
        <f t="array" ref="I3">IFERROR(VLOOKUP($A3&amp;"-"&amp;I$2, CHOOSE({1,2}, 'S12 Operations'!$C$2:$C$534&amp;"-"&amp;'S12 Operations'!$D$2:$D$534, 'S12 Operations'!$E$2:$E$534), 2, 0), "")</f>
        <v>WS-44</v>
      </c>
    </row>
    <row r="4" spans="1:9" x14ac:dyDescent="0.2">
      <c r="A4" s="50" t="str">
        <f>'S08 ABC Output'!A4</f>
        <v>I-004</v>
      </c>
      <c r="B4" s="51" t="str">
        <f>IFERROR(VLOOKUP($A4&amp;"-"&amp;B$2, 'S12 Operations'!$B$2:$E$534, 4, 0), "")</f>
        <v>WS-43</v>
      </c>
      <c r="C4" s="51" t="str">
        <f>IFERROR(VLOOKUP($A4&amp;"-"&amp;C$2, 'S12 Operations'!$B$2:$E$534, 4, 0), "")</f>
        <v>WS-36</v>
      </c>
      <c r="D4" s="51" t="str">
        <f>IFERROR(VLOOKUP($A4&amp;"-"&amp;D$2, 'S12 Operations'!$B$2:$E$534, 4, 0), "")</f>
        <v>WS-05</v>
      </c>
      <c r="E4" s="51" t="str">
        <f>IFERROR(VLOOKUP($A4&amp;"-"&amp;E$2, 'S12 Operations'!$B$2:$E$534, 4, 0), "")</f>
        <v>WS-25</v>
      </c>
      <c r="F4" s="51" t="str">
        <f>IFERROR(VLOOKUP($A4&amp;"-"&amp;F$2, 'S12 Operations'!$B$2:$E$534, 4, 0), "")</f>
        <v>WS-34</v>
      </c>
      <c r="G4" s="51" t="str">
        <f>IFERROR(VLOOKUP($A4&amp;"-"&amp;G$2, 'S12 Operations'!$B$2:$E$534, 4, 0), "")</f>
        <v>WS-44</v>
      </c>
      <c r="H4" s="51" t="str">
        <f>IFERROR(VLOOKUP($A4&amp;"-"&amp;H$2, 'S12 Operations'!$B$2:$E$534, 4, 0), "")</f>
        <v/>
      </c>
      <c r="I4" s="51" t="str">
        <f>IFERROR(VLOOKUP($A4&amp;"-"&amp;I$2, 'S12 Operations'!$B$2:$E$534, 4, 0), "")</f>
        <v/>
      </c>
    </row>
    <row r="5" spans="1:9" x14ac:dyDescent="0.2">
      <c r="A5" s="50" t="str">
        <f>'S08 ABC Output'!A5</f>
        <v>I-037</v>
      </c>
      <c r="B5" s="51" t="str">
        <f>IFERROR(VLOOKUP($A5&amp;"-"&amp;B$2, 'S12 Operations'!$B$2:$E$534, 4, 0), "")</f>
        <v>WS-43</v>
      </c>
      <c r="C5" s="51" t="str">
        <f>IFERROR(VLOOKUP($A5&amp;"-"&amp;C$2, 'S12 Operations'!$B$2:$E$534, 4, 0), "")</f>
        <v>WS-38</v>
      </c>
      <c r="D5" s="51" t="str">
        <f>IFERROR(VLOOKUP($A5&amp;"-"&amp;D$2, 'S12 Operations'!$B$2:$E$534, 4, 0), "")</f>
        <v>WS-07</v>
      </c>
      <c r="E5" s="51" t="str">
        <f>IFERROR(VLOOKUP($A5&amp;"-"&amp;E$2, 'S12 Operations'!$B$2:$E$534, 4, 0), "")</f>
        <v>WS-21</v>
      </c>
      <c r="F5" s="51" t="str">
        <f>IFERROR(VLOOKUP($A5&amp;"-"&amp;F$2, 'S12 Operations'!$B$2:$E$534, 4, 0), "")</f>
        <v>WS-28</v>
      </c>
      <c r="G5" s="51" t="str">
        <f>IFERROR(VLOOKUP($A5&amp;"-"&amp;G$2, 'S12 Operations'!$B$2:$E$534, 4, 0), "")</f>
        <v>WS-27</v>
      </c>
      <c r="H5" s="51" t="str">
        <f>IFERROR(VLOOKUP($A5&amp;"-"&amp;H$2, 'S12 Operations'!$B$2:$E$534, 4, 0), "")</f>
        <v>WS-32</v>
      </c>
      <c r="I5" s="51" t="str">
        <f>IFERROR(VLOOKUP($A5&amp;"-"&amp;I$2, 'S12 Operations'!$B$2:$E$534, 4, 0), "")</f>
        <v>WS-44</v>
      </c>
    </row>
    <row r="6" spans="1:9" x14ac:dyDescent="0.2">
      <c r="A6" s="50" t="str">
        <f>'S08 ABC Output'!A6</f>
        <v>I-064</v>
      </c>
      <c r="B6" s="51" t="str">
        <f>IFERROR(VLOOKUP($A6&amp;"-"&amp;B$2, 'S12 Operations'!$B$2:$E$534, 4, 0), "")</f>
        <v>WS-43</v>
      </c>
      <c r="C6" s="51" t="str">
        <f>IFERROR(VLOOKUP($A6&amp;"-"&amp;C$2, 'S12 Operations'!$B$2:$E$534, 4, 0), "")</f>
        <v>WS-40</v>
      </c>
      <c r="D6" s="51" t="str">
        <f>IFERROR(VLOOKUP($A6&amp;"-"&amp;D$2, 'S12 Operations'!$B$2:$E$534, 4, 0), "")</f>
        <v>WS-04</v>
      </c>
      <c r="E6" s="51" t="str">
        <f>IFERROR(VLOOKUP($A6&amp;"-"&amp;E$2, 'S12 Operations'!$B$2:$E$534, 4, 0), "")</f>
        <v>WS-03</v>
      </c>
      <c r="F6" s="51" t="str">
        <f>IFERROR(VLOOKUP($A6&amp;"-"&amp;F$2, 'S12 Operations'!$B$2:$E$534, 4, 0), "")</f>
        <v>WS-23</v>
      </c>
      <c r="G6" s="51" t="str">
        <f>IFERROR(VLOOKUP($A6&amp;"-"&amp;G$2, 'S12 Operations'!$B$2:$E$534, 4, 0), "")</f>
        <v>WS-31</v>
      </c>
      <c r="H6" s="51" t="str">
        <f>IFERROR(VLOOKUP($A6&amp;"-"&amp;H$2, 'S12 Operations'!$B$2:$E$534, 4, 0), "")</f>
        <v>WS-32</v>
      </c>
      <c r="I6" s="51" t="str">
        <f>IFERROR(VLOOKUP($A6&amp;"-"&amp;I$2, 'S12 Operations'!$B$2:$E$534, 4, 0), "")</f>
        <v>WS-42</v>
      </c>
    </row>
    <row r="7" spans="1:9" x14ac:dyDescent="0.2">
      <c r="A7" s="50" t="str">
        <f>'S08 ABC Output'!A7</f>
        <v>I-052</v>
      </c>
      <c r="B7" s="51" t="str">
        <f>IFERROR(VLOOKUP($A7&amp;"-"&amp;B$2, 'S12 Operations'!$B$2:$E$534, 4, 0), "")</f>
        <v>WS-43</v>
      </c>
      <c r="C7" s="51" t="str">
        <f>IFERROR(VLOOKUP($A7&amp;"-"&amp;C$2, 'S12 Operations'!$B$2:$E$534, 4, 0), "")</f>
        <v>WS-40</v>
      </c>
      <c r="D7" s="51" t="str">
        <f>IFERROR(VLOOKUP($A7&amp;"-"&amp;D$2, 'S12 Operations'!$B$2:$E$534, 4, 0), "")</f>
        <v>WS-07</v>
      </c>
      <c r="E7" s="51" t="str">
        <f>IFERROR(VLOOKUP($A7&amp;"-"&amp;E$2, 'S12 Operations'!$B$2:$E$534, 4, 0), "")</f>
        <v>WS-08</v>
      </c>
      <c r="F7" s="51" t="str">
        <f>IFERROR(VLOOKUP($A7&amp;"-"&amp;F$2, 'S12 Operations'!$B$2:$E$534, 4, 0), "")</f>
        <v>WS-20</v>
      </c>
      <c r="G7" s="51" t="str">
        <f>IFERROR(VLOOKUP($A7&amp;"-"&amp;G$2, 'S12 Operations'!$B$2:$E$534, 4, 0), "")</f>
        <v>WS-26</v>
      </c>
      <c r="H7" s="51" t="str">
        <f>IFERROR(VLOOKUP($A7&amp;"-"&amp;H$2, 'S12 Operations'!$B$2:$E$534, 4, 0), "")</f>
        <v>WS-32</v>
      </c>
      <c r="I7" s="51" t="str">
        <f>IFERROR(VLOOKUP($A7&amp;"-"&amp;I$2, 'S12 Operations'!$B$2:$E$534, 4, 0), "")</f>
        <v>WS-44</v>
      </c>
    </row>
    <row r="8" spans="1:9" x14ac:dyDescent="0.2">
      <c r="A8" s="50" t="str">
        <f>'S08 ABC Output'!A8</f>
        <v>I-068</v>
      </c>
      <c r="B8" s="51" t="str">
        <f>IFERROR(VLOOKUP($A8&amp;"-"&amp;B$2, 'S12 Operations'!$B$2:$E$534, 4, 0), "")</f>
        <v>WS-43</v>
      </c>
      <c r="C8" s="51" t="str">
        <f>IFERROR(VLOOKUP($A8&amp;"-"&amp;C$2, 'S12 Operations'!$B$2:$E$534, 4, 0), "")</f>
        <v>WS-36</v>
      </c>
      <c r="D8" s="51" t="str">
        <f>IFERROR(VLOOKUP($A8&amp;"-"&amp;D$2, 'S12 Operations'!$B$2:$E$534, 4, 0), "")</f>
        <v>WS-05</v>
      </c>
      <c r="E8" s="51" t="str">
        <f>IFERROR(VLOOKUP($A8&amp;"-"&amp;E$2, 'S12 Operations'!$B$2:$E$534, 4, 0), "")</f>
        <v>WS-25</v>
      </c>
      <c r="F8" s="51" t="str">
        <f>IFERROR(VLOOKUP($A8&amp;"-"&amp;F$2, 'S12 Operations'!$B$2:$E$534, 4, 0), "")</f>
        <v>WS-34</v>
      </c>
      <c r="G8" s="51" t="str">
        <f>IFERROR(VLOOKUP($A8&amp;"-"&amp;G$2, 'S12 Operations'!$B$2:$E$534, 4, 0), "")</f>
        <v>WS-44</v>
      </c>
      <c r="H8" s="51" t="str">
        <f>IFERROR(VLOOKUP($A8&amp;"-"&amp;H$2, 'S12 Operations'!$B$2:$E$534, 4, 0), "")</f>
        <v/>
      </c>
      <c r="I8" s="51" t="str">
        <f>IFERROR(VLOOKUP($A8&amp;"-"&amp;I$2, 'S12 Operations'!$B$2:$E$534, 4, 0), "")</f>
        <v/>
      </c>
    </row>
    <row r="9" spans="1:9" x14ac:dyDescent="0.2">
      <c r="A9" s="50" t="str">
        <f>'S08 ABC Output'!A9</f>
        <v>I-053</v>
      </c>
      <c r="B9" s="51" t="str">
        <f>IFERROR(VLOOKUP($A9&amp;"-"&amp;B$2, 'S12 Operations'!$B$2:$E$534, 4, 0), "")</f>
        <v>WS-43</v>
      </c>
      <c r="C9" s="51" t="str">
        <f>IFERROR(VLOOKUP($A9&amp;"-"&amp;C$2, 'S12 Operations'!$B$2:$E$534, 4, 0), "")</f>
        <v>WS-40</v>
      </c>
      <c r="D9" s="51" t="str">
        <f>IFERROR(VLOOKUP($A9&amp;"-"&amp;D$2, 'S12 Operations'!$B$2:$E$534, 4, 0), "")</f>
        <v>WS-04</v>
      </c>
      <c r="E9" s="51" t="str">
        <f>IFERROR(VLOOKUP($A9&amp;"-"&amp;E$2, 'S12 Operations'!$B$2:$E$534, 4, 0), "")</f>
        <v>WS-03</v>
      </c>
      <c r="F9" s="51" t="str">
        <f>IFERROR(VLOOKUP($A9&amp;"-"&amp;F$2, 'S12 Operations'!$B$2:$E$534, 4, 0), "")</f>
        <v>WS-23</v>
      </c>
      <c r="G9" s="51" t="str">
        <f>IFERROR(VLOOKUP($A9&amp;"-"&amp;G$2, 'S12 Operations'!$B$2:$E$534, 4, 0), "")</f>
        <v>WS-31</v>
      </c>
      <c r="H9" s="51" t="str">
        <f>IFERROR(VLOOKUP($A9&amp;"-"&amp;H$2, 'S12 Operations'!$B$2:$E$534, 4, 0), "")</f>
        <v>WS-32</v>
      </c>
      <c r="I9" s="51" t="str">
        <f>IFERROR(VLOOKUP($A9&amp;"-"&amp;I$2, 'S12 Operations'!$B$2:$E$534, 4, 0), "")</f>
        <v>WS-44</v>
      </c>
    </row>
    <row r="10" spans="1:9" x14ac:dyDescent="0.2">
      <c r="A10" s="50" t="str">
        <f>'S08 ABC Output'!A10</f>
        <v>I-012</v>
      </c>
      <c r="B10" s="51" t="str">
        <f>IFERROR(VLOOKUP($A10&amp;"-"&amp;B$2, 'S12 Operations'!$B$2:$E$534, 4, 0), "")</f>
        <v>WS-43</v>
      </c>
      <c r="C10" s="51" t="str">
        <f>IFERROR(VLOOKUP($A10&amp;"-"&amp;C$2, 'S12 Operations'!$B$2:$E$534, 4, 0), "")</f>
        <v>WS-40</v>
      </c>
      <c r="D10" s="51" t="str">
        <f>IFERROR(VLOOKUP($A10&amp;"-"&amp;D$2, 'S12 Operations'!$B$2:$E$534, 4, 0), "")</f>
        <v>WS-07</v>
      </c>
      <c r="E10" s="51" t="str">
        <f>IFERROR(VLOOKUP($A10&amp;"-"&amp;E$2, 'S12 Operations'!$B$2:$E$534, 4, 0), "")</f>
        <v>WS-08</v>
      </c>
      <c r="F10" s="51" t="str">
        <f>IFERROR(VLOOKUP($A10&amp;"-"&amp;F$2, 'S12 Operations'!$B$2:$E$534, 4, 0), "")</f>
        <v>WS-20</v>
      </c>
      <c r="G10" s="51" t="str">
        <f>IFERROR(VLOOKUP($A10&amp;"-"&amp;G$2, 'S12 Operations'!$B$2:$E$534, 4, 0), "")</f>
        <v>WS-26</v>
      </c>
      <c r="H10" s="51" t="str">
        <f>IFERROR(VLOOKUP($A10&amp;"-"&amp;H$2, 'S12 Operations'!$B$2:$E$534, 4, 0), "")</f>
        <v>WS-32</v>
      </c>
      <c r="I10" s="51" t="str">
        <f>IFERROR(VLOOKUP($A10&amp;"-"&amp;I$2, 'S12 Operations'!$B$2:$E$534, 4, 0), "")</f>
        <v>WS-44</v>
      </c>
    </row>
    <row r="11" spans="1:9" x14ac:dyDescent="0.2">
      <c r="A11" s="50" t="str">
        <f>'S08 ABC Output'!A11</f>
        <v>I-066</v>
      </c>
      <c r="B11" s="51" t="str">
        <f>IFERROR(VLOOKUP($A11&amp;"-"&amp;B$2, 'S12 Operations'!$B$2:$E$534, 4, 0), "")</f>
        <v>WS-43</v>
      </c>
      <c r="C11" s="51" t="str">
        <f>IFERROR(VLOOKUP($A11&amp;"-"&amp;C$2, 'S12 Operations'!$B$2:$E$534, 4, 0), "")</f>
        <v>WS-36</v>
      </c>
      <c r="D11" s="51" t="str">
        <f>IFERROR(VLOOKUP($A11&amp;"-"&amp;D$2, 'S12 Operations'!$B$2:$E$534, 4, 0), "")</f>
        <v>WS-05</v>
      </c>
      <c r="E11" s="51" t="str">
        <f>IFERROR(VLOOKUP($A11&amp;"-"&amp;E$2, 'S12 Operations'!$B$2:$E$534, 4, 0), "")</f>
        <v>WS-25</v>
      </c>
      <c r="F11" s="51" t="str">
        <f>IFERROR(VLOOKUP($A11&amp;"-"&amp;F$2, 'S12 Operations'!$B$2:$E$534, 4, 0), "")</f>
        <v>WS-34</v>
      </c>
      <c r="G11" s="51" t="str">
        <f>IFERROR(VLOOKUP($A11&amp;"-"&amp;G$2, 'S12 Operations'!$B$2:$E$534, 4, 0), "")</f>
        <v>WS-44</v>
      </c>
      <c r="H11" s="51" t="str">
        <f>IFERROR(VLOOKUP($A11&amp;"-"&amp;H$2, 'S12 Operations'!$B$2:$E$534, 4, 0), "")</f>
        <v/>
      </c>
      <c r="I11" s="51" t="str">
        <f>IFERROR(VLOOKUP($A11&amp;"-"&amp;I$2, 'S12 Operations'!$B$2:$E$534, 4, 0), "")</f>
        <v/>
      </c>
    </row>
    <row r="12" spans="1:9" x14ac:dyDescent="0.2">
      <c r="A12" s="50" t="str">
        <f>'S08 ABC Output'!A12</f>
        <v>I-069</v>
      </c>
      <c r="B12" s="51" t="str">
        <f>IFERROR(VLOOKUP($A12&amp;"-"&amp;B$2, 'S12 Operations'!$B$2:$E$534, 4, 0), "")</f>
        <v>WS-43</v>
      </c>
      <c r="C12" s="51" t="str">
        <f>IFERROR(VLOOKUP($A12&amp;"-"&amp;C$2, 'S12 Operations'!$B$2:$E$534, 4, 0), "")</f>
        <v>WS-36</v>
      </c>
      <c r="D12" s="51" t="str">
        <f>IFERROR(VLOOKUP($A12&amp;"-"&amp;D$2, 'S12 Operations'!$B$2:$E$534, 4, 0), "")</f>
        <v>WS-05</v>
      </c>
      <c r="E12" s="51" t="str">
        <f>IFERROR(VLOOKUP($A12&amp;"-"&amp;E$2, 'S12 Operations'!$B$2:$E$534, 4, 0), "")</f>
        <v>WS-25</v>
      </c>
      <c r="F12" s="51" t="str">
        <f>IFERROR(VLOOKUP($A12&amp;"-"&amp;F$2, 'S12 Operations'!$B$2:$E$534, 4, 0), "")</f>
        <v>WS-34</v>
      </c>
      <c r="G12" s="51" t="str">
        <f>IFERROR(VLOOKUP($A12&amp;"-"&amp;G$2, 'S12 Operations'!$B$2:$E$534, 4, 0), "")</f>
        <v>WS-44</v>
      </c>
      <c r="H12" s="51" t="str">
        <f>IFERROR(VLOOKUP($A12&amp;"-"&amp;H$2, 'S12 Operations'!$B$2:$E$534, 4, 0), "")</f>
        <v/>
      </c>
      <c r="I12" s="51" t="str">
        <f>IFERROR(VLOOKUP($A12&amp;"-"&amp;I$2, 'S12 Operations'!$B$2:$E$534, 4, 0), "")</f>
        <v/>
      </c>
    </row>
    <row r="13" spans="1:9" x14ac:dyDescent="0.2">
      <c r="A13" s="50" t="str">
        <f>'S08 ABC Output'!A13</f>
        <v>I-070</v>
      </c>
      <c r="B13" s="51" t="str">
        <f>IFERROR(VLOOKUP($A13&amp;"-"&amp;B$2, 'S12 Operations'!$B$2:$E$534, 4, 0), "")</f>
        <v>WS-43</v>
      </c>
      <c r="C13" s="51" t="str">
        <f>IFERROR(VLOOKUP($A13&amp;"-"&amp;C$2, 'S12 Operations'!$B$2:$E$534, 4, 0), "")</f>
        <v>WS-36</v>
      </c>
      <c r="D13" s="51" t="str">
        <f>IFERROR(VLOOKUP($A13&amp;"-"&amp;D$2, 'S12 Operations'!$B$2:$E$534, 4, 0), "")</f>
        <v>WS-05</v>
      </c>
      <c r="E13" s="51" t="str">
        <f>IFERROR(VLOOKUP($A13&amp;"-"&amp;E$2, 'S12 Operations'!$B$2:$E$534, 4, 0), "")</f>
        <v>WS-25</v>
      </c>
      <c r="F13" s="51" t="str">
        <f>IFERROR(VLOOKUP($A13&amp;"-"&amp;F$2, 'S12 Operations'!$B$2:$E$534, 4, 0), "")</f>
        <v>WS-34</v>
      </c>
      <c r="G13" s="51" t="str">
        <f>IFERROR(VLOOKUP($A13&amp;"-"&amp;G$2, 'S12 Operations'!$B$2:$E$534, 4, 0), "")</f>
        <v>WS-44</v>
      </c>
      <c r="H13" s="51" t="str">
        <f>IFERROR(VLOOKUP($A13&amp;"-"&amp;H$2, 'S12 Operations'!$B$2:$E$534, 4, 0), "")</f>
        <v/>
      </c>
      <c r="I13" s="51" t="str">
        <f>IFERROR(VLOOKUP($A13&amp;"-"&amp;I$2, 'S12 Operations'!$B$2:$E$534, 4, 0), "")</f>
        <v/>
      </c>
    </row>
    <row r="14" spans="1:9" x14ac:dyDescent="0.2">
      <c r="A14" s="50" t="str">
        <f>'S08 ABC Output'!A14</f>
        <v>I-006</v>
      </c>
      <c r="B14" s="51" t="str">
        <f>IFERROR(VLOOKUP($A14&amp;"-"&amp;B$2, 'S12 Operations'!$B$2:$E$534, 4, 0), "")</f>
        <v>WS-43</v>
      </c>
      <c r="C14" s="51" t="str">
        <f>IFERROR(VLOOKUP($A14&amp;"-"&amp;C$2, 'S12 Operations'!$B$2:$E$534, 4, 0), "")</f>
        <v>WS-40</v>
      </c>
      <c r="D14" s="51" t="str">
        <f>IFERROR(VLOOKUP($A14&amp;"-"&amp;D$2, 'S12 Operations'!$B$2:$E$534, 4, 0), "")</f>
        <v>WS-02</v>
      </c>
      <c r="E14" s="51" t="str">
        <f>IFERROR(VLOOKUP($A14&amp;"-"&amp;E$2, 'S12 Operations'!$B$2:$E$534, 4, 0), "")</f>
        <v>WS-18</v>
      </c>
      <c r="F14" s="51" t="str">
        <f>IFERROR(VLOOKUP($A14&amp;"-"&amp;F$2, 'S12 Operations'!$B$2:$E$534, 4, 0), "")</f>
        <v>WS-24</v>
      </c>
      <c r="G14" s="51" t="str">
        <f>IFERROR(VLOOKUP($A14&amp;"-"&amp;G$2, 'S12 Operations'!$B$2:$E$534, 4, 0), "")</f>
        <v>WS-29</v>
      </c>
      <c r="H14" s="51" t="str">
        <f>IFERROR(VLOOKUP($A14&amp;"-"&amp;H$2, 'S12 Operations'!$B$2:$E$534, 4, 0), "")</f>
        <v>WS-33</v>
      </c>
      <c r="I14" s="51" t="str">
        <f>IFERROR(VLOOKUP($A14&amp;"-"&amp;I$2, 'S12 Operations'!$B$2:$E$534, 4, 0), "")</f>
        <v>WS-44</v>
      </c>
    </row>
    <row r="15" spans="1:9" x14ac:dyDescent="0.2">
      <c r="A15" s="50" t="str">
        <f>'S08 ABC Output'!A15</f>
        <v>I-073</v>
      </c>
      <c r="B15" s="51" t="str">
        <f>IFERROR(VLOOKUP($A15&amp;"-"&amp;B$2, 'S12 Operations'!$B$2:$E$534, 4, 0), "")</f>
        <v>WS-43</v>
      </c>
      <c r="C15" s="51" t="str">
        <f>IFERROR(VLOOKUP($A15&amp;"-"&amp;C$2, 'S12 Operations'!$B$2:$E$534, 4, 0), "")</f>
        <v>WS-38</v>
      </c>
      <c r="D15" s="51" t="str">
        <f>IFERROR(VLOOKUP($A15&amp;"-"&amp;D$2, 'S12 Operations'!$B$2:$E$534, 4, 0), "")</f>
        <v>WS-07</v>
      </c>
      <c r="E15" s="51" t="str">
        <f>IFERROR(VLOOKUP($A15&amp;"-"&amp;E$2, 'S12 Operations'!$B$2:$E$534, 4, 0), "")</f>
        <v>WS-21</v>
      </c>
      <c r="F15" s="51" t="str">
        <f>IFERROR(VLOOKUP($A15&amp;"-"&amp;F$2, 'S12 Operations'!$B$2:$E$534, 4, 0), "")</f>
        <v>WS-28</v>
      </c>
      <c r="G15" s="51" t="str">
        <f>IFERROR(VLOOKUP($A15&amp;"-"&amp;G$2, 'S12 Operations'!$B$2:$E$534, 4, 0), "")</f>
        <v>WS-27</v>
      </c>
      <c r="H15" s="51" t="str">
        <f>IFERROR(VLOOKUP($A15&amp;"-"&amp;H$2, 'S12 Operations'!$B$2:$E$534, 4, 0), "")</f>
        <v>WS-32</v>
      </c>
      <c r="I15" s="51" t="str">
        <f>IFERROR(VLOOKUP($A15&amp;"-"&amp;I$2, 'S12 Operations'!$B$2:$E$534, 4, 0), "")</f>
        <v>WS-44</v>
      </c>
    </row>
    <row r="16" spans="1:9" x14ac:dyDescent="0.2">
      <c r="A16" s="50" t="str">
        <f>'S08 ABC Output'!A16</f>
        <v>I-071</v>
      </c>
      <c r="B16" s="51" t="str">
        <f>IFERROR(VLOOKUP($A16&amp;"-"&amp;B$2, 'S12 Operations'!$B$2:$E$534, 4, 0), "")</f>
        <v>WS-43</v>
      </c>
      <c r="C16" s="51" t="str">
        <f>IFERROR(VLOOKUP($A16&amp;"-"&amp;C$2, 'S12 Operations'!$B$2:$E$534, 4, 0), "")</f>
        <v>WS-36</v>
      </c>
      <c r="D16" s="51" t="str">
        <f>IFERROR(VLOOKUP($A16&amp;"-"&amp;D$2, 'S12 Operations'!$B$2:$E$534, 4, 0), "")</f>
        <v>WS-05</v>
      </c>
      <c r="E16" s="51" t="str">
        <f>IFERROR(VLOOKUP($A16&amp;"-"&amp;E$2, 'S12 Operations'!$B$2:$E$534, 4, 0), "")</f>
        <v>WS-25</v>
      </c>
      <c r="F16" s="51" t="str">
        <f>IFERROR(VLOOKUP($A16&amp;"-"&amp;F$2, 'S12 Operations'!$B$2:$E$534, 4, 0), "")</f>
        <v>WS-34</v>
      </c>
      <c r="G16" s="51" t="str">
        <f>IFERROR(VLOOKUP($A16&amp;"-"&amp;G$2, 'S12 Operations'!$B$2:$E$534, 4, 0), "")</f>
        <v>WS-44</v>
      </c>
      <c r="H16" s="51" t="str">
        <f>IFERROR(VLOOKUP($A16&amp;"-"&amp;H$2, 'S12 Operations'!$B$2:$E$534, 4, 0), "")</f>
        <v/>
      </c>
      <c r="I16" s="51" t="str">
        <f>IFERROR(VLOOKUP($A16&amp;"-"&amp;I$2, 'S12 Operations'!$B$2:$E$534, 4, 0), "")</f>
        <v/>
      </c>
    </row>
    <row r="17" spans="1:9" x14ac:dyDescent="0.2">
      <c r="A17" s="50" t="str">
        <f>'S08 ABC Output'!A17</f>
        <v>I-007</v>
      </c>
      <c r="B17" s="51" t="str">
        <f>IFERROR(VLOOKUP($A17&amp;"-"&amp;B$2, 'S12 Operations'!$B$2:$E$534, 4, 0), "")</f>
        <v>WS-43</v>
      </c>
      <c r="C17" s="51" t="str">
        <f>IFERROR(VLOOKUP($A17&amp;"-"&amp;C$2, 'S12 Operations'!$B$2:$E$534, 4, 0), "")</f>
        <v>WS-40</v>
      </c>
      <c r="D17" s="51" t="str">
        <f>IFERROR(VLOOKUP($A17&amp;"-"&amp;D$2, 'S12 Operations'!$B$2:$E$534, 4, 0), "")</f>
        <v>WS-02</v>
      </c>
      <c r="E17" s="51" t="str">
        <f>IFERROR(VLOOKUP($A17&amp;"-"&amp;E$2, 'S12 Operations'!$B$2:$E$534, 4, 0), "")</f>
        <v>WS-18</v>
      </c>
      <c r="F17" s="51" t="str">
        <f>IFERROR(VLOOKUP($A17&amp;"-"&amp;F$2, 'S12 Operations'!$B$2:$E$534, 4, 0), "")</f>
        <v>WS-24</v>
      </c>
      <c r="G17" s="51" t="str">
        <f>IFERROR(VLOOKUP($A17&amp;"-"&amp;G$2, 'S12 Operations'!$B$2:$E$534, 4, 0), "")</f>
        <v>WS-29</v>
      </c>
      <c r="H17" s="51" t="str">
        <f>IFERROR(VLOOKUP($A17&amp;"-"&amp;H$2, 'S12 Operations'!$B$2:$E$534, 4, 0), "")</f>
        <v>WS-33</v>
      </c>
      <c r="I17" s="51" t="str">
        <f>IFERROR(VLOOKUP($A17&amp;"-"&amp;I$2, 'S12 Operations'!$B$2:$E$534, 4, 0), "")</f>
        <v>WS-44</v>
      </c>
    </row>
    <row r="18" spans="1:9" x14ac:dyDescent="0.2">
      <c r="A18" s="50" t="str">
        <f>'S08 ABC Output'!A18</f>
        <v>I-074</v>
      </c>
      <c r="B18" s="51" t="str">
        <f>IFERROR(VLOOKUP($A18&amp;"-"&amp;B$2, 'S12 Operations'!$B$2:$E$534, 4, 0), "")</f>
        <v>WS-43</v>
      </c>
      <c r="C18" s="51" t="str">
        <f>IFERROR(VLOOKUP($A18&amp;"-"&amp;C$2, 'S12 Operations'!$B$2:$E$534, 4, 0), "")</f>
        <v>WS-38</v>
      </c>
      <c r="D18" s="51" t="str">
        <f>IFERROR(VLOOKUP($A18&amp;"-"&amp;D$2, 'S12 Operations'!$B$2:$E$534, 4, 0), "")</f>
        <v>WS-07</v>
      </c>
      <c r="E18" s="51" t="str">
        <f>IFERROR(VLOOKUP($A18&amp;"-"&amp;E$2, 'S12 Operations'!$B$2:$E$534, 4, 0), "")</f>
        <v>WS-21</v>
      </c>
      <c r="F18" s="51" t="str">
        <f>IFERROR(VLOOKUP($A18&amp;"-"&amp;F$2, 'S12 Operations'!$B$2:$E$534, 4, 0), "")</f>
        <v>WS-28</v>
      </c>
      <c r="G18" s="51" t="str">
        <f>IFERROR(VLOOKUP($A18&amp;"-"&amp;G$2, 'S12 Operations'!$B$2:$E$534, 4, 0), "")</f>
        <v>WS-27</v>
      </c>
      <c r="H18" s="51" t="str">
        <f>IFERROR(VLOOKUP($A18&amp;"-"&amp;H$2, 'S12 Operations'!$B$2:$E$534, 4, 0), "")</f>
        <v>WS-32</v>
      </c>
      <c r="I18" s="51" t="str">
        <f>IFERROR(VLOOKUP($A18&amp;"-"&amp;I$2, 'S12 Operations'!$B$2:$E$534, 4,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zoomScale="139" zoomScaleNormal="69" workbookViewId="0">
      <selection activeCell="A35" activeCellId="5" sqref="A23:XFD23 A27:XFD27 A30:XFD30 A31:XFD31 A32:XFD32 A35:XFD35"/>
    </sheetView>
  </sheetViews>
  <sheetFormatPr baseColWidth="10" defaultColWidth="11" defaultRowHeight="16" x14ac:dyDescent="0.2"/>
  <cols>
    <col min="1" max="1" width="10.83203125" style="66"/>
    <col min="2" max="27" width="8" customWidth="1"/>
    <col min="28" max="227" width="10.83203125"/>
  </cols>
  <sheetData>
    <row r="1" spans="1:27" ht="18" thickBot="1" x14ac:dyDescent="0.25">
      <c r="A1" s="171" t="s">
        <v>809</v>
      </c>
      <c r="B1" s="52" t="s">
        <v>566</v>
      </c>
      <c r="C1" s="313" t="s">
        <v>567</v>
      </c>
      <c r="D1" s="314"/>
      <c r="E1" s="315"/>
      <c r="F1" s="310" t="s">
        <v>568</v>
      </c>
      <c r="G1" s="311"/>
      <c r="H1" s="312"/>
      <c r="I1" s="313" t="s">
        <v>569</v>
      </c>
      <c r="J1" s="314"/>
      <c r="K1" s="314"/>
      <c r="L1" s="314"/>
      <c r="M1" s="314"/>
      <c r="N1" s="314"/>
      <c r="O1" s="314"/>
      <c r="P1" s="315"/>
      <c r="Q1" s="310" t="s">
        <v>570</v>
      </c>
      <c r="R1" s="311"/>
      <c r="S1" s="311"/>
      <c r="T1" s="312"/>
      <c r="U1" s="313" t="s">
        <v>571</v>
      </c>
      <c r="V1" s="315"/>
      <c r="W1" s="310" t="s">
        <v>567</v>
      </c>
      <c r="X1" s="311"/>
      <c r="Y1" s="312"/>
      <c r="Z1" s="110" t="s">
        <v>572</v>
      </c>
      <c r="AA1" s="52" t="s">
        <v>566</v>
      </c>
    </row>
    <row r="2" spans="1:27" ht="18" thickBot="1" x14ac:dyDescent="0.25">
      <c r="A2" s="123" t="s">
        <v>170</v>
      </c>
      <c r="B2" s="111" t="s">
        <v>616</v>
      </c>
      <c r="C2" s="112" t="s">
        <v>609</v>
      </c>
      <c r="D2" s="113" t="s">
        <v>611</v>
      </c>
      <c r="E2" s="114" t="s">
        <v>613</v>
      </c>
      <c r="F2" s="115" t="s">
        <v>575</v>
      </c>
      <c r="G2" s="116" t="s">
        <v>577</v>
      </c>
      <c r="H2" s="117" t="s">
        <v>580</v>
      </c>
      <c r="I2" s="112" t="s">
        <v>576</v>
      </c>
      <c r="J2" s="113" t="s">
        <v>578</v>
      </c>
      <c r="K2" s="113" t="s">
        <v>581</v>
      </c>
      <c r="L2" s="113" t="s">
        <v>591</v>
      </c>
      <c r="M2" s="113" t="s">
        <v>593</v>
      </c>
      <c r="N2" s="113" t="s">
        <v>594</v>
      </c>
      <c r="O2" s="113" t="s">
        <v>596</v>
      </c>
      <c r="P2" s="114" t="s">
        <v>597</v>
      </c>
      <c r="Q2" s="115" t="s">
        <v>598</v>
      </c>
      <c r="R2" s="116" t="s">
        <v>599</v>
      </c>
      <c r="S2" s="116" t="s">
        <v>601</v>
      </c>
      <c r="T2" s="117" t="s">
        <v>604</v>
      </c>
      <c r="U2" s="112" t="s">
        <v>600</v>
      </c>
      <c r="V2" s="114" t="s">
        <v>602</v>
      </c>
      <c r="W2" s="115" t="s">
        <v>605</v>
      </c>
      <c r="X2" s="116" t="s">
        <v>606</v>
      </c>
      <c r="Y2" s="117" t="s">
        <v>607</v>
      </c>
      <c r="Z2" s="118" t="s">
        <v>615</v>
      </c>
      <c r="AA2" s="111" t="s">
        <v>617</v>
      </c>
    </row>
    <row r="3" spans="1:27" ht="17" x14ac:dyDescent="0.2">
      <c r="A3" s="142" t="str">
        <f>'S08 ABC Output'!A4</f>
        <v>I-004</v>
      </c>
      <c r="B3" s="119">
        <f t="array" ref="B3">IFERROR(VLOOKUP($A3&amp;"-"&amp;B$2, CHOOSE({1,2}, 'S12 Operations'!$C$2:$C$534&amp;"-"&amp;'S12 Operations'!$E$2:$E$534, 'S12 Operations'!$D$2:$D$534), 2, 0), "")</f>
        <v>10</v>
      </c>
      <c r="C3" s="131">
        <f t="array" ref="C3">IFERROR(VLOOKUP($A3&amp;"-"&amp;C$2, CHOOSE({1,2}, 'S12 Operations'!$C$2:$C$534&amp;"-"&amp;'S12 Operations'!$E$2:$E$534, 'S12 Operations'!$D$2:$D$534), 2, 0), "")</f>
        <v>20</v>
      </c>
      <c r="D3" s="132" t="str">
        <f t="array" ref="D3">IFERROR(VLOOKUP($A3&amp;"-"&amp;D$2, CHOOSE({1,2}, 'S12 Operations'!$C$2:$C$534&amp;"-"&amp;'S12 Operations'!$E$2:$E$534, 'S12 Operations'!$D$2:$D$534), 2, 0), "")</f>
        <v/>
      </c>
      <c r="E3" s="133" t="str">
        <f t="array" ref="E3">IFERROR(VLOOKUP($A3&amp;"-"&amp;E$2, CHOOSE({1,2}, 'S12 Operations'!$C$2:$C$534&amp;"-"&amp;'S12 Operations'!$E$2:$E$534, 'S12 Operations'!$D$2:$D$534), 2, 0), "")</f>
        <v/>
      </c>
      <c r="F3" s="134" t="str">
        <f t="array" ref="F3">IFERROR(VLOOKUP($A3&amp;"-"&amp;F$2, CHOOSE({1,2}, 'S12 Operations'!$C$2:$C$534&amp;"-"&amp;'S12 Operations'!$E$2:$E$534, 'S12 Operations'!$D$2:$D$534), 2, 0), "")</f>
        <v/>
      </c>
      <c r="G3" s="135" t="str">
        <f t="array" ref="G3">IFERROR(VLOOKUP($A3&amp;"-"&amp;G$2, CHOOSE({1,2}, 'S12 Operations'!$C$2:$C$534&amp;"-"&amp;'S12 Operations'!$E$2:$E$534, 'S12 Operations'!$D$2:$D$534), 2, 0), "")</f>
        <v/>
      </c>
      <c r="H3" s="136" t="str">
        <f t="array" ref="H3">IFERROR(VLOOKUP($A3&amp;"-"&amp;H$2, CHOOSE({1,2}, 'S12 Operations'!$C$2:$C$534&amp;"-"&amp;'S12 Operations'!$E$2:$E$534, 'S12 Operations'!$D$2:$D$534), 2, 0), "")</f>
        <v/>
      </c>
      <c r="I3" s="131" t="str">
        <f t="array" ref="I3">IFERROR(VLOOKUP($A3&amp;"-"&amp;I$2, CHOOSE({1,2}, 'S12 Operations'!$C$2:$C$534&amp;"-"&amp;'S12 Operations'!$E$2:$E$534, 'S12 Operations'!$D$2:$D$534), 2, 0), "")</f>
        <v/>
      </c>
      <c r="J3" s="132">
        <f t="array" ref="J3">IFERROR(VLOOKUP($A3&amp;"-"&amp;J$2, CHOOSE({1,2}, 'S12 Operations'!$C$2:$C$534&amp;"-"&amp;'S12 Operations'!$E$2:$E$534, 'S12 Operations'!$D$2:$D$534), 2, 0), "")</f>
        <v>30</v>
      </c>
      <c r="K3" s="132" t="str">
        <f t="array" ref="K3">IFERROR(VLOOKUP($A3&amp;"-"&amp;K$2, CHOOSE({1,2}, 'S12 Operations'!$C$2:$C$534&amp;"-"&amp;'S12 Operations'!$E$2:$E$534, 'S12 Operations'!$D$2:$D$534), 2, 0), "")</f>
        <v/>
      </c>
      <c r="L3" s="132" t="str">
        <f t="array" ref="L3">IFERROR(VLOOKUP($A3&amp;"-"&amp;L$2, CHOOSE({1,2}, 'S12 Operations'!$C$2:$C$534&amp;"-"&amp;'S12 Operations'!$E$2:$E$534, 'S12 Operations'!$D$2:$D$534), 2, 0), "")</f>
        <v/>
      </c>
      <c r="M3" s="132" t="str">
        <f t="array" ref="M3">IFERROR(VLOOKUP($A3&amp;"-"&amp;M$2, CHOOSE({1,2}, 'S12 Operations'!$C$2:$C$534&amp;"-"&amp;'S12 Operations'!$E$2:$E$534, 'S12 Operations'!$D$2:$D$534), 2, 0), "")</f>
        <v/>
      </c>
      <c r="N3" s="132" t="str">
        <f t="array" ref="N3">IFERROR(VLOOKUP($A3&amp;"-"&amp;N$2, CHOOSE({1,2}, 'S12 Operations'!$C$2:$C$534&amp;"-"&amp;'S12 Operations'!$E$2:$E$534, 'S12 Operations'!$D$2:$D$534), 2, 0), "")</f>
        <v/>
      </c>
      <c r="O3" s="132" t="str">
        <f t="array" ref="O3">IFERROR(VLOOKUP($A3&amp;"-"&amp;O$2, CHOOSE({1,2}, 'S12 Operations'!$C$2:$C$534&amp;"-"&amp;'S12 Operations'!$E$2:$E$534, 'S12 Operations'!$D$2:$D$534), 2, 0), "")</f>
        <v/>
      </c>
      <c r="P3" s="133" t="str">
        <f t="array" ref="P3">IFERROR(VLOOKUP($A3&amp;"-"&amp;P$2, CHOOSE({1,2}, 'S12 Operations'!$C$2:$C$534&amp;"-"&amp;'S12 Operations'!$E$2:$E$534, 'S12 Operations'!$D$2:$D$534), 2, 0), "")</f>
        <v/>
      </c>
      <c r="Q3" s="134">
        <f t="array" ref="Q3">IFERROR(VLOOKUP($A3&amp;"-"&amp;Q$2, CHOOSE({1,2}, 'S12 Operations'!$C$2:$C$534&amp;"-"&amp;'S12 Operations'!$E$2:$E$534, 'S12 Operations'!$D$2:$D$534), 2, 0), "")</f>
        <v>40</v>
      </c>
      <c r="R3" s="135" t="str">
        <f t="array" ref="R3">IFERROR(VLOOKUP($A3&amp;"-"&amp;R$2, CHOOSE({1,2}, 'S12 Operations'!$C$2:$C$534&amp;"-"&amp;'S12 Operations'!$E$2:$E$534, 'S12 Operations'!$D$2:$D$534), 2, 0), "")</f>
        <v/>
      </c>
      <c r="S3" s="135" t="str">
        <f t="array" ref="S3">IFERROR(VLOOKUP($A3&amp;"-"&amp;S$2, CHOOSE({1,2}, 'S12 Operations'!$C$2:$C$534&amp;"-"&amp;'S12 Operations'!$E$2:$E$534, 'S12 Operations'!$D$2:$D$534), 2, 0), "")</f>
        <v/>
      </c>
      <c r="T3" s="136" t="str">
        <f t="array" ref="T3">IFERROR(VLOOKUP($A3&amp;"-"&amp;T$2, CHOOSE({1,2}, 'S12 Operations'!$C$2:$C$534&amp;"-"&amp;'S12 Operations'!$E$2:$E$534, 'S12 Operations'!$D$2:$D$534), 2, 0), "")</f>
        <v/>
      </c>
      <c r="U3" s="131" t="str">
        <f t="array" ref="U3">IFERROR(VLOOKUP($A3&amp;"-"&amp;U$2, CHOOSE({1,2}, 'S12 Operations'!$C$2:$C$534&amp;"-"&amp;'S12 Operations'!$E$2:$E$534, 'S12 Operations'!$D$2:$D$534), 2, 0), "")</f>
        <v/>
      </c>
      <c r="V3" s="133" t="str">
        <f t="array" ref="V3">IFERROR(VLOOKUP($A3&amp;"-"&amp;V$2, CHOOSE({1,2}, 'S12 Operations'!$C$2:$C$534&amp;"-"&amp;'S12 Operations'!$E$2:$E$534, 'S12 Operations'!$D$2:$D$534), 2, 0), "")</f>
        <v/>
      </c>
      <c r="W3" s="134" t="str">
        <f t="array" ref="W3">IFERROR(VLOOKUP($A3&amp;"-"&amp;W$2, CHOOSE({1,2}, 'S12 Operations'!$C$2:$C$534&amp;"-"&amp;'S12 Operations'!$E$2:$E$534, 'S12 Operations'!$D$2:$D$534), 2, 0), "")</f>
        <v/>
      </c>
      <c r="X3" s="135" t="str">
        <f t="array" ref="X3">IFERROR(VLOOKUP($A3&amp;"-"&amp;X$2, CHOOSE({1,2}, 'S12 Operations'!$C$2:$C$534&amp;"-"&amp;'S12 Operations'!$E$2:$E$534, 'S12 Operations'!$D$2:$D$534), 2, 0), "")</f>
        <v/>
      </c>
      <c r="Y3" s="136">
        <f t="array" ref="Y3">IFERROR(VLOOKUP($A3&amp;"-"&amp;Y$2, CHOOSE({1,2}, 'S12 Operations'!$C$2:$C$534&amp;"-"&amp;'S12 Operations'!$E$2:$E$534, 'S12 Operations'!$D$2:$D$534), 2, 0), "")</f>
        <v>50</v>
      </c>
      <c r="Z3" s="120" t="str">
        <f t="array" ref="Z3">IFERROR(VLOOKUP($A3&amp;"-"&amp;Z$2, CHOOSE({1,2}, 'S12 Operations'!$C$2:$C$534&amp;"-"&amp;'S12 Operations'!$E$2:$E$534, 'S12 Operations'!$D$2:$D$534), 2, 0), "")</f>
        <v/>
      </c>
      <c r="AA3" s="119">
        <f t="array" ref="AA3">IFERROR(VLOOKUP($A3&amp;"-"&amp;AA$2, CHOOSE({1,2}, 'S12 Operations'!$C$2:$C$534&amp;"-"&amp;'S12 Operations'!$E$2:$E$534, 'S12 Operations'!$D$2:$D$534), 2, 0), "")</f>
        <v>60</v>
      </c>
    </row>
    <row r="4" spans="1:27" ht="17" x14ac:dyDescent="0.2">
      <c r="A4" s="143" t="str">
        <f>'S08 ABC Output'!A11</f>
        <v>I-066</v>
      </c>
      <c r="B4" s="59">
        <f t="array" ref="B4">IFERROR(VLOOKUP($A4&amp;"-"&amp;B$2, CHOOSE({1,2}, 'S12 Operations'!$C$2:$C$534&amp;"-"&amp;'S12 Operations'!$E$2:$E$534, 'S12 Operations'!$D$2:$D$534), 2, 0), "")</f>
        <v>10</v>
      </c>
      <c r="C4" s="124">
        <f t="array" ref="C4">IFERROR(VLOOKUP($A4&amp;"-"&amp;C$2, CHOOSE({1,2}, 'S12 Operations'!$C$2:$C$534&amp;"-"&amp;'S12 Operations'!$E$2:$E$534, 'S12 Operations'!$D$2:$D$534), 2, 0), "")</f>
        <v>20</v>
      </c>
      <c r="D4" s="122" t="str">
        <f t="array" ref="D4">IFERROR(VLOOKUP($A4&amp;"-"&amp;D$2, CHOOSE({1,2}, 'S12 Operations'!$C$2:$C$534&amp;"-"&amp;'S12 Operations'!$E$2:$E$534, 'S12 Operations'!$D$2:$D$534), 2, 0), "")</f>
        <v/>
      </c>
      <c r="E4" s="125" t="str">
        <f t="array" ref="E4">IFERROR(VLOOKUP($A4&amp;"-"&amp;E$2, CHOOSE({1,2}, 'S12 Operations'!$C$2:$C$534&amp;"-"&amp;'S12 Operations'!$E$2:$E$534, 'S12 Operations'!$D$2:$D$534), 2, 0), "")</f>
        <v/>
      </c>
      <c r="F4" s="60" t="str">
        <f t="array" ref="F4">IFERROR(VLOOKUP($A4&amp;"-"&amp;F$2, CHOOSE({1,2}, 'S12 Operations'!$C$2:$C$534&amp;"-"&amp;'S12 Operations'!$E$2:$E$534, 'S12 Operations'!$D$2:$D$534), 2, 0), "")</f>
        <v/>
      </c>
      <c r="G4" s="4" t="str">
        <f t="array" ref="G4">IFERROR(VLOOKUP($A4&amp;"-"&amp;G$2, CHOOSE({1,2}, 'S12 Operations'!$C$2:$C$534&amp;"-"&amp;'S12 Operations'!$E$2:$E$534, 'S12 Operations'!$D$2:$D$534), 2, 0), "")</f>
        <v/>
      </c>
      <c r="H4" s="61" t="str">
        <f t="array" ref="H4">IFERROR(VLOOKUP($A4&amp;"-"&amp;H$2, CHOOSE({1,2}, 'S12 Operations'!$C$2:$C$534&amp;"-"&amp;'S12 Operations'!$E$2:$E$534, 'S12 Operations'!$D$2:$D$534), 2, 0), "")</f>
        <v/>
      </c>
      <c r="I4" s="124" t="str">
        <f t="array" ref="I4">IFERROR(VLOOKUP($A4&amp;"-"&amp;I$2, CHOOSE({1,2}, 'S12 Operations'!$C$2:$C$534&amp;"-"&amp;'S12 Operations'!$E$2:$E$534, 'S12 Operations'!$D$2:$D$534), 2, 0), "")</f>
        <v/>
      </c>
      <c r="J4" s="122">
        <f t="array" ref="J4">IFERROR(VLOOKUP($A4&amp;"-"&amp;J$2, CHOOSE({1,2}, 'S12 Operations'!$C$2:$C$534&amp;"-"&amp;'S12 Operations'!$E$2:$E$534, 'S12 Operations'!$D$2:$D$534), 2, 0), "")</f>
        <v>30</v>
      </c>
      <c r="K4" s="122" t="str">
        <f t="array" ref="K4">IFERROR(VLOOKUP($A4&amp;"-"&amp;K$2, CHOOSE({1,2}, 'S12 Operations'!$C$2:$C$534&amp;"-"&amp;'S12 Operations'!$E$2:$E$534, 'S12 Operations'!$D$2:$D$534), 2, 0), "")</f>
        <v/>
      </c>
      <c r="L4" s="122" t="str">
        <f t="array" ref="L4">IFERROR(VLOOKUP($A4&amp;"-"&amp;L$2, CHOOSE({1,2}, 'S12 Operations'!$C$2:$C$534&amp;"-"&amp;'S12 Operations'!$E$2:$E$534, 'S12 Operations'!$D$2:$D$534), 2, 0), "")</f>
        <v/>
      </c>
      <c r="M4" s="122" t="str">
        <f t="array" ref="M4">IFERROR(VLOOKUP($A4&amp;"-"&amp;M$2, CHOOSE({1,2}, 'S12 Operations'!$C$2:$C$534&amp;"-"&amp;'S12 Operations'!$E$2:$E$534, 'S12 Operations'!$D$2:$D$534), 2, 0), "")</f>
        <v/>
      </c>
      <c r="N4" s="122" t="str">
        <f t="array" ref="N4">IFERROR(VLOOKUP($A4&amp;"-"&amp;N$2, CHOOSE({1,2}, 'S12 Operations'!$C$2:$C$534&amp;"-"&amp;'S12 Operations'!$E$2:$E$534, 'S12 Operations'!$D$2:$D$534), 2, 0), "")</f>
        <v/>
      </c>
      <c r="O4" s="122" t="str">
        <f t="array" ref="O4">IFERROR(VLOOKUP($A4&amp;"-"&amp;O$2, CHOOSE({1,2}, 'S12 Operations'!$C$2:$C$534&amp;"-"&amp;'S12 Operations'!$E$2:$E$534, 'S12 Operations'!$D$2:$D$534), 2, 0), "")</f>
        <v/>
      </c>
      <c r="P4" s="125" t="str">
        <f t="array" ref="P4">IFERROR(VLOOKUP($A4&amp;"-"&amp;P$2, CHOOSE({1,2}, 'S12 Operations'!$C$2:$C$534&amp;"-"&amp;'S12 Operations'!$E$2:$E$534, 'S12 Operations'!$D$2:$D$534), 2, 0), "")</f>
        <v/>
      </c>
      <c r="Q4" s="60">
        <f t="array" ref="Q4">IFERROR(VLOOKUP($A4&amp;"-"&amp;Q$2, CHOOSE({1,2}, 'S12 Operations'!$C$2:$C$534&amp;"-"&amp;'S12 Operations'!$E$2:$E$534, 'S12 Operations'!$D$2:$D$534), 2, 0), "")</f>
        <v>40</v>
      </c>
      <c r="R4" s="4" t="str">
        <f t="array" ref="R4">IFERROR(VLOOKUP($A4&amp;"-"&amp;R$2, CHOOSE({1,2}, 'S12 Operations'!$C$2:$C$534&amp;"-"&amp;'S12 Operations'!$E$2:$E$534, 'S12 Operations'!$D$2:$D$534), 2, 0), "")</f>
        <v/>
      </c>
      <c r="S4" s="4" t="str">
        <f t="array" ref="S4">IFERROR(VLOOKUP($A4&amp;"-"&amp;S$2, CHOOSE({1,2}, 'S12 Operations'!$C$2:$C$534&amp;"-"&amp;'S12 Operations'!$E$2:$E$534, 'S12 Operations'!$D$2:$D$534), 2, 0), "")</f>
        <v/>
      </c>
      <c r="T4" s="61" t="str">
        <f t="array" ref="T4">IFERROR(VLOOKUP($A4&amp;"-"&amp;T$2, CHOOSE({1,2}, 'S12 Operations'!$C$2:$C$534&amp;"-"&amp;'S12 Operations'!$E$2:$E$534, 'S12 Operations'!$D$2:$D$534), 2, 0), "")</f>
        <v/>
      </c>
      <c r="U4" s="124" t="str">
        <f t="array" ref="U4">IFERROR(VLOOKUP($A4&amp;"-"&amp;U$2, CHOOSE({1,2}, 'S12 Operations'!$C$2:$C$534&amp;"-"&amp;'S12 Operations'!$E$2:$E$534, 'S12 Operations'!$D$2:$D$534), 2, 0), "")</f>
        <v/>
      </c>
      <c r="V4" s="125" t="str">
        <f t="array" ref="V4">IFERROR(VLOOKUP($A4&amp;"-"&amp;V$2, CHOOSE({1,2}, 'S12 Operations'!$C$2:$C$534&amp;"-"&amp;'S12 Operations'!$E$2:$E$534, 'S12 Operations'!$D$2:$D$534), 2, 0), "")</f>
        <v/>
      </c>
      <c r="W4" s="60" t="str">
        <f t="array" ref="W4">IFERROR(VLOOKUP($A4&amp;"-"&amp;W$2, CHOOSE({1,2}, 'S12 Operations'!$C$2:$C$534&amp;"-"&amp;'S12 Operations'!$E$2:$E$534, 'S12 Operations'!$D$2:$D$534), 2, 0), "")</f>
        <v/>
      </c>
      <c r="X4" s="4" t="str">
        <f t="array" ref="X4">IFERROR(VLOOKUP($A4&amp;"-"&amp;X$2, CHOOSE({1,2}, 'S12 Operations'!$C$2:$C$534&amp;"-"&amp;'S12 Operations'!$E$2:$E$534, 'S12 Operations'!$D$2:$D$534), 2, 0), "")</f>
        <v/>
      </c>
      <c r="Y4" s="61">
        <f t="array" ref="Y4">IFERROR(VLOOKUP($A4&amp;"-"&amp;Y$2, CHOOSE({1,2}, 'S12 Operations'!$C$2:$C$534&amp;"-"&amp;'S12 Operations'!$E$2:$E$534, 'S12 Operations'!$D$2:$D$534), 2, 0), "")</f>
        <v>50</v>
      </c>
      <c r="Z4" s="129" t="str">
        <f t="array" ref="Z4">IFERROR(VLOOKUP($A4&amp;"-"&amp;Z$2, CHOOSE({1,2}, 'S12 Operations'!$C$2:$C$534&amp;"-"&amp;'S12 Operations'!$E$2:$E$534, 'S12 Operations'!$D$2:$D$534), 2, 0), "")</f>
        <v/>
      </c>
      <c r="AA4" s="59">
        <f t="array" ref="AA4">IFERROR(VLOOKUP($A4&amp;"-"&amp;AA$2, CHOOSE({1,2}, 'S12 Operations'!$C$2:$C$534&amp;"-"&amp;'S12 Operations'!$E$2:$E$534, 'S12 Operations'!$D$2:$D$534), 2, 0), "")</f>
        <v>60</v>
      </c>
    </row>
    <row r="5" spans="1:27" ht="17" x14ac:dyDescent="0.2">
      <c r="A5" s="143" t="str">
        <f>'S08 ABC Output'!A8</f>
        <v>I-068</v>
      </c>
      <c r="B5" s="59">
        <f t="array" ref="B5">IFERROR(VLOOKUP($A5&amp;"-"&amp;B$2, CHOOSE({1,2}, 'S12 Operations'!$C$2:$C$534&amp;"-"&amp;'S12 Operations'!$E$2:$E$534, 'S12 Operations'!$D$2:$D$534), 2, 0), "")</f>
        <v>10</v>
      </c>
      <c r="C5" s="124">
        <f t="array" ref="C5">IFERROR(VLOOKUP($A5&amp;"-"&amp;C$2, CHOOSE({1,2}, 'S12 Operations'!$C$2:$C$534&amp;"-"&amp;'S12 Operations'!$E$2:$E$534, 'S12 Operations'!$D$2:$D$534), 2, 0), "")</f>
        <v>20</v>
      </c>
      <c r="D5" s="122" t="str">
        <f t="array" ref="D5">IFERROR(VLOOKUP($A5&amp;"-"&amp;D$2, CHOOSE({1,2}, 'S12 Operations'!$C$2:$C$534&amp;"-"&amp;'S12 Operations'!$E$2:$E$534, 'S12 Operations'!$D$2:$D$534), 2, 0), "")</f>
        <v/>
      </c>
      <c r="E5" s="125" t="str">
        <f t="array" ref="E5">IFERROR(VLOOKUP($A5&amp;"-"&amp;E$2, CHOOSE({1,2}, 'S12 Operations'!$C$2:$C$534&amp;"-"&amp;'S12 Operations'!$E$2:$E$534, 'S12 Operations'!$D$2:$D$534), 2, 0), "")</f>
        <v/>
      </c>
      <c r="F5" s="60" t="str">
        <f t="array" ref="F5">IFERROR(VLOOKUP($A5&amp;"-"&amp;F$2, CHOOSE({1,2}, 'S12 Operations'!$C$2:$C$534&amp;"-"&amp;'S12 Operations'!$E$2:$E$534, 'S12 Operations'!$D$2:$D$534), 2, 0), "")</f>
        <v/>
      </c>
      <c r="G5" s="4" t="str">
        <f t="array" ref="G5">IFERROR(VLOOKUP($A5&amp;"-"&amp;G$2, CHOOSE({1,2}, 'S12 Operations'!$C$2:$C$534&amp;"-"&amp;'S12 Operations'!$E$2:$E$534, 'S12 Operations'!$D$2:$D$534), 2, 0), "")</f>
        <v/>
      </c>
      <c r="H5" s="61" t="str">
        <f t="array" ref="H5">IFERROR(VLOOKUP($A5&amp;"-"&amp;H$2, CHOOSE({1,2}, 'S12 Operations'!$C$2:$C$534&amp;"-"&amp;'S12 Operations'!$E$2:$E$534, 'S12 Operations'!$D$2:$D$534), 2, 0), "")</f>
        <v/>
      </c>
      <c r="I5" s="124" t="str">
        <f t="array" ref="I5">IFERROR(VLOOKUP($A5&amp;"-"&amp;I$2, CHOOSE({1,2}, 'S12 Operations'!$C$2:$C$534&amp;"-"&amp;'S12 Operations'!$E$2:$E$534, 'S12 Operations'!$D$2:$D$534), 2, 0), "")</f>
        <v/>
      </c>
      <c r="J5" s="122">
        <f t="array" ref="J5">IFERROR(VLOOKUP($A5&amp;"-"&amp;J$2, CHOOSE({1,2}, 'S12 Operations'!$C$2:$C$534&amp;"-"&amp;'S12 Operations'!$E$2:$E$534, 'S12 Operations'!$D$2:$D$534), 2, 0), "")</f>
        <v>30</v>
      </c>
      <c r="K5" s="122" t="str">
        <f t="array" ref="K5">IFERROR(VLOOKUP($A5&amp;"-"&amp;K$2, CHOOSE({1,2}, 'S12 Operations'!$C$2:$C$534&amp;"-"&amp;'S12 Operations'!$E$2:$E$534, 'S12 Operations'!$D$2:$D$534), 2, 0), "")</f>
        <v/>
      </c>
      <c r="L5" s="122" t="str">
        <f t="array" ref="L5">IFERROR(VLOOKUP($A5&amp;"-"&amp;L$2, CHOOSE({1,2}, 'S12 Operations'!$C$2:$C$534&amp;"-"&amp;'S12 Operations'!$E$2:$E$534, 'S12 Operations'!$D$2:$D$534), 2, 0), "")</f>
        <v/>
      </c>
      <c r="M5" s="122" t="str">
        <f t="array" ref="M5">IFERROR(VLOOKUP($A5&amp;"-"&amp;M$2, CHOOSE({1,2}, 'S12 Operations'!$C$2:$C$534&amp;"-"&amp;'S12 Operations'!$E$2:$E$534, 'S12 Operations'!$D$2:$D$534), 2, 0), "")</f>
        <v/>
      </c>
      <c r="N5" s="122" t="str">
        <f t="array" ref="N5">IFERROR(VLOOKUP($A5&amp;"-"&amp;N$2, CHOOSE({1,2}, 'S12 Operations'!$C$2:$C$534&amp;"-"&amp;'S12 Operations'!$E$2:$E$534, 'S12 Operations'!$D$2:$D$534), 2, 0), "")</f>
        <v/>
      </c>
      <c r="O5" s="122" t="str">
        <f t="array" ref="O5">IFERROR(VLOOKUP($A5&amp;"-"&amp;O$2, CHOOSE({1,2}, 'S12 Operations'!$C$2:$C$534&amp;"-"&amp;'S12 Operations'!$E$2:$E$534, 'S12 Operations'!$D$2:$D$534), 2, 0), "")</f>
        <v/>
      </c>
      <c r="P5" s="125" t="str">
        <f t="array" ref="P5">IFERROR(VLOOKUP($A5&amp;"-"&amp;P$2, CHOOSE({1,2}, 'S12 Operations'!$C$2:$C$534&amp;"-"&amp;'S12 Operations'!$E$2:$E$534, 'S12 Operations'!$D$2:$D$534), 2, 0), "")</f>
        <v/>
      </c>
      <c r="Q5" s="60">
        <f t="array" ref="Q5">IFERROR(VLOOKUP($A5&amp;"-"&amp;Q$2, CHOOSE({1,2}, 'S12 Operations'!$C$2:$C$534&amp;"-"&amp;'S12 Operations'!$E$2:$E$534, 'S12 Operations'!$D$2:$D$534), 2, 0), "")</f>
        <v>40</v>
      </c>
      <c r="R5" s="4" t="str">
        <f t="array" ref="R5">IFERROR(VLOOKUP($A5&amp;"-"&amp;R$2, CHOOSE({1,2}, 'S12 Operations'!$C$2:$C$534&amp;"-"&amp;'S12 Operations'!$E$2:$E$534, 'S12 Operations'!$D$2:$D$534), 2, 0), "")</f>
        <v/>
      </c>
      <c r="S5" s="4" t="str">
        <f t="array" ref="S5">IFERROR(VLOOKUP($A5&amp;"-"&amp;S$2, CHOOSE({1,2}, 'S12 Operations'!$C$2:$C$534&amp;"-"&amp;'S12 Operations'!$E$2:$E$534, 'S12 Operations'!$D$2:$D$534), 2, 0), "")</f>
        <v/>
      </c>
      <c r="T5" s="61" t="str">
        <f t="array" ref="T5">IFERROR(VLOOKUP($A5&amp;"-"&amp;T$2, CHOOSE({1,2}, 'S12 Operations'!$C$2:$C$534&amp;"-"&amp;'S12 Operations'!$E$2:$E$534, 'S12 Operations'!$D$2:$D$534), 2, 0), "")</f>
        <v/>
      </c>
      <c r="U5" s="124" t="str">
        <f t="array" ref="U5">IFERROR(VLOOKUP($A5&amp;"-"&amp;U$2, CHOOSE({1,2}, 'S12 Operations'!$C$2:$C$534&amp;"-"&amp;'S12 Operations'!$E$2:$E$534, 'S12 Operations'!$D$2:$D$534), 2, 0), "")</f>
        <v/>
      </c>
      <c r="V5" s="125" t="str">
        <f t="array" ref="V5">IFERROR(VLOOKUP($A5&amp;"-"&amp;V$2, CHOOSE({1,2}, 'S12 Operations'!$C$2:$C$534&amp;"-"&amp;'S12 Operations'!$E$2:$E$534, 'S12 Operations'!$D$2:$D$534), 2, 0), "")</f>
        <v/>
      </c>
      <c r="W5" s="60" t="str">
        <f t="array" ref="W5">IFERROR(VLOOKUP($A5&amp;"-"&amp;W$2, CHOOSE({1,2}, 'S12 Operations'!$C$2:$C$534&amp;"-"&amp;'S12 Operations'!$E$2:$E$534, 'S12 Operations'!$D$2:$D$534), 2, 0), "")</f>
        <v/>
      </c>
      <c r="X5" s="4" t="str">
        <f t="array" ref="X5">IFERROR(VLOOKUP($A5&amp;"-"&amp;X$2, CHOOSE({1,2}, 'S12 Operations'!$C$2:$C$534&amp;"-"&amp;'S12 Operations'!$E$2:$E$534, 'S12 Operations'!$D$2:$D$534), 2, 0), "")</f>
        <v/>
      </c>
      <c r="Y5" s="61">
        <f t="array" ref="Y5">IFERROR(VLOOKUP($A5&amp;"-"&amp;Y$2, CHOOSE({1,2}, 'S12 Operations'!$C$2:$C$534&amp;"-"&amp;'S12 Operations'!$E$2:$E$534, 'S12 Operations'!$D$2:$D$534), 2, 0), "")</f>
        <v>50</v>
      </c>
      <c r="Z5" s="129" t="str">
        <f t="array" ref="Z5">IFERROR(VLOOKUP($A5&amp;"-"&amp;Z$2, CHOOSE({1,2}, 'S12 Operations'!$C$2:$C$534&amp;"-"&amp;'S12 Operations'!$E$2:$E$534, 'S12 Operations'!$D$2:$D$534), 2, 0), "")</f>
        <v/>
      </c>
      <c r="AA5" s="59">
        <f t="array" ref="AA5">IFERROR(VLOOKUP($A5&amp;"-"&amp;AA$2, CHOOSE({1,2}, 'S12 Operations'!$C$2:$C$534&amp;"-"&amp;'S12 Operations'!$E$2:$E$534, 'S12 Operations'!$D$2:$D$534), 2, 0), "")</f>
        <v>60</v>
      </c>
    </row>
    <row r="6" spans="1:27" ht="17" x14ac:dyDescent="0.2">
      <c r="A6" s="143" t="str">
        <f>'S08 ABC Output'!A12</f>
        <v>I-069</v>
      </c>
      <c r="B6" s="59">
        <f t="array" ref="B6">IFERROR(VLOOKUP($A6&amp;"-"&amp;B$2, CHOOSE({1,2}, 'S12 Operations'!$C$2:$C$534&amp;"-"&amp;'S12 Operations'!$E$2:$E$534, 'S12 Operations'!$D$2:$D$534), 2, 0), "")</f>
        <v>10</v>
      </c>
      <c r="C6" s="124">
        <f t="array" ref="C6">IFERROR(VLOOKUP($A6&amp;"-"&amp;C$2, CHOOSE({1,2}, 'S12 Operations'!$C$2:$C$534&amp;"-"&amp;'S12 Operations'!$E$2:$E$534, 'S12 Operations'!$D$2:$D$534), 2, 0), "")</f>
        <v>20</v>
      </c>
      <c r="D6" s="122" t="str">
        <f t="array" ref="D6">IFERROR(VLOOKUP($A6&amp;"-"&amp;D$2, CHOOSE({1,2}, 'S12 Operations'!$C$2:$C$534&amp;"-"&amp;'S12 Operations'!$E$2:$E$534, 'S12 Operations'!$D$2:$D$534), 2, 0), "")</f>
        <v/>
      </c>
      <c r="E6" s="125" t="str">
        <f t="array" ref="E6">IFERROR(VLOOKUP($A6&amp;"-"&amp;E$2, CHOOSE({1,2}, 'S12 Operations'!$C$2:$C$534&amp;"-"&amp;'S12 Operations'!$E$2:$E$534, 'S12 Operations'!$D$2:$D$534), 2, 0), "")</f>
        <v/>
      </c>
      <c r="F6" s="60" t="str">
        <f t="array" ref="F6">IFERROR(VLOOKUP($A6&amp;"-"&amp;F$2, CHOOSE({1,2}, 'S12 Operations'!$C$2:$C$534&amp;"-"&amp;'S12 Operations'!$E$2:$E$534, 'S12 Operations'!$D$2:$D$534), 2, 0), "")</f>
        <v/>
      </c>
      <c r="G6" s="4" t="str">
        <f t="array" ref="G6">IFERROR(VLOOKUP($A6&amp;"-"&amp;G$2, CHOOSE({1,2}, 'S12 Operations'!$C$2:$C$534&amp;"-"&amp;'S12 Operations'!$E$2:$E$534, 'S12 Operations'!$D$2:$D$534), 2, 0), "")</f>
        <v/>
      </c>
      <c r="H6" s="61" t="str">
        <f t="array" ref="H6">IFERROR(VLOOKUP($A6&amp;"-"&amp;H$2, CHOOSE({1,2}, 'S12 Operations'!$C$2:$C$534&amp;"-"&amp;'S12 Operations'!$E$2:$E$534, 'S12 Operations'!$D$2:$D$534), 2, 0), "")</f>
        <v/>
      </c>
      <c r="I6" s="124" t="str">
        <f t="array" ref="I6">IFERROR(VLOOKUP($A6&amp;"-"&amp;I$2, CHOOSE({1,2}, 'S12 Operations'!$C$2:$C$534&amp;"-"&amp;'S12 Operations'!$E$2:$E$534, 'S12 Operations'!$D$2:$D$534), 2, 0), "")</f>
        <v/>
      </c>
      <c r="J6" s="122">
        <f t="array" ref="J6">IFERROR(VLOOKUP($A6&amp;"-"&amp;J$2, CHOOSE({1,2}, 'S12 Operations'!$C$2:$C$534&amp;"-"&amp;'S12 Operations'!$E$2:$E$534, 'S12 Operations'!$D$2:$D$534), 2, 0), "")</f>
        <v>30</v>
      </c>
      <c r="K6" s="122" t="str">
        <f t="array" ref="K6">IFERROR(VLOOKUP($A6&amp;"-"&amp;K$2, CHOOSE({1,2}, 'S12 Operations'!$C$2:$C$534&amp;"-"&amp;'S12 Operations'!$E$2:$E$534, 'S12 Operations'!$D$2:$D$534), 2, 0), "")</f>
        <v/>
      </c>
      <c r="L6" s="122" t="str">
        <f t="array" ref="L6">IFERROR(VLOOKUP($A6&amp;"-"&amp;L$2, CHOOSE({1,2}, 'S12 Operations'!$C$2:$C$534&amp;"-"&amp;'S12 Operations'!$E$2:$E$534, 'S12 Operations'!$D$2:$D$534), 2, 0), "")</f>
        <v/>
      </c>
      <c r="M6" s="122" t="str">
        <f t="array" ref="M6">IFERROR(VLOOKUP($A6&amp;"-"&amp;M$2, CHOOSE({1,2}, 'S12 Operations'!$C$2:$C$534&amp;"-"&amp;'S12 Operations'!$E$2:$E$534, 'S12 Operations'!$D$2:$D$534), 2, 0), "")</f>
        <v/>
      </c>
      <c r="N6" s="122" t="str">
        <f t="array" ref="N6">IFERROR(VLOOKUP($A6&amp;"-"&amp;N$2, CHOOSE({1,2}, 'S12 Operations'!$C$2:$C$534&amp;"-"&amp;'S12 Operations'!$E$2:$E$534, 'S12 Operations'!$D$2:$D$534), 2, 0), "")</f>
        <v/>
      </c>
      <c r="O6" s="122" t="str">
        <f t="array" ref="O6">IFERROR(VLOOKUP($A6&amp;"-"&amp;O$2, CHOOSE({1,2}, 'S12 Operations'!$C$2:$C$534&amp;"-"&amp;'S12 Operations'!$E$2:$E$534, 'S12 Operations'!$D$2:$D$534), 2, 0), "")</f>
        <v/>
      </c>
      <c r="P6" s="125" t="str">
        <f t="array" ref="P6">IFERROR(VLOOKUP($A6&amp;"-"&amp;P$2, CHOOSE({1,2}, 'S12 Operations'!$C$2:$C$534&amp;"-"&amp;'S12 Operations'!$E$2:$E$534, 'S12 Operations'!$D$2:$D$534), 2, 0), "")</f>
        <v/>
      </c>
      <c r="Q6" s="60">
        <f t="array" ref="Q6">IFERROR(VLOOKUP($A6&amp;"-"&amp;Q$2, CHOOSE({1,2}, 'S12 Operations'!$C$2:$C$534&amp;"-"&amp;'S12 Operations'!$E$2:$E$534, 'S12 Operations'!$D$2:$D$534), 2, 0), "")</f>
        <v>40</v>
      </c>
      <c r="R6" s="4" t="str">
        <f t="array" ref="R6">IFERROR(VLOOKUP($A6&amp;"-"&amp;R$2, CHOOSE({1,2}, 'S12 Operations'!$C$2:$C$534&amp;"-"&amp;'S12 Operations'!$E$2:$E$534, 'S12 Operations'!$D$2:$D$534), 2, 0), "")</f>
        <v/>
      </c>
      <c r="S6" s="4" t="str">
        <f t="array" ref="S6">IFERROR(VLOOKUP($A6&amp;"-"&amp;S$2, CHOOSE({1,2}, 'S12 Operations'!$C$2:$C$534&amp;"-"&amp;'S12 Operations'!$E$2:$E$534, 'S12 Operations'!$D$2:$D$534), 2, 0), "")</f>
        <v/>
      </c>
      <c r="T6" s="61" t="str">
        <f t="array" ref="T6">IFERROR(VLOOKUP($A6&amp;"-"&amp;T$2, CHOOSE({1,2}, 'S12 Operations'!$C$2:$C$534&amp;"-"&amp;'S12 Operations'!$E$2:$E$534, 'S12 Operations'!$D$2:$D$534), 2, 0), "")</f>
        <v/>
      </c>
      <c r="U6" s="124" t="str">
        <f t="array" ref="U6">IFERROR(VLOOKUP($A6&amp;"-"&amp;U$2, CHOOSE({1,2}, 'S12 Operations'!$C$2:$C$534&amp;"-"&amp;'S12 Operations'!$E$2:$E$534, 'S12 Operations'!$D$2:$D$534), 2, 0), "")</f>
        <v/>
      </c>
      <c r="V6" s="125" t="str">
        <f t="array" ref="V6">IFERROR(VLOOKUP($A6&amp;"-"&amp;V$2, CHOOSE({1,2}, 'S12 Operations'!$C$2:$C$534&amp;"-"&amp;'S12 Operations'!$E$2:$E$534, 'S12 Operations'!$D$2:$D$534), 2, 0), "")</f>
        <v/>
      </c>
      <c r="W6" s="60" t="str">
        <f t="array" ref="W6">IFERROR(VLOOKUP($A6&amp;"-"&amp;W$2, CHOOSE({1,2}, 'S12 Operations'!$C$2:$C$534&amp;"-"&amp;'S12 Operations'!$E$2:$E$534, 'S12 Operations'!$D$2:$D$534), 2, 0), "")</f>
        <v/>
      </c>
      <c r="X6" s="4" t="str">
        <f t="array" ref="X6">IFERROR(VLOOKUP($A6&amp;"-"&amp;X$2, CHOOSE({1,2}, 'S12 Operations'!$C$2:$C$534&amp;"-"&amp;'S12 Operations'!$E$2:$E$534, 'S12 Operations'!$D$2:$D$534), 2, 0), "")</f>
        <v/>
      </c>
      <c r="Y6" s="61">
        <f t="array" ref="Y6">IFERROR(VLOOKUP($A6&amp;"-"&amp;Y$2, CHOOSE({1,2}, 'S12 Operations'!$C$2:$C$534&amp;"-"&amp;'S12 Operations'!$E$2:$E$534, 'S12 Operations'!$D$2:$D$534), 2, 0), "")</f>
        <v>50</v>
      </c>
      <c r="Z6" s="129" t="str">
        <f t="array" ref="Z6">IFERROR(VLOOKUP($A6&amp;"-"&amp;Z$2, CHOOSE({1,2}, 'S12 Operations'!$C$2:$C$534&amp;"-"&amp;'S12 Operations'!$E$2:$E$534, 'S12 Operations'!$D$2:$D$534), 2, 0), "")</f>
        <v/>
      </c>
      <c r="AA6" s="59">
        <f t="array" ref="AA6">IFERROR(VLOOKUP($A6&amp;"-"&amp;AA$2, CHOOSE({1,2}, 'S12 Operations'!$C$2:$C$534&amp;"-"&amp;'S12 Operations'!$E$2:$E$534, 'S12 Operations'!$D$2:$D$534), 2, 0), "")</f>
        <v>60</v>
      </c>
    </row>
    <row r="7" spans="1:27" ht="17" x14ac:dyDescent="0.2">
      <c r="A7" s="143" t="str">
        <f>'S08 ABC Output'!A13</f>
        <v>I-070</v>
      </c>
      <c r="B7" s="59">
        <f t="array" ref="B7">IFERROR(VLOOKUP($A7&amp;"-"&amp;B$2, CHOOSE({1,2}, 'S12 Operations'!$C$2:$C$534&amp;"-"&amp;'S12 Operations'!$E$2:$E$534, 'S12 Operations'!$D$2:$D$534), 2, 0), "")</f>
        <v>10</v>
      </c>
      <c r="C7" s="124">
        <f t="array" ref="C7">IFERROR(VLOOKUP($A7&amp;"-"&amp;C$2, CHOOSE({1,2}, 'S12 Operations'!$C$2:$C$534&amp;"-"&amp;'S12 Operations'!$E$2:$E$534, 'S12 Operations'!$D$2:$D$534), 2, 0), "")</f>
        <v>20</v>
      </c>
      <c r="D7" s="122" t="str">
        <f t="array" ref="D7">IFERROR(VLOOKUP($A7&amp;"-"&amp;D$2, CHOOSE({1,2}, 'S12 Operations'!$C$2:$C$534&amp;"-"&amp;'S12 Operations'!$E$2:$E$534, 'S12 Operations'!$D$2:$D$534), 2, 0), "")</f>
        <v/>
      </c>
      <c r="E7" s="125" t="str">
        <f t="array" ref="E7">IFERROR(VLOOKUP($A7&amp;"-"&amp;E$2, CHOOSE({1,2}, 'S12 Operations'!$C$2:$C$534&amp;"-"&amp;'S12 Operations'!$E$2:$E$534, 'S12 Operations'!$D$2:$D$534), 2, 0), "")</f>
        <v/>
      </c>
      <c r="F7" s="60" t="str">
        <f t="array" ref="F7">IFERROR(VLOOKUP($A7&amp;"-"&amp;F$2, CHOOSE({1,2}, 'S12 Operations'!$C$2:$C$534&amp;"-"&amp;'S12 Operations'!$E$2:$E$534, 'S12 Operations'!$D$2:$D$534), 2, 0), "")</f>
        <v/>
      </c>
      <c r="G7" s="4" t="str">
        <f t="array" ref="G7">IFERROR(VLOOKUP($A7&amp;"-"&amp;G$2, CHOOSE({1,2}, 'S12 Operations'!$C$2:$C$534&amp;"-"&amp;'S12 Operations'!$E$2:$E$534, 'S12 Operations'!$D$2:$D$534), 2, 0), "")</f>
        <v/>
      </c>
      <c r="H7" s="61" t="str">
        <f t="array" ref="H7">IFERROR(VLOOKUP($A7&amp;"-"&amp;H$2, CHOOSE({1,2}, 'S12 Operations'!$C$2:$C$534&amp;"-"&amp;'S12 Operations'!$E$2:$E$534, 'S12 Operations'!$D$2:$D$534), 2, 0), "")</f>
        <v/>
      </c>
      <c r="I7" s="124" t="str">
        <f t="array" ref="I7">IFERROR(VLOOKUP($A7&amp;"-"&amp;I$2, CHOOSE({1,2}, 'S12 Operations'!$C$2:$C$534&amp;"-"&amp;'S12 Operations'!$E$2:$E$534, 'S12 Operations'!$D$2:$D$534), 2, 0), "")</f>
        <v/>
      </c>
      <c r="J7" s="122">
        <f t="array" ref="J7">IFERROR(VLOOKUP($A7&amp;"-"&amp;J$2, CHOOSE({1,2}, 'S12 Operations'!$C$2:$C$534&amp;"-"&amp;'S12 Operations'!$E$2:$E$534, 'S12 Operations'!$D$2:$D$534), 2, 0), "")</f>
        <v>30</v>
      </c>
      <c r="K7" s="122" t="str">
        <f t="array" ref="K7">IFERROR(VLOOKUP($A7&amp;"-"&amp;K$2, CHOOSE({1,2}, 'S12 Operations'!$C$2:$C$534&amp;"-"&amp;'S12 Operations'!$E$2:$E$534, 'S12 Operations'!$D$2:$D$534), 2, 0), "")</f>
        <v/>
      </c>
      <c r="L7" s="122" t="str">
        <f t="array" ref="L7">IFERROR(VLOOKUP($A7&amp;"-"&amp;L$2, CHOOSE({1,2}, 'S12 Operations'!$C$2:$C$534&amp;"-"&amp;'S12 Operations'!$E$2:$E$534, 'S12 Operations'!$D$2:$D$534), 2, 0), "")</f>
        <v/>
      </c>
      <c r="M7" s="122" t="str">
        <f t="array" ref="M7">IFERROR(VLOOKUP($A7&amp;"-"&amp;M$2, CHOOSE({1,2}, 'S12 Operations'!$C$2:$C$534&amp;"-"&amp;'S12 Operations'!$E$2:$E$534, 'S12 Operations'!$D$2:$D$534), 2, 0), "")</f>
        <v/>
      </c>
      <c r="N7" s="122" t="str">
        <f t="array" ref="N7">IFERROR(VLOOKUP($A7&amp;"-"&amp;N$2, CHOOSE({1,2}, 'S12 Operations'!$C$2:$C$534&amp;"-"&amp;'S12 Operations'!$E$2:$E$534, 'S12 Operations'!$D$2:$D$534), 2, 0), "")</f>
        <v/>
      </c>
      <c r="O7" s="122" t="str">
        <f t="array" ref="O7">IFERROR(VLOOKUP($A7&amp;"-"&amp;O$2, CHOOSE({1,2}, 'S12 Operations'!$C$2:$C$534&amp;"-"&amp;'S12 Operations'!$E$2:$E$534, 'S12 Operations'!$D$2:$D$534), 2, 0), "")</f>
        <v/>
      </c>
      <c r="P7" s="125" t="str">
        <f t="array" ref="P7">IFERROR(VLOOKUP($A7&amp;"-"&amp;P$2, CHOOSE({1,2}, 'S12 Operations'!$C$2:$C$534&amp;"-"&amp;'S12 Operations'!$E$2:$E$534, 'S12 Operations'!$D$2:$D$534), 2, 0), "")</f>
        <v/>
      </c>
      <c r="Q7" s="60">
        <f t="array" ref="Q7">IFERROR(VLOOKUP($A7&amp;"-"&amp;Q$2, CHOOSE({1,2}, 'S12 Operations'!$C$2:$C$534&amp;"-"&amp;'S12 Operations'!$E$2:$E$534, 'S12 Operations'!$D$2:$D$534), 2, 0), "")</f>
        <v>40</v>
      </c>
      <c r="R7" s="4" t="str">
        <f t="array" ref="R7">IFERROR(VLOOKUP($A7&amp;"-"&amp;R$2, CHOOSE({1,2}, 'S12 Operations'!$C$2:$C$534&amp;"-"&amp;'S12 Operations'!$E$2:$E$534, 'S12 Operations'!$D$2:$D$534), 2, 0), "")</f>
        <v/>
      </c>
      <c r="S7" s="4" t="str">
        <f t="array" ref="S7">IFERROR(VLOOKUP($A7&amp;"-"&amp;S$2, CHOOSE({1,2}, 'S12 Operations'!$C$2:$C$534&amp;"-"&amp;'S12 Operations'!$E$2:$E$534, 'S12 Operations'!$D$2:$D$534), 2, 0), "")</f>
        <v/>
      </c>
      <c r="T7" s="61" t="str">
        <f t="array" ref="T7">IFERROR(VLOOKUP($A7&amp;"-"&amp;T$2, CHOOSE({1,2}, 'S12 Operations'!$C$2:$C$534&amp;"-"&amp;'S12 Operations'!$E$2:$E$534, 'S12 Operations'!$D$2:$D$534), 2, 0), "")</f>
        <v/>
      </c>
      <c r="U7" s="124" t="str">
        <f t="array" ref="U7">IFERROR(VLOOKUP($A7&amp;"-"&amp;U$2, CHOOSE({1,2}, 'S12 Operations'!$C$2:$C$534&amp;"-"&amp;'S12 Operations'!$E$2:$E$534, 'S12 Operations'!$D$2:$D$534), 2, 0), "")</f>
        <v/>
      </c>
      <c r="V7" s="125" t="str">
        <f t="array" ref="V7">IFERROR(VLOOKUP($A7&amp;"-"&amp;V$2, CHOOSE({1,2}, 'S12 Operations'!$C$2:$C$534&amp;"-"&amp;'S12 Operations'!$E$2:$E$534, 'S12 Operations'!$D$2:$D$534), 2, 0), "")</f>
        <v/>
      </c>
      <c r="W7" s="60" t="str">
        <f t="array" ref="W7">IFERROR(VLOOKUP($A7&amp;"-"&amp;W$2, CHOOSE({1,2}, 'S12 Operations'!$C$2:$C$534&amp;"-"&amp;'S12 Operations'!$E$2:$E$534, 'S12 Operations'!$D$2:$D$534), 2, 0), "")</f>
        <v/>
      </c>
      <c r="X7" s="4" t="str">
        <f t="array" ref="X7">IFERROR(VLOOKUP($A7&amp;"-"&amp;X$2, CHOOSE({1,2}, 'S12 Operations'!$C$2:$C$534&amp;"-"&amp;'S12 Operations'!$E$2:$E$534, 'S12 Operations'!$D$2:$D$534), 2, 0), "")</f>
        <v/>
      </c>
      <c r="Y7" s="61">
        <f t="array" ref="Y7">IFERROR(VLOOKUP($A7&amp;"-"&amp;Y$2, CHOOSE({1,2}, 'S12 Operations'!$C$2:$C$534&amp;"-"&amp;'S12 Operations'!$E$2:$E$534, 'S12 Operations'!$D$2:$D$534), 2, 0), "")</f>
        <v>50</v>
      </c>
      <c r="Z7" s="129" t="str">
        <f t="array" ref="Z7">IFERROR(VLOOKUP($A7&amp;"-"&amp;Z$2, CHOOSE({1,2}, 'S12 Operations'!$C$2:$C$534&amp;"-"&amp;'S12 Operations'!$E$2:$E$534, 'S12 Operations'!$D$2:$D$534), 2, 0), "")</f>
        <v/>
      </c>
      <c r="AA7" s="59">
        <f t="array" ref="AA7">IFERROR(VLOOKUP($A7&amp;"-"&amp;AA$2, CHOOSE({1,2}, 'S12 Operations'!$C$2:$C$534&amp;"-"&amp;'S12 Operations'!$E$2:$E$534, 'S12 Operations'!$D$2:$D$534), 2, 0), "")</f>
        <v>60</v>
      </c>
    </row>
    <row r="8" spans="1:27" ht="18" thickBot="1" x14ac:dyDescent="0.25">
      <c r="A8" s="121" t="str">
        <f>'S08 ABC Output'!A16</f>
        <v>I-071</v>
      </c>
      <c r="B8" s="62">
        <f t="array" ref="B8">IFERROR(VLOOKUP($A8&amp;"-"&amp;B$2, CHOOSE({1,2}, 'S12 Operations'!$C$2:$C$534&amp;"-"&amp;'S12 Operations'!$E$2:$E$534, 'S12 Operations'!$D$2:$D$534), 2, 0), "")</f>
        <v>10</v>
      </c>
      <c r="C8" s="126">
        <f t="array" ref="C8">IFERROR(VLOOKUP($A8&amp;"-"&amp;C$2, CHOOSE({1,2}, 'S12 Operations'!$C$2:$C$534&amp;"-"&amp;'S12 Operations'!$E$2:$E$534, 'S12 Operations'!$D$2:$D$534), 2, 0), "")</f>
        <v>20</v>
      </c>
      <c r="D8" s="127" t="str">
        <f t="array" ref="D8">IFERROR(VLOOKUP($A8&amp;"-"&amp;D$2, CHOOSE({1,2}, 'S12 Operations'!$C$2:$C$534&amp;"-"&amp;'S12 Operations'!$E$2:$E$534, 'S12 Operations'!$D$2:$D$534), 2, 0), "")</f>
        <v/>
      </c>
      <c r="E8" s="128" t="str">
        <f t="array" ref="E8">IFERROR(VLOOKUP($A8&amp;"-"&amp;E$2, CHOOSE({1,2}, 'S12 Operations'!$C$2:$C$534&amp;"-"&amp;'S12 Operations'!$E$2:$E$534, 'S12 Operations'!$D$2:$D$534), 2, 0), "")</f>
        <v/>
      </c>
      <c r="F8" s="63" t="str">
        <f t="array" ref="F8">IFERROR(VLOOKUP($A8&amp;"-"&amp;F$2, CHOOSE({1,2}, 'S12 Operations'!$C$2:$C$534&amp;"-"&amp;'S12 Operations'!$E$2:$E$534, 'S12 Operations'!$D$2:$D$534), 2, 0), "")</f>
        <v/>
      </c>
      <c r="G8" s="64" t="str">
        <f t="array" ref="G8">IFERROR(VLOOKUP($A8&amp;"-"&amp;G$2, CHOOSE({1,2}, 'S12 Operations'!$C$2:$C$534&amp;"-"&amp;'S12 Operations'!$E$2:$E$534, 'S12 Operations'!$D$2:$D$534), 2, 0), "")</f>
        <v/>
      </c>
      <c r="H8" s="65" t="str">
        <f t="array" ref="H8">IFERROR(VLOOKUP($A8&amp;"-"&amp;H$2, CHOOSE({1,2}, 'S12 Operations'!$C$2:$C$534&amp;"-"&amp;'S12 Operations'!$E$2:$E$534, 'S12 Operations'!$D$2:$D$534), 2, 0), "")</f>
        <v/>
      </c>
      <c r="I8" s="126" t="str">
        <f t="array" ref="I8">IFERROR(VLOOKUP($A8&amp;"-"&amp;I$2, CHOOSE({1,2}, 'S12 Operations'!$C$2:$C$534&amp;"-"&amp;'S12 Operations'!$E$2:$E$534, 'S12 Operations'!$D$2:$D$534), 2, 0), "")</f>
        <v/>
      </c>
      <c r="J8" s="127">
        <f t="array" ref="J8">IFERROR(VLOOKUP($A8&amp;"-"&amp;J$2, CHOOSE({1,2}, 'S12 Operations'!$C$2:$C$534&amp;"-"&amp;'S12 Operations'!$E$2:$E$534, 'S12 Operations'!$D$2:$D$534), 2, 0), "")</f>
        <v>30</v>
      </c>
      <c r="K8" s="127" t="str">
        <f t="array" ref="K8">IFERROR(VLOOKUP($A8&amp;"-"&amp;K$2, CHOOSE({1,2}, 'S12 Operations'!$C$2:$C$534&amp;"-"&amp;'S12 Operations'!$E$2:$E$534, 'S12 Operations'!$D$2:$D$534), 2, 0), "")</f>
        <v/>
      </c>
      <c r="L8" s="127" t="str">
        <f t="array" ref="L8">IFERROR(VLOOKUP($A8&amp;"-"&amp;L$2, CHOOSE({1,2}, 'S12 Operations'!$C$2:$C$534&amp;"-"&amp;'S12 Operations'!$E$2:$E$534, 'S12 Operations'!$D$2:$D$534), 2, 0), "")</f>
        <v/>
      </c>
      <c r="M8" s="127" t="str">
        <f t="array" ref="M8">IFERROR(VLOOKUP($A8&amp;"-"&amp;M$2, CHOOSE({1,2}, 'S12 Operations'!$C$2:$C$534&amp;"-"&amp;'S12 Operations'!$E$2:$E$534, 'S12 Operations'!$D$2:$D$534), 2, 0), "")</f>
        <v/>
      </c>
      <c r="N8" s="127" t="str">
        <f t="array" ref="N8">IFERROR(VLOOKUP($A8&amp;"-"&amp;N$2, CHOOSE({1,2}, 'S12 Operations'!$C$2:$C$534&amp;"-"&amp;'S12 Operations'!$E$2:$E$534, 'S12 Operations'!$D$2:$D$534), 2, 0), "")</f>
        <v/>
      </c>
      <c r="O8" s="127" t="str">
        <f t="array" ref="O8">IFERROR(VLOOKUP($A8&amp;"-"&amp;O$2, CHOOSE({1,2}, 'S12 Operations'!$C$2:$C$534&amp;"-"&amp;'S12 Operations'!$E$2:$E$534, 'S12 Operations'!$D$2:$D$534), 2, 0), "")</f>
        <v/>
      </c>
      <c r="P8" s="128" t="str">
        <f t="array" ref="P8">IFERROR(VLOOKUP($A8&amp;"-"&amp;P$2, CHOOSE({1,2}, 'S12 Operations'!$C$2:$C$534&amp;"-"&amp;'S12 Operations'!$E$2:$E$534, 'S12 Operations'!$D$2:$D$534), 2, 0), "")</f>
        <v/>
      </c>
      <c r="Q8" s="63">
        <f t="array" ref="Q8">IFERROR(VLOOKUP($A8&amp;"-"&amp;Q$2, CHOOSE({1,2}, 'S12 Operations'!$C$2:$C$534&amp;"-"&amp;'S12 Operations'!$E$2:$E$534, 'S12 Operations'!$D$2:$D$534), 2, 0), "")</f>
        <v>40</v>
      </c>
      <c r="R8" s="64" t="str">
        <f t="array" ref="R8">IFERROR(VLOOKUP($A8&amp;"-"&amp;R$2, CHOOSE({1,2}, 'S12 Operations'!$C$2:$C$534&amp;"-"&amp;'S12 Operations'!$E$2:$E$534, 'S12 Operations'!$D$2:$D$534), 2, 0), "")</f>
        <v/>
      </c>
      <c r="S8" s="64" t="str">
        <f t="array" ref="S8">IFERROR(VLOOKUP($A8&amp;"-"&amp;S$2, CHOOSE({1,2}, 'S12 Operations'!$C$2:$C$534&amp;"-"&amp;'S12 Operations'!$E$2:$E$534, 'S12 Operations'!$D$2:$D$534), 2, 0), "")</f>
        <v/>
      </c>
      <c r="T8" s="65" t="str">
        <f t="array" ref="T8">IFERROR(VLOOKUP($A8&amp;"-"&amp;T$2, CHOOSE({1,2}, 'S12 Operations'!$C$2:$C$534&amp;"-"&amp;'S12 Operations'!$E$2:$E$534, 'S12 Operations'!$D$2:$D$534), 2, 0), "")</f>
        <v/>
      </c>
      <c r="U8" s="126" t="str">
        <f t="array" ref="U8">IFERROR(VLOOKUP($A8&amp;"-"&amp;U$2, CHOOSE({1,2}, 'S12 Operations'!$C$2:$C$534&amp;"-"&amp;'S12 Operations'!$E$2:$E$534, 'S12 Operations'!$D$2:$D$534), 2, 0), "")</f>
        <v/>
      </c>
      <c r="V8" s="128" t="str">
        <f t="array" ref="V8">IFERROR(VLOOKUP($A8&amp;"-"&amp;V$2, CHOOSE({1,2}, 'S12 Operations'!$C$2:$C$534&amp;"-"&amp;'S12 Operations'!$E$2:$E$534, 'S12 Operations'!$D$2:$D$534), 2, 0), "")</f>
        <v/>
      </c>
      <c r="W8" s="63" t="str">
        <f t="array" ref="W8">IFERROR(VLOOKUP($A8&amp;"-"&amp;W$2, CHOOSE({1,2}, 'S12 Operations'!$C$2:$C$534&amp;"-"&amp;'S12 Operations'!$E$2:$E$534, 'S12 Operations'!$D$2:$D$534), 2, 0), "")</f>
        <v/>
      </c>
      <c r="X8" s="64" t="str">
        <f t="array" ref="X8">IFERROR(VLOOKUP($A8&amp;"-"&amp;X$2, CHOOSE({1,2}, 'S12 Operations'!$C$2:$C$534&amp;"-"&amp;'S12 Operations'!$E$2:$E$534, 'S12 Operations'!$D$2:$D$534), 2, 0), "")</f>
        <v/>
      </c>
      <c r="Y8" s="65">
        <f t="array" ref="Y8">IFERROR(VLOOKUP($A8&amp;"-"&amp;Y$2, CHOOSE({1,2}, 'S12 Operations'!$C$2:$C$534&amp;"-"&amp;'S12 Operations'!$E$2:$E$534, 'S12 Operations'!$D$2:$D$534), 2, 0), "")</f>
        <v>50</v>
      </c>
      <c r="Z8" s="130" t="str">
        <f t="array" ref="Z8">IFERROR(VLOOKUP($A8&amp;"-"&amp;Z$2, CHOOSE({1,2}, 'S12 Operations'!$C$2:$C$534&amp;"-"&amp;'S12 Operations'!$E$2:$E$534, 'S12 Operations'!$D$2:$D$534), 2, 0), "")</f>
        <v/>
      </c>
      <c r="AA8" s="62">
        <f t="array" ref="AA8">IFERROR(VLOOKUP($A8&amp;"-"&amp;AA$2, CHOOSE({1,2}, 'S12 Operations'!$C$2:$C$534&amp;"-"&amp;'S12 Operations'!$E$2:$E$534, 'S12 Operations'!$D$2:$D$534), 2, 0), "")</f>
        <v>60</v>
      </c>
    </row>
    <row r="9" spans="1:27" ht="17" x14ac:dyDescent="0.2">
      <c r="A9" s="142" t="str">
        <f>'S08 ABC Output'!A5</f>
        <v>I-037</v>
      </c>
      <c r="B9" s="119">
        <f t="array" ref="B9">IFERROR(VLOOKUP($A9&amp;"-"&amp;B$2, CHOOSE({1,2}, 'S12 Operations'!$C$2:$C$534&amp;"-"&amp;'S12 Operations'!$E$2:$E$534, 'S12 Operations'!$D$2:$D$534), 2, 0), "")</f>
        <v>10</v>
      </c>
      <c r="C9" s="131" t="str">
        <f t="array" ref="C9">IFERROR(VLOOKUP($A9&amp;"-"&amp;C$2, CHOOSE({1,2}, 'S12 Operations'!$C$2:$C$534&amp;"-"&amp;'S12 Operations'!$E$2:$E$534, 'S12 Operations'!$D$2:$D$534), 2, 0), "")</f>
        <v/>
      </c>
      <c r="D9" s="132">
        <f t="array" ref="D9">IFERROR(VLOOKUP($A9&amp;"-"&amp;D$2, CHOOSE({1,2}, 'S12 Operations'!$C$2:$C$534&amp;"-"&amp;'S12 Operations'!$E$2:$E$534, 'S12 Operations'!$D$2:$D$534), 2, 0), "")</f>
        <v>20</v>
      </c>
      <c r="E9" s="133" t="str">
        <f t="array" ref="E9">IFERROR(VLOOKUP($A9&amp;"-"&amp;E$2, CHOOSE({1,2}, 'S12 Operations'!$C$2:$C$534&amp;"-"&amp;'S12 Operations'!$E$2:$E$534, 'S12 Operations'!$D$2:$D$534), 2, 0), "")</f>
        <v/>
      </c>
      <c r="F9" s="134" t="str">
        <f t="array" ref="F9">IFERROR(VLOOKUP($A9&amp;"-"&amp;F$2, CHOOSE({1,2}, 'S12 Operations'!$C$2:$C$534&amp;"-"&amp;'S12 Operations'!$E$2:$E$534, 'S12 Operations'!$D$2:$D$534), 2, 0), "")</f>
        <v/>
      </c>
      <c r="G9" s="135" t="str">
        <f t="array" ref="G9">IFERROR(VLOOKUP($A9&amp;"-"&amp;G$2, CHOOSE({1,2}, 'S12 Operations'!$C$2:$C$534&amp;"-"&amp;'S12 Operations'!$E$2:$E$534, 'S12 Operations'!$D$2:$D$534), 2, 0), "")</f>
        <v/>
      </c>
      <c r="H9" s="136">
        <f t="array" ref="H9">IFERROR(VLOOKUP($A9&amp;"-"&amp;H$2, CHOOSE({1,2}, 'S12 Operations'!$C$2:$C$534&amp;"-"&amp;'S12 Operations'!$E$2:$E$534, 'S12 Operations'!$D$2:$D$534), 2, 0), "")</f>
        <v>30</v>
      </c>
      <c r="I9" s="131" t="str">
        <f t="array" ref="I9">IFERROR(VLOOKUP($A9&amp;"-"&amp;I$2, CHOOSE({1,2}, 'S12 Operations'!$C$2:$C$534&amp;"-"&amp;'S12 Operations'!$E$2:$E$534, 'S12 Operations'!$D$2:$D$534), 2, 0), "")</f>
        <v/>
      </c>
      <c r="J9" s="132" t="str">
        <f t="array" ref="J9">IFERROR(VLOOKUP($A9&amp;"-"&amp;J$2, CHOOSE({1,2}, 'S12 Operations'!$C$2:$C$534&amp;"-"&amp;'S12 Operations'!$E$2:$E$534, 'S12 Operations'!$D$2:$D$534), 2, 0), "")</f>
        <v/>
      </c>
      <c r="K9" s="132" t="str">
        <f t="array" ref="K9">IFERROR(VLOOKUP($A9&amp;"-"&amp;K$2, CHOOSE({1,2}, 'S12 Operations'!$C$2:$C$534&amp;"-"&amp;'S12 Operations'!$E$2:$E$534, 'S12 Operations'!$D$2:$D$534), 2, 0), "")</f>
        <v/>
      </c>
      <c r="L9" s="132" t="str">
        <f t="array" ref="L9">IFERROR(VLOOKUP($A9&amp;"-"&amp;L$2, CHOOSE({1,2}, 'S12 Operations'!$C$2:$C$534&amp;"-"&amp;'S12 Operations'!$E$2:$E$534, 'S12 Operations'!$D$2:$D$534), 2, 0), "")</f>
        <v/>
      </c>
      <c r="M9" s="132" t="str">
        <f t="array" ref="M9">IFERROR(VLOOKUP($A9&amp;"-"&amp;M$2, CHOOSE({1,2}, 'S12 Operations'!$C$2:$C$534&amp;"-"&amp;'S12 Operations'!$E$2:$E$534, 'S12 Operations'!$D$2:$D$534), 2, 0), "")</f>
        <v/>
      </c>
      <c r="N9" s="132">
        <f t="array" ref="N9">IFERROR(VLOOKUP($A9&amp;"-"&amp;N$2, CHOOSE({1,2}, 'S12 Operations'!$C$2:$C$534&amp;"-"&amp;'S12 Operations'!$E$2:$E$534, 'S12 Operations'!$D$2:$D$534), 2, 0), "")</f>
        <v>40</v>
      </c>
      <c r="O9" s="132" t="str">
        <f t="array" ref="O9">IFERROR(VLOOKUP($A9&amp;"-"&amp;O$2, CHOOSE({1,2}, 'S12 Operations'!$C$2:$C$534&amp;"-"&amp;'S12 Operations'!$E$2:$E$534, 'S12 Operations'!$D$2:$D$534), 2, 0), "")</f>
        <v/>
      </c>
      <c r="P9" s="133" t="str">
        <f t="array" ref="P9">IFERROR(VLOOKUP($A9&amp;"-"&amp;P$2, CHOOSE({1,2}, 'S12 Operations'!$C$2:$C$534&amp;"-"&amp;'S12 Operations'!$E$2:$E$534, 'S12 Operations'!$D$2:$D$534), 2, 0), "")</f>
        <v/>
      </c>
      <c r="Q9" s="134" t="str">
        <f t="array" ref="Q9">IFERROR(VLOOKUP($A9&amp;"-"&amp;Q$2, CHOOSE({1,2}, 'S12 Operations'!$C$2:$C$534&amp;"-"&amp;'S12 Operations'!$E$2:$E$534, 'S12 Operations'!$D$2:$D$534), 2, 0), "")</f>
        <v/>
      </c>
      <c r="R9" s="135" t="str">
        <f t="array" ref="R9">IFERROR(VLOOKUP($A9&amp;"-"&amp;R$2, CHOOSE({1,2}, 'S12 Operations'!$C$2:$C$534&amp;"-"&amp;'S12 Operations'!$E$2:$E$534, 'S12 Operations'!$D$2:$D$534), 2, 0), "")</f>
        <v/>
      </c>
      <c r="S9" s="135">
        <f t="array" ref="S9">IFERROR(VLOOKUP($A9&amp;"-"&amp;S$2, CHOOSE({1,2}, 'S12 Operations'!$C$2:$C$534&amp;"-"&amp;'S12 Operations'!$E$2:$E$534, 'S12 Operations'!$D$2:$D$534), 2, 0), "")</f>
        <v>50</v>
      </c>
      <c r="T9" s="136" t="str">
        <f t="array" ref="T9">IFERROR(VLOOKUP($A9&amp;"-"&amp;T$2, CHOOSE({1,2}, 'S12 Operations'!$C$2:$C$534&amp;"-"&amp;'S12 Operations'!$E$2:$E$534, 'S12 Operations'!$D$2:$D$534), 2, 0), "")</f>
        <v/>
      </c>
      <c r="U9" s="131">
        <f t="array" ref="U9">IFERROR(VLOOKUP($A9&amp;"-"&amp;U$2, CHOOSE({1,2}, 'S12 Operations'!$C$2:$C$534&amp;"-"&amp;'S12 Operations'!$E$2:$E$534, 'S12 Operations'!$D$2:$D$534), 2, 0), "")</f>
        <v>60</v>
      </c>
      <c r="V9" s="133" t="str">
        <f t="array" ref="V9">IFERROR(VLOOKUP($A9&amp;"-"&amp;V$2, CHOOSE({1,2}, 'S12 Operations'!$C$2:$C$534&amp;"-"&amp;'S12 Operations'!$E$2:$E$534, 'S12 Operations'!$D$2:$D$534), 2, 0), "")</f>
        <v/>
      </c>
      <c r="W9" s="134">
        <f t="array" ref="W9">IFERROR(VLOOKUP($A9&amp;"-"&amp;W$2, CHOOSE({1,2}, 'S12 Operations'!$C$2:$C$534&amp;"-"&amp;'S12 Operations'!$E$2:$E$534, 'S12 Operations'!$D$2:$D$534), 2, 0), "")</f>
        <v>70</v>
      </c>
      <c r="X9" s="135" t="str">
        <f t="array" ref="X9">IFERROR(VLOOKUP($A9&amp;"-"&amp;X$2, CHOOSE({1,2}, 'S12 Operations'!$C$2:$C$534&amp;"-"&amp;'S12 Operations'!$E$2:$E$534, 'S12 Operations'!$D$2:$D$534), 2, 0), "")</f>
        <v/>
      </c>
      <c r="Y9" s="136" t="str">
        <f t="array" ref="Y9">IFERROR(VLOOKUP($A9&amp;"-"&amp;Y$2, CHOOSE({1,2}, 'S12 Operations'!$C$2:$C$534&amp;"-"&amp;'S12 Operations'!$E$2:$E$534, 'S12 Operations'!$D$2:$D$534), 2, 0), "")</f>
        <v/>
      </c>
      <c r="Z9" s="120" t="str">
        <f t="array" ref="Z9">IFERROR(VLOOKUP($A9&amp;"-"&amp;Z$2, CHOOSE({1,2}, 'S12 Operations'!$C$2:$C$534&amp;"-"&amp;'S12 Operations'!$E$2:$E$534, 'S12 Operations'!$D$2:$D$534), 2, 0), "")</f>
        <v/>
      </c>
      <c r="AA9" s="119">
        <f t="array" ref="AA9">IFERROR(VLOOKUP($A9&amp;"-"&amp;AA$2, CHOOSE({1,2}, 'S12 Operations'!$C$2:$C$534&amp;"-"&amp;'S12 Operations'!$E$2:$E$534, 'S12 Operations'!$D$2:$D$534), 2, 0), "")</f>
        <v>80</v>
      </c>
    </row>
    <row r="10" spans="1:27" ht="17" x14ac:dyDescent="0.2">
      <c r="A10" s="143" t="str">
        <f>'S08 ABC Output'!A15</f>
        <v>I-073</v>
      </c>
      <c r="B10" s="59">
        <f t="array" ref="B10">IFERROR(VLOOKUP($A10&amp;"-"&amp;B$2, CHOOSE({1,2}, 'S12 Operations'!$C$2:$C$534&amp;"-"&amp;'S12 Operations'!$E$2:$E$534, 'S12 Operations'!$D$2:$D$534), 2, 0), "")</f>
        <v>10</v>
      </c>
      <c r="C10" s="124" t="str">
        <f t="array" ref="C10">IFERROR(VLOOKUP($A10&amp;"-"&amp;C$2, CHOOSE({1,2}, 'S12 Operations'!$C$2:$C$534&amp;"-"&amp;'S12 Operations'!$E$2:$E$534, 'S12 Operations'!$D$2:$D$534), 2, 0), "")</f>
        <v/>
      </c>
      <c r="D10" s="122">
        <f t="array" ref="D10">IFERROR(VLOOKUP($A10&amp;"-"&amp;D$2, CHOOSE({1,2}, 'S12 Operations'!$C$2:$C$534&amp;"-"&amp;'S12 Operations'!$E$2:$E$534, 'S12 Operations'!$D$2:$D$534), 2, 0), "")</f>
        <v>20</v>
      </c>
      <c r="E10" s="125" t="str">
        <f t="array" ref="E10">IFERROR(VLOOKUP($A10&amp;"-"&amp;E$2, CHOOSE({1,2}, 'S12 Operations'!$C$2:$C$534&amp;"-"&amp;'S12 Operations'!$E$2:$E$534, 'S12 Operations'!$D$2:$D$534), 2, 0), "")</f>
        <v/>
      </c>
      <c r="F10" s="60" t="str">
        <f t="array" ref="F10">IFERROR(VLOOKUP($A10&amp;"-"&amp;F$2, CHOOSE({1,2}, 'S12 Operations'!$C$2:$C$534&amp;"-"&amp;'S12 Operations'!$E$2:$E$534, 'S12 Operations'!$D$2:$D$534), 2, 0), "")</f>
        <v/>
      </c>
      <c r="G10" s="4" t="str">
        <f t="array" ref="G10">IFERROR(VLOOKUP($A10&amp;"-"&amp;G$2, CHOOSE({1,2}, 'S12 Operations'!$C$2:$C$534&amp;"-"&amp;'S12 Operations'!$E$2:$E$534, 'S12 Operations'!$D$2:$D$534), 2, 0), "")</f>
        <v/>
      </c>
      <c r="H10" s="61">
        <f t="array" ref="H10">IFERROR(VLOOKUP($A10&amp;"-"&amp;H$2, CHOOSE({1,2}, 'S12 Operations'!$C$2:$C$534&amp;"-"&amp;'S12 Operations'!$E$2:$E$534, 'S12 Operations'!$D$2:$D$534), 2, 0), "")</f>
        <v>30</v>
      </c>
      <c r="I10" s="124" t="str">
        <f t="array" ref="I10">IFERROR(VLOOKUP($A10&amp;"-"&amp;I$2, CHOOSE({1,2}, 'S12 Operations'!$C$2:$C$534&amp;"-"&amp;'S12 Operations'!$E$2:$E$534, 'S12 Operations'!$D$2:$D$534), 2, 0), "")</f>
        <v/>
      </c>
      <c r="J10" s="122" t="str">
        <f t="array" ref="J10">IFERROR(VLOOKUP($A10&amp;"-"&amp;J$2, CHOOSE({1,2}, 'S12 Operations'!$C$2:$C$534&amp;"-"&amp;'S12 Operations'!$E$2:$E$534, 'S12 Operations'!$D$2:$D$534), 2, 0), "")</f>
        <v/>
      </c>
      <c r="K10" s="122" t="str">
        <f t="array" ref="K10">IFERROR(VLOOKUP($A10&amp;"-"&amp;K$2, CHOOSE({1,2}, 'S12 Operations'!$C$2:$C$534&amp;"-"&amp;'S12 Operations'!$E$2:$E$534, 'S12 Operations'!$D$2:$D$534), 2, 0), "")</f>
        <v/>
      </c>
      <c r="L10" s="122" t="str">
        <f t="array" ref="L10">IFERROR(VLOOKUP($A10&amp;"-"&amp;L$2, CHOOSE({1,2}, 'S12 Operations'!$C$2:$C$534&amp;"-"&amp;'S12 Operations'!$E$2:$E$534, 'S12 Operations'!$D$2:$D$534), 2, 0), "")</f>
        <v/>
      </c>
      <c r="M10" s="122" t="str">
        <f t="array" ref="M10">IFERROR(VLOOKUP($A10&amp;"-"&amp;M$2, CHOOSE({1,2}, 'S12 Operations'!$C$2:$C$534&amp;"-"&amp;'S12 Operations'!$E$2:$E$534, 'S12 Operations'!$D$2:$D$534), 2, 0), "")</f>
        <v/>
      </c>
      <c r="N10" s="122">
        <f t="array" ref="N10">IFERROR(VLOOKUP($A10&amp;"-"&amp;N$2, CHOOSE({1,2}, 'S12 Operations'!$C$2:$C$534&amp;"-"&amp;'S12 Operations'!$E$2:$E$534, 'S12 Operations'!$D$2:$D$534), 2, 0), "")</f>
        <v>40</v>
      </c>
      <c r="O10" s="122" t="str">
        <f t="array" ref="O10">IFERROR(VLOOKUP($A10&amp;"-"&amp;O$2, CHOOSE({1,2}, 'S12 Operations'!$C$2:$C$534&amp;"-"&amp;'S12 Operations'!$E$2:$E$534, 'S12 Operations'!$D$2:$D$534), 2, 0), "")</f>
        <v/>
      </c>
      <c r="P10" s="125" t="str">
        <f t="array" ref="P10">IFERROR(VLOOKUP($A10&amp;"-"&amp;P$2, CHOOSE({1,2}, 'S12 Operations'!$C$2:$C$534&amp;"-"&amp;'S12 Operations'!$E$2:$E$534, 'S12 Operations'!$D$2:$D$534), 2, 0), "")</f>
        <v/>
      </c>
      <c r="Q10" s="60" t="str">
        <f t="array" ref="Q10">IFERROR(VLOOKUP($A10&amp;"-"&amp;Q$2, CHOOSE({1,2}, 'S12 Operations'!$C$2:$C$534&amp;"-"&amp;'S12 Operations'!$E$2:$E$534, 'S12 Operations'!$D$2:$D$534), 2, 0), "")</f>
        <v/>
      </c>
      <c r="R10" s="4" t="str">
        <f t="array" ref="R10">IFERROR(VLOOKUP($A10&amp;"-"&amp;R$2, CHOOSE({1,2}, 'S12 Operations'!$C$2:$C$534&amp;"-"&amp;'S12 Operations'!$E$2:$E$534, 'S12 Operations'!$D$2:$D$534), 2, 0), "")</f>
        <v/>
      </c>
      <c r="S10" s="4">
        <f t="array" ref="S10">IFERROR(VLOOKUP($A10&amp;"-"&amp;S$2, CHOOSE({1,2}, 'S12 Operations'!$C$2:$C$534&amp;"-"&amp;'S12 Operations'!$E$2:$E$534, 'S12 Operations'!$D$2:$D$534), 2, 0), "")</f>
        <v>50</v>
      </c>
      <c r="T10" s="61" t="str">
        <f t="array" ref="T10">IFERROR(VLOOKUP($A10&amp;"-"&amp;T$2, CHOOSE({1,2}, 'S12 Operations'!$C$2:$C$534&amp;"-"&amp;'S12 Operations'!$E$2:$E$534, 'S12 Operations'!$D$2:$D$534), 2, 0), "")</f>
        <v/>
      </c>
      <c r="U10" s="124">
        <f t="array" ref="U10">IFERROR(VLOOKUP($A10&amp;"-"&amp;U$2, CHOOSE({1,2}, 'S12 Operations'!$C$2:$C$534&amp;"-"&amp;'S12 Operations'!$E$2:$E$534, 'S12 Operations'!$D$2:$D$534), 2, 0), "")</f>
        <v>60</v>
      </c>
      <c r="V10" s="125" t="str">
        <f t="array" ref="V10">IFERROR(VLOOKUP($A10&amp;"-"&amp;V$2, CHOOSE({1,2}, 'S12 Operations'!$C$2:$C$534&amp;"-"&amp;'S12 Operations'!$E$2:$E$534, 'S12 Operations'!$D$2:$D$534), 2, 0), "")</f>
        <v/>
      </c>
      <c r="W10" s="60">
        <f t="array" ref="W10">IFERROR(VLOOKUP($A10&amp;"-"&amp;W$2, CHOOSE({1,2}, 'S12 Operations'!$C$2:$C$534&amp;"-"&amp;'S12 Operations'!$E$2:$E$534, 'S12 Operations'!$D$2:$D$534), 2, 0), "")</f>
        <v>70</v>
      </c>
      <c r="X10" s="4" t="str">
        <f t="array" ref="X10">IFERROR(VLOOKUP($A10&amp;"-"&amp;X$2, CHOOSE({1,2}, 'S12 Operations'!$C$2:$C$534&amp;"-"&amp;'S12 Operations'!$E$2:$E$534, 'S12 Operations'!$D$2:$D$534), 2, 0), "")</f>
        <v/>
      </c>
      <c r="Y10" s="61" t="str">
        <f t="array" ref="Y10">IFERROR(VLOOKUP($A10&amp;"-"&amp;Y$2, CHOOSE({1,2}, 'S12 Operations'!$C$2:$C$534&amp;"-"&amp;'S12 Operations'!$E$2:$E$534, 'S12 Operations'!$D$2:$D$534), 2, 0), "")</f>
        <v/>
      </c>
      <c r="Z10" s="129" t="str">
        <f t="array" ref="Z10">IFERROR(VLOOKUP($A10&amp;"-"&amp;Z$2, CHOOSE({1,2}, 'S12 Operations'!$C$2:$C$534&amp;"-"&amp;'S12 Operations'!$E$2:$E$534, 'S12 Operations'!$D$2:$D$534), 2, 0), "")</f>
        <v/>
      </c>
      <c r="AA10" s="59">
        <f t="array" ref="AA10">IFERROR(VLOOKUP($A10&amp;"-"&amp;AA$2, CHOOSE({1,2}, 'S12 Operations'!$C$2:$C$534&amp;"-"&amp;'S12 Operations'!$E$2:$E$534, 'S12 Operations'!$D$2:$D$534), 2, 0), "")</f>
        <v>80</v>
      </c>
    </row>
    <row r="11" spans="1:27" ht="18" thickBot="1" x14ac:dyDescent="0.25">
      <c r="A11" s="121" t="str">
        <f>'S08 ABC Output'!A18</f>
        <v>I-074</v>
      </c>
      <c r="B11" s="62">
        <f t="array" ref="B11">IFERROR(VLOOKUP($A11&amp;"-"&amp;B$2, CHOOSE({1,2}, 'S12 Operations'!$C$2:$C$534&amp;"-"&amp;'S12 Operations'!$E$2:$E$534, 'S12 Operations'!$D$2:$D$534), 2, 0), "")</f>
        <v>10</v>
      </c>
      <c r="C11" s="126" t="str">
        <f t="array" ref="C11">IFERROR(VLOOKUP($A11&amp;"-"&amp;C$2, CHOOSE({1,2}, 'S12 Operations'!$C$2:$C$534&amp;"-"&amp;'S12 Operations'!$E$2:$E$534, 'S12 Operations'!$D$2:$D$534), 2, 0), "")</f>
        <v/>
      </c>
      <c r="D11" s="127">
        <f t="array" ref="D11">IFERROR(VLOOKUP($A11&amp;"-"&amp;D$2, CHOOSE({1,2}, 'S12 Operations'!$C$2:$C$534&amp;"-"&amp;'S12 Operations'!$E$2:$E$534, 'S12 Operations'!$D$2:$D$534), 2, 0), "")</f>
        <v>20</v>
      </c>
      <c r="E11" s="128" t="str">
        <f t="array" ref="E11">IFERROR(VLOOKUP($A11&amp;"-"&amp;E$2, CHOOSE({1,2}, 'S12 Operations'!$C$2:$C$534&amp;"-"&amp;'S12 Operations'!$E$2:$E$534, 'S12 Operations'!$D$2:$D$534), 2, 0), "")</f>
        <v/>
      </c>
      <c r="F11" s="63" t="str">
        <f t="array" ref="F11">IFERROR(VLOOKUP($A11&amp;"-"&amp;F$2, CHOOSE({1,2}, 'S12 Operations'!$C$2:$C$534&amp;"-"&amp;'S12 Operations'!$E$2:$E$534, 'S12 Operations'!$D$2:$D$534), 2, 0), "")</f>
        <v/>
      </c>
      <c r="G11" s="64" t="str">
        <f t="array" ref="G11">IFERROR(VLOOKUP($A11&amp;"-"&amp;G$2, CHOOSE({1,2}, 'S12 Operations'!$C$2:$C$534&amp;"-"&amp;'S12 Operations'!$E$2:$E$534, 'S12 Operations'!$D$2:$D$534), 2, 0), "")</f>
        <v/>
      </c>
      <c r="H11" s="65">
        <f t="array" ref="H11">IFERROR(VLOOKUP($A11&amp;"-"&amp;H$2, CHOOSE({1,2}, 'S12 Operations'!$C$2:$C$534&amp;"-"&amp;'S12 Operations'!$E$2:$E$534, 'S12 Operations'!$D$2:$D$534), 2, 0), "")</f>
        <v>30</v>
      </c>
      <c r="I11" s="126" t="str">
        <f t="array" ref="I11">IFERROR(VLOOKUP($A11&amp;"-"&amp;I$2, CHOOSE({1,2}, 'S12 Operations'!$C$2:$C$534&amp;"-"&amp;'S12 Operations'!$E$2:$E$534, 'S12 Operations'!$D$2:$D$534), 2, 0), "")</f>
        <v/>
      </c>
      <c r="J11" s="127" t="str">
        <f t="array" ref="J11">IFERROR(VLOOKUP($A11&amp;"-"&amp;J$2, CHOOSE({1,2}, 'S12 Operations'!$C$2:$C$534&amp;"-"&amp;'S12 Operations'!$E$2:$E$534, 'S12 Operations'!$D$2:$D$534), 2, 0), "")</f>
        <v/>
      </c>
      <c r="K11" s="127" t="str">
        <f t="array" ref="K11">IFERROR(VLOOKUP($A11&amp;"-"&amp;K$2, CHOOSE({1,2}, 'S12 Operations'!$C$2:$C$534&amp;"-"&amp;'S12 Operations'!$E$2:$E$534, 'S12 Operations'!$D$2:$D$534), 2, 0), "")</f>
        <v/>
      </c>
      <c r="L11" s="127" t="str">
        <f t="array" ref="L11">IFERROR(VLOOKUP($A11&amp;"-"&amp;L$2, CHOOSE({1,2}, 'S12 Operations'!$C$2:$C$534&amp;"-"&amp;'S12 Operations'!$E$2:$E$534, 'S12 Operations'!$D$2:$D$534), 2, 0), "")</f>
        <v/>
      </c>
      <c r="M11" s="127" t="str">
        <f t="array" ref="M11">IFERROR(VLOOKUP($A11&amp;"-"&amp;M$2, CHOOSE({1,2}, 'S12 Operations'!$C$2:$C$534&amp;"-"&amp;'S12 Operations'!$E$2:$E$534, 'S12 Operations'!$D$2:$D$534), 2, 0), "")</f>
        <v/>
      </c>
      <c r="N11" s="127">
        <f t="array" ref="N11">IFERROR(VLOOKUP($A11&amp;"-"&amp;N$2, CHOOSE({1,2}, 'S12 Operations'!$C$2:$C$534&amp;"-"&amp;'S12 Operations'!$E$2:$E$534, 'S12 Operations'!$D$2:$D$534), 2, 0), "")</f>
        <v>40</v>
      </c>
      <c r="O11" s="127" t="str">
        <f t="array" ref="O11">IFERROR(VLOOKUP($A11&amp;"-"&amp;O$2, CHOOSE({1,2}, 'S12 Operations'!$C$2:$C$534&amp;"-"&amp;'S12 Operations'!$E$2:$E$534, 'S12 Operations'!$D$2:$D$534), 2, 0), "")</f>
        <v/>
      </c>
      <c r="P11" s="128" t="str">
        <f t="array" ref="P11">IFERROR(VLOOKUP($A11&amp;"-"&amp;P$2, CHOOSE({1,2}, 'S12 Operations'!$C$2:$C$534&amp;"-"&amp;'S12 Operations'!$E$2:$E$534, 'S12 Operations'!$D$2:$D$534), 2, 0), "")</f>
        <v/>
      </c>
      <c r="Q11" s="63" t="str">
        <f t="array" ref="Q11">IFERROR(VLOOKUP($A11&amp;"-"&amp;Q$2, CHOOSE({1,2}, 'S12 Operations'!$C$2:$C$534&amp;"-"&amp;'S12 Operations'!$E$2:$E$534, 'S12 Operations'!$D$2:$D$534), 2, 0), "")</f>
        <v/>
      </c>
      <c r="R11" s="64" t="str">
        <f t="array" ref="R11">IFERROR(VLOOKUP($A11&amp;"-"&amp;R$2, CHOOSE({1,2}, 'S12 Operations'!$C$2:$C$534&amp;"-"&amp;'S12 Operations'!$E$2:$E$534, 'S12 Operations'!$D$2:$D$534), 2, 0), "")</f>
        <v/>
      </c>
      <c r="S11" s="64">
        <f t="array" ref="S11">IFERROR(VLOOKUP($A11&amp;"-"&amp;S$2, CHOOSE({1,2}, 'S12 Operations'!$C$2:$C$534&amp;"-"&amp;'S12 Operations'!$E$2:$E$534, 'S12 Operations'!$D$2:$D$534), 2, 0), "")</f>
        <v>50</v>
      </c>
      <c r="T11" s="65" t="str">
        <f t="array" ref="T11">IFERROR(VLOOKUP($A11&amp;"-"&amp;T$2, CHOOSE({1,2}, 'S12 Operations'!$C$2:$C$534&amp;"-"&amp;'S12 Operations'!$E$2:$E$534, 'S12 Operations'!$D$2:$D$534), 2, 0), "")</f>
        <v/>
      </c>
      <c r="U11" s="126">
        <f t="array" ref="U11">IFERROR(VLOOKUP($A11&amp;"-"&amp;U$2, CHOOSE({1,2}, 'S12 Operations'!$C$2:$C$534&amp;"-"&amp;'S12 Operations'!$E$2:$E$534, 'S12 Operations'!$D$2:$D$534), 2, 0), "")</f>
        <v>60</v>
      </c>
      <c r="V11" s="128" t="str">
        <f t="array" ref="V11">IFERROR(VLOOKUP($A11&amp;"-"&amp;V$2, CHOOSE({1,2}, 'S12 Operations'!$C$2:$C$534&amp;"-"&amp;'S12 Operations'!$E$2:$E$534, 'S12 Operations'!$D$2:$D$534), 2, 0), "")</f>
        <v/>
      </c>
      <c r="W11" s="63">
        <f t="array" ref="W11">IFERROR(VLOOKUP($A11&amp;"-"&amp;W$2, CHOOSE({1,2}, 'S12 Operations'!$C$2:$C$534&amp;"-"&amp;'S12 Operations'!$E$2:$E$534, 'S12 Operations'!$D$2:$D$534), 2, 0), "")</f>
        <v>70</v>
      </c>
      <c r="X11" s="64" t="str">
        <f t="array" ref="X11">IFERROR(VLOOKUP($A11&amp;"-"&amp;X$2, CHOOSE({1,2}, 'S12 Operations'!$C$2:$C$534&amp;"-"&amp;'S12 Operations'!$E$2:$E$534, 'S12 Operations'!$D$2:$D$534), 2, 0), "")</f>
        <v/>
      </c>
      <c r="Y11" s="65" t="str">
        <f t="array" ref="Y11">IFERROR(VLOOKUP($A11&amp;"-"&amp;Y$2, CHOOSE({1,2}, 'S12 Operations'!$C$2:$C$534&amp;"-"&amp;'S12 Operations'!$E$2:$E$534, 'S12 Operations'!$D$2:$D$534), 2, 0), "")</f>
        <v/>
      </c>
      <c r="Z11" s="130" t="str">
        <f t="array" ref="Z11">IFERROR(VLOOKUP($A11&amp;"-"&amp;Z$2, CHOOSE({1,2}, 'S12 Operations'!$C$2:$C$534&amp;"-"&amp;'S12 Operations'!$E$2:$E$534, 'S12 Operations'!$D$2:$D$534), 2, 0), "")</f>
        <v/>
      </c>
      <c r="AA11" s="62">
        <f t="array" ref="AA11">IFERROR(VLOOKUP($A11&amp;"-"&amp;AA$2, CHOOSE({1,2}, 'S12 Operations'!$C$2:$C$534&amp;"-"&amp;'S12 Operations'!$E$2:$E$534, 'S12 Operations'!$D$2:$D$534), 2, 0), "")</f>
        <v>80</v>
      </c>
    </row>
    <row r="12" spans="1:27" ht="17" x14ac:dyDescent="0.2">
      <c r="A12" s="142" t="str">
        <f>'S08 ABC Output'!A14</f>
        <v>I-006</v>
      </c>
      <c r="B12" s="119">
        <f t="array" ref="B12">IFERROR(VLOOKUP($A12&amp;"-"&amp;B$2, CHOOSE({1,2}, 'S12 Operations'!$C$2:$C$534&amp;"-"&amp;'S12 Operations'!$E$2:$E$534, 'S12 Operations'!$D$2:$D$534), 2, 0), "")</f>
        <v>10</v>
      </c>
      <c r="C12" s="131" t="str">
        <f t="array" ref="C12">IFERROR(VLOOKUP($A12&amp;"-"&amp;C$2, CHOOSE({1,2}, 'S12 Operations'!$C$2:$C$534&amp;"-"&amp;'S12 Operations'!$E$2:$E$534, 'S12 Operations'!$D$2:$D$534), 2, 0), "")</f>
        <v/>
      </c>
      <c r="D12" s="132" t="str">
        <f t="array" ref="D12">IFERROR(VLOOKUP($A12&amp;"-"&amp;D$2, CHOOSE({1,2}, 'S12 Operations'!$C$2:$C$534&amp;"-"&amp;'S12 Operations'!$E$2:$E$534, 'S12 Operations'!$D$2:$D$534), 2, 0), "")</f>
        <v/>
      </c>
      <c r="E12" s="133">
        <f t="array" ref="E12">IFERROR(VLOOKUP($A12&amp;"-"&amp;E$2, CHOOSE({1,2}, 'S12 Operations'!$C$2:$C$534&amp;"-"&amp;'S12 Operations'!$E$2:$E$534, 'S12 Operations'!$D$2:$D$534), 2, 0), "")</f>
        <v>20</v>
      </c>
      <c r="F12" s="134">
        <f t="array" ref="F12">IFERROR(VLOOKUP($A12&amp;"-"&amp;F$2, CHOOSE({1,2}, 'S12 Operations'!$C$2:$C$534&amp;"-"&amp;'S12 Operations'!$E$2:$E$534, 'S12 Operations'!$D$2:$D$534), 2, 0), "")</f>
        <v>30</v>
      </c>
      <c r="G12" s="135" t="str">
        <f t="array" ref="G12">IFERROR(VLOOKUP($A12&amp;"-"&amp;G$2, CHOOSE({1,2}, 'S12 Operations'!$C$2:$C$534&amp;"-"&amp;'S12 Operations'!$E$2:$E$534, 'S12 Operations'!$D$2:$D$534), 2, 0), "")</f>
        <v/>
      </c>
      <c r="H12" s="136" t="str">
        <f t="array" ref="H12">IFERROR(VLOOKUP($A12&amp;"-"&amp;H$2, CHOOSE({1,2}, 'S12 Operations'!$C$2:$C$534&amp;"-"&amp;'S12 Operations'!$E$2:$E$534, 'S12 Operations'!$D$2:$D$534), 2, 0), "")</f>
        <v/>
      </c>
      <c r="I12" s="131" t="str">
        <f t="array" ref="I12">IFERROR(VLOOKUP($A12&amp;"-"&amp;I$2, CHOOSE({1,2}, 'S12 Operations'!$C$2:$C$534&amp;"-"&amp;'S12 Operations'!$E$2:$E$534, 'S12 Operations'!$D$2:$D$534), 2, 0), "")</f>
        <v/>
      </c>
      <c r="J12" s="132" t="str">
        <f t="array" ref="J12">IFERROR(VLOOKUP($A12&amp;"-"&amp;J$2, CHOOSE({1,2}, 'S12 Operations'!$C$2:$C$534&amp;"-"&amp;'S12 Operations'!$E$2:$E$534, 'S12 Operations'!$D$2:$D$534), 2, 0), "")</f>
        <v/>
      </c>
      <c r="K12" s="132" t="str">
        <f t="array" ref="K12">IFERROR(VLOOKUP($A12&amp;"-"&amp;K$2, CHOOSE({1,2}, 'S12 Operations'!$C$2:$C$534&amp;"-"&amp;'S12 Operations'!$E$2:$E$534, 'S12 Operations'!$D$2:$D$534), 2, 0), "")</f>
        <v/>
      </c>
      <c r="L12" s="132">
        <f t="array" ref="L12">IFERROR(VLOOKUP($A12&amp;"-"&amp;L$2, CHOOSE({1,2}, 'S12 Operations'!$C$2:$C$534&amp;"-"&amp;'S12 Operations'!$E$2:$E$534, 'S12 Operations'!$D$2:$D$534), 2, 0), "")</f>
        <v>40</v>
      </c>
      <c r="M12" s="132" t="str">
        <f t="array" ref="M12">IFERROR(VLOOKUP($A12&amp;"-"&amp;M$2, CHOOSE({1,2}, 'S12 Operations'!$C$2:$C$534&amp;"-"&amp;'S12 Operations'!$E$2:$E$534, 'S12 Operations'!$D$2:$D$534), 2, 0), "")</f>
        <v/>
      </c>
      <c r="N12" s="132" t="str">
        <f t="array" ref="N12">IFERROR(VLOOKUP($A12&amp;"-"&amp;N$2, CHOOSE({1,2}, 'S12 Operations'!$C$2:$C$534&amp;"-"&amp;'S12 Operations'!$E$2:$E$534, 'S12 Operations'!$D$2:$D$534), 2, 0), "")</f>
        <v/>
      </c>
      <c r="O12" s="132" t="str">
        <f t="array" ref="O12">IFERROR(VLOOKUP($A12&amp;"-"&amp;O$2, CHOOSE({1,2}, 'S12 Operations'!$C$2:$C$534&amp;"-"&amp;'S12 Operations'!$E$2:$E$534, 'S12 Operations'!$D$2:$D$534), 2, 0), "")</f>
        <v/>
      </c>
      <c r="P12" s="133">
        <f t="array" ref="P12">IFERROR(VLOOKUP($A12&amp;"-"&amp;P$2, CHOOSE({1,2}, 'S12 Operations'!$C$2:$C$534&amp;"-"&amp;'S12 Operations'!$E$2:$E$534, 'S12 Operations'!$D$2:$D$534), 2, 0), "")</f>
        <v>50</v>
      </c>
      <c r="Q12" s="134" t="str">
        <f t="array" ref="Q12">IFERROR(VLOOKUP($A12&amp;"-"&amp;Q$2, CHOOSE({1,2}, 'S12 Operations'!$C$2:$C$534&amp;"-"&amp;'S12 Operations'!$E$2:$E$534, 'S12 Operations'!$D$2:$D$534), 2, 0), "")</f>
        <v/>
      </c>
      <c r="R12" s="135" t="str">
        <f t="array" ref="R12">IFERROR(VLOOKUP($A12&amp;"-"&amp;R$2, CHOOSE({1,2}, 'S12 Operations'!$C$2:$C$534&amp;"-"&amp;'S12 Operations'!$E$2:$E$534, 'S12 Operations'!$D$2:$D$534), 2, 0), "")</f>
        <v/>
      </c>
      <c r="S12" s="135" t="str">
        <f t="array" ref="S12">IFERROR(VLOOKUP($A12&amp;"-"&amp;S$2, CHOOSE({1,2}, 'S12 Operations'!$C$2:$C$534&amp;"-"&amp;'S12 Operations'!$E$2:$E$534, 'S12 Operations'!$D$2:$D$534), 2, 0), "")</f>
        <v/>
      </c>
      <c r="T12" s="136" t="str">
        <f t="array" ref="T12">IFERROR(VLOOKUP($A12&amp;"-"&amp;T$2, CHOOSE({1,2}, 'S12 Operations'!$C$2:$C$534&amp;"-"&amp;'S12 Operations'!$E$2:$E$534, 'S12 Operations'!$D$2:$D$534), 2, 0), "")</f>
        <v/>
      </c>
      <c r="U12" s="131" t="str">
        <f t="array" ref="U12">IFERROR(VLOOKUP($A12&amp;"-"&amp;U$2, CHOOSE({1,2}, 'S12 Operations'!$C$2:$C$534&amp;"-"&amp;'S12 Operations'!$E$2:$E$534, 'S12 Operations'!$D$2:$D$534), 2, 0), "")</f>
        <v/>
      </c>
      <c r="V12" s="133">
        <f t="array" ref="V12">IFERROR(VLOOKUP($A12&amp;"-"&amp;V$2, CHOOSE({1,2}, 'S12 Operations'!$C$2:$C$534&amp;"-"&amp;'S12 Operations'!$E$2:$E$534, 'S12 Operations'!$D$2:$D$534), 2, 0), "")</f>
        <v>60</v>
      </c>
      <c r="W12" s="134" t="str">
        <f t="array" ref="W12">IFERROR(VLOOKUP($A12&amp;"-"&amp;W$2, CHOOSE({1,2}, 'S12 Operations'!$C$2:$C$534&amp;"-"&amp;'S12 Operations'!$E$2:$E$534, 'S12 Operations'!$D$2:$D$534), 2, 0), "")</f>
        <v/>
      </c>
      <c r="X12" s="135">
        <f t="array" ref="X12">IFERROR(VLOOKUP($A12&amp;"-"&amp;X$2, CHOOSE({1,2}, 'S12 Operations'!$C$2:$C$534&amp;"-"&amp;'S12 Operations'!$E$2:$E$534, 'S12 Operations'!$D$2:$D$534), 2, 0), "")</f>
        <v>70</v>
      </c>
      <c r="Y12" s="136" t="str">
        <f t="array" ref="Y12">IFERROR(VLOOKUP($A12&amp;"-"&amp;Y$2, CHOOSE({1,2}, 'S12 Operations'!$C$2:$C$534&amp;"-"&amp;'S12 Operations'!$E$2:$E$534, 'S12 Operations'!$D$2:$D$534), 2, 0), "")</f>
        <v/>
      </c>
      <c r="Z12" s="120" t="str">
        <f t="array" ref="Z12">IFERROR(VLOOKUP($A12&amp;"-"&amp;Z$2, CHOOSE({1,2}, 'S12 Operations'!$C$2:$C$534&amp;"-"&amp;'S12 Operations'!$E$2:$E$534, 'S12 Operations'!$D$2:$D$534), 2, 0), "")</f>
        <v/>
      </c>
      <c r="AA12" s="119">
        <f t="array" ref="AA12">IFERROR(VLOOKUP($A12&amp;"-"&amp;AA$2, CHOOSE({1,2}, 'S12 Operations'!$C$2:$C$534&amp;"-"&amp;'S12 Operations'!$E$2:$E$534, 'S12 Operations'!$D$2:$D$534), 2, 0), "")</f>
        <v>80</v>
      </c>
    </row>
    <row r="13" spans="1:27" ht="17" x14ac:dyDescent="0.2">
      <c r="A13" s="143" t="str">
        <f>'S08 ABC Output'!A17</f>
        <v>I-007</v>
      </c>
      <c r="B13" s="59">
        <f t="array" ref="B13">IFERROR(VLOOKUP($A13&amp;"-"&amp;B$2, CHOOSE({1,2}, 'S12 Operations'!$C$2:$C$534&amp;"-"&amp;'S12 Operations'!$E$2:$E$534, 'S12 Operations'!$D$2:$D$534), 2, 0), "")</f>
        <v>10</v>
      </c>
      <c r="C13" s="124" t="str">
        <f t="array" ref="C13">IFERROR(VLOOKUP($A13&amp;"-"&amp;C$2, CHOOSE({1,2}, 'S12 Operations'!$C$2:$C$534&amp;"-"&amp;'S12 Operations'!$E$2:$E$534, 'S12 Operations'!$D$2:$D$534), 2, 0), "")</f>
        <v/>
      </c>
      <c r="D13" s="122" t="str">
        <f t="array" ref="D13">IFERROR(VLOOKUP($A13&amp;"-"&amp;D$2, CHOOSE({1,2}, 'S12 Operations'!$C$2:$C$534&amp;"-"&amp;'S12 Operations'!$E$2:$E$534, 'S12 Operations'!$D$2:$D$534), 2, 0), "")</f>
        <v/>
      </c>
      <c r="E13" s="125">
        <f t="array" ref="E13">IFERROR(VLOOKUP($A13&amp;"-"&amp;E$2, CHOOSE({1,2}, 'S12 Operations'!$C$2:$C$534&amp;"-"&amp;'S12 Operations'!$E$2:$E$534, 'S12 Operations'!$D$2:$D$534), 2, 0), "")</f>
        <v>20</v>
      </c>
      <c r="F13" s="60">
        <f t="array" ref="F13">IFERROR(VLOOKUP($A13&amp;"-"&amp;F$2, CHOOSE({1,2}, 'S12 Operations'!$C$2:$C$534&amp;"-"&amp;'S12 Operations'!$E$2:$E$534, 'S12 Operations'!$D$2:$D$534), 2, 0), "")</f>
        <v>30</v>
      </c>
      <c r="G13" s="4" t="str">
        <f t="array" ref="G13">IFERROR(VLOOKUP($A13&amp;"-"&amp;G$2, CHOOSE({1,2}, 'S12 Operations'!$C$2:$C$534&amp;"-"&amp;'S12 Operations'!$E$2:$E$534, 'S12 Operations'!$D$2:$D$534), 2, 0), "")</f>
        <v/>
      </c>
      <c r="H13" s="61" t="str">
        <f t="array" ref="H13">IFERROR(VLOOKUP($A13&amp;"-"&amp;H$2, CHOOSE({1,2}, 'S12 Operations'!$C$2:$C$534&amp;"-"&amp;'S12 Operations'!$E$2:$E$534, 'S12 Operations'!$D$2:$D$534), 2, 0), "")</f>
        <v/>
      </c>
      <c r="I13" s="124" t="str">
        <f t="array" ref="I13">IFERROR(VLOOKUP($A13&amp;"-"&amp;I$2, CHOOSE({1,2}, 'S12 Operations'!$C$2:$C$534&amp;"-"&amp;'S12 Operations'!$E$2:$E$534, 'S12 Operations'!$D$2:$D$534), 2, 0), "")</f>
        <v/>
      </c>
      <c r="J13" s="122" t="str">
        <f t="array" ref="J13">IFERROR(VLOOKUP($A13&amp;"-"&amp;J$2, CHOOSE({1,2}, 'S12 Operations'!$C$2:$C$534&amp;"-"&amp;'S12 Operations'!$E$2:$E$534, 'S12 Operations'!$D$2:$D$534), 2, 0), "")</f>
        <v/>
      </c>
      <c r="K13" s="122" t="str">
        <f t="array" ref="K13">IFERROR(VLOOKUP($A13&amp;"-"&amp;K$2, CHOOSE({1,2}, 'S12 Operations'!$C$2:$C$534&amp;"-"&amp;'S12 Operations'!$E$2:$E$534, 'S12 Operations'!$D$2:$D$534), 2, 0), "")</f>
        <v/>
      </c>
      <c r="L13" s="122">
        <f t="array" ref="L13">IFERROR(VLOOKUP($A13&amp;"-"&amp;L$2, CHOOSE({1,2}, 'S12 Operations'!$C$2:$C$534&amp;"-"&amp;'S12 Operations'!$E$2:$E$534, 'S12 Operations'!$D$2:$D$534), 2, 0), "")</f>
        <v>40</v>
      </c>
      <c r="M13" s="122" t="str">
        <f t="array" ref="M13">IFERROR(VLOOKUP($A13&amp;"-"&amp;M$2, CHOOSE({1,2}, 'S12 Operations'!$C$2:$C$534&amp;"-"&amp;'S12 Operations'!$E$2:$E$534, 'S12 Operations'!$D$2:$D$534), 2, 0), "")</f>
        <v/>
      </c>
      <c r="N13" s="122" t="str">
        <f t="array" ref="N13">IFERROR(VLOOKUP($A13&amp;"-"&amp;N$2, CHOOSE({1,2}, 'S12 Operations'!$C$2:$C$534&amp;"-"&amp;'S12 Operations'!$E$2:$E$534, 'S12 Operations'!$D$2:$D$534), 2, 0), "")</f>
        <v/>
      </c>
      <c r="O13" s="122" t="str">
        <f t="array" ref="O13">IFERROR(VLOOKUP($A13&amp;"-"&amp;O$2, CHOOSE({1,2}, 'S12 Operations'!$C$2:$C$534&amp;"-"&amp;'S12 Operations'!$E$2:$E$534, 'S12 Operations'!$D$2:$D$534), 2, 0), "")</f>
        <v/>
      </c>
      <c r="P13" s="125">
        <f t="array" ref="P13">IFERROR(VLOOKUP($A13&amp;"-"&amp;P$2, CHOOSE({1,2}, 'S12 Operations'!$C$2:$C$534&amp;"-"&amp;'S12 Operations'!$E$2:$E$534, 'S12 Operations'!$D$2:$D$534), 2, 0), "")</f>
        <v>50</v>
      </c>
      <c r="Q13" s="60" t="str">
        <f t="array" ref="Q13">IFERROR(VLOOKUP($A13&amp;"-"&amp;Q$2, CHOOSE({1,2}, 'S12 Operations'!$C$2:$C$534&amp;"-"&amp;'S12 Operations'!$E$2:$E$534, 'S12 Operations'!$D$2:$D$534), 2, 0), "")</f>
        <v/>
      </c>
      <c r="R13" s="4" t="str">
        <f t="array" ref="R13">IFERROR(VLOOKUP($A13&amp;"-"&amp;R$2, CHOOSE({1,2}, 'S12 Operations'!$C$2:$C$534&amp;"-"&amp;'S12 Operations'!$E$2:$E$534, 'S12 Operations'!$D$2:$D$534), 2, 0), "")</f>
        <v/>
      </c>
      <c r="S13" s="4" t="str">
        <f t="array" ref="S13">IFERROR(VLOOKUP($A13&amp;"-"&amp;S$2, CHOOSE({1,2}, 'S12 Operations'!$C$2:$C$534&amp;"-"&amp;'S12 Operations'!$E$2:$E$534, 'S12 Operations'!$D$2:$D$534), 2, 0), "")</f>
        <v/>
      </c>
      <c r="T13" s="61" t="str">
        <f t="array" ref="T13">IFERROR(VLOOKUP($A13&amp;"-"&amp;T$2, CHOOSE({1,2}, 'S12 Operations'!$C$2:$C$534&amp;"-"&amp;'S12 Operations'!$E$2:$E$534, 'S12 Operations'!$D$2:$D$534), 2, 0), "")</f>
        <v/>
      </c>
      <c r="U13" s="124" t="str">
        <f t="array" ref="U13">IFERROR(VLOOKUP($A13&amp;"-"&amp;U$2, CHOOSE({1,2}, 'S12 Operations'!$C$2:$C$534&amp;"-"&amp;'S12 Operations'!$E$2:$E$534, 'S12 Operations'!$D$2:$D$534), 2, 0), "")</f>
        <v/>
      </c>
      <c r="V13" s="125">
        <f t="array" ref="V13">IFERROR(VLOOKUP($A13&amp;"-"&amp;V$2, CHOOSE({1,2}, 'S12 Operations'!$C$2:$C$534&amp;"-"&amp;'S12 Operations'!$E$2:$E$534, 'S12 Operations'!$D$2:$D$534), 2, 0), "")</f>
        <v>60</v>
      </c>
      <c r="W13" s="60" t="str">
        <f t="array" ref="W13">IFERROR(VLOOKUP($A13&amp;"-"&amp;W$2, CHOOSE({1,2}, 'S12 Operations'!$C$2:$C$534&amp;"-"&amp;'S12 Operations'!$E$2:$E$534, 'S12 Operations'!$D$2:$D$534), 2, 0), "")</f>
        <v/>
      </c>
      <c r="X13" s="4">
        <f t="array" ref="X13">IFERROR(VLOOKUP($A13&amp;"-"&amp;X$2, CHOOSE({1,2}, 'S12 Operations'!$C$2:$C$534&amp;"-"&amp;'S12 Operations'!$E$2:$E$534, 'S12 Operations'!$D$2:$D$534), 2, 0), "")</f>
        <v>70</v>
      </c>
      <c r="Y13" s="61" t="str">
        <f t="array" ref="Y13">IFERROR(VLOOKUP($A13&amp;"-"&amp;Y$2, CHOOSE({1,2}, 'S12 Operations'!$C$2:$C$534&amp;"-"&amp;'S12 Operations'!$E$2:$E$534, 'S12 Operations'!$D$2:$D$534), 2, 0), "")</f>
        <v/>
      </c>
      <c r="Z13" s="129" t="str">
        <f t="array" ref="Z13">IFERROR(VLOOKUP($A13&amp;"-"&amp;Z$2, CHOOSE({1,2}, 'S12 Operations'!$C$2:$C$534&amp;"-"&amp;'S12 Operations'!$E$2:$E$534, 'S12 Operations'!$D$2:$D$534), 2, 0), "")</f>
        <v/>
      </c>
      <c r="AA13" s="59">
        <f t="array" ref="AA13">IFERROR(VLOOKUP($A13&amp;"-"&amp;AA$2, CHOOSE({1,2}, 'S12 Operations'!$C$2:$C$534&amp;"-"&amp;'S12 Operations'!$E$2:$E$534, 'S12 Operations'!$D$2:$D$534), 2, 0), "")</f>
        <v>80</v>
      </c>
    </row>
    <row r="14" spans="1:27" ht="18" thickBot="1" x14ac:dyDescent="0.25">
      <c r="A14" s="121" t="str">
        <f>'S08 ABC Output'!A3</f>
        <v>I-010</v>
      </c>
      <c r="B14" s="62">
        <f t="array" ref="B14">IFERROR(VLOOKUP($A14&amp;"-"&amp;B$2, CHOOSE({1,2}, 'S12 Operations'!$C$2:$C$534&amp;"-"&amp;'S12 Operations'!$E$2:$E$534, 'S12 Operations'!$D$2:$D$534), 2, 0), "")</f>
        <v>10</v>
      </c>
      <c r="C14" s="126" t="str">
        <f t="array" ref="C14">IFERROR(VLOOKUP($A14&amp;"-"&amp;C$2, CHOOSE({1,2}, 'S12 Operations'!$C$2:$C$534&amp;"-"&amp;'S12 Operations'!$E$2:$E$534, 'S12 Operations'!$D$2:$D$534), 2, 0), "")</f>
        <v/>
      </c>
      <c r="D14" s="127" t="str">
        <f t="array" ref="D14">IFERROR(VLOOKUP($A14&amp;"-"&amp;D$2, CHOOSE({1,2}, 'S12 Operations'!$C$2:$C$534&amp;"-"&amp;'S12 Operations'!$E$2:$E$534, 'S12 Operations'!$D$2:$D$534), 2, 0), "")</f>
        <v/>
      </c>
      <c r="E14" s="128">
        <f t="array" ref="E14">IFERROR(VLOOKUP($A14&amp;"-"&amp;E$2, CHOOSE({1,2}, 'S12 Operations'!$C$2:$C$534&amp;"-"&amp;'S12 Operations'!$E$2:$E$534, 'S12 Operations'!$D$2:$D$534), 2, 0), "")</f>
        <v>20</v>
      </c>
      <c r="F14" s="63">
        <f t="array" ref="F14">IFERROR(VLOOKUP($A14&amp;"-"&amp;F$2, CHOOSE({1,2}, 'S12 Operations'!$C$2:$C$534&amp;"-"&amp;'S12 Operations'!$E$2:$E$534, 'S12 Operations'!$D$2:$D$534), 2, 0), "")</f>
        <v>30</v>
      </c>
      <c r="G14" s="64" t="str">
        <f t="array" ref="G14">IFERROR(VLOOKUP($A14&amp;"-"&amp;G$2, CHOOSE({1,2}, 'S12 Operations'!$C$2:$C$534&amp;"-"&amp;'S12 Operations'!$E$2:$E$534, 'S12 Operations'!$D$2:$D$534), 2, 0), "")</f>
        <v/>
      </c>
      <c r="H14" s="65" t="str">
        <f t="array" ref="H14">IFERROR(VLOOKUP($A14&amp;"-"&amp;H$2, CHOOSE({1,2}, 'S12 Operations'!$C$2:$C$534&amp;"-"&amp;'S12 Operations'!$E$2:$E$534, 'S12 Operations'!$D$2:$D$534), 2, 0), "")</f>
        <v/>
      </c>
      <c r="I14" s="126" t="str">
        <f t="array" ref="I14">IFERROR(VLOOKUP($A14&amp;"-"&amp;I$2, CHOOSE({1,2}, 'S12 Operations'!$C$2:$C$534&amp;"-"&amp;'S12 Operations'!$E$2:$E$534, 'S12 Operations'!$D$2:$D$534), 2, 0), "")</f>
        <v/>
      </c>
      <c r="J14" s="127" t="str">
        <f t="array" ref="J14">IFERROR(VLOOKUP($A14&amp;"-"&amp;J$2, CHOOSE({1,2}, 'S12 Operations'!$C$2:$C$534&amp;"-"&amp;'S12 Operations'!$E$2:$E$534, 'S12 Operations'!$D$2:$D$534), 2, 0), "")</f>
        <v/>
      </c>
      <c r="K14" s="127" t="str">
        <f t="array" ref="K14">IFERROR(VLOOKUP($A14&amp;"-"&amp;K$2, CHOOSE({1,2}, 'S12 Operations'!$C$2:$C$534&amp;"-"&amp;'S12 Operations'!$E$2:$E$534, 'S12 Operations'!$D$2:$D$534), 2, 0), "")</f>
        <v/>
      </c>
      <c r="L14" s="127">
        <f t="array" ref="L14">IFERROR(VLOOKUP($A14&amp;"-"&amp;L$2, CHOOSE({1,2}, 'S12 Operations'!$C$2:$C$534&amp;"-"&amp;'S12 Operations'!$E$2:$E$534, 'S12 Operations'!$D$2:$D$534), 2, 0), "")</f>
        <v>40</v>
      </c>
      <c r="M14" s="127" t="str">
        <f t="array" ref="M14">IFERROR(VLOOKUP($A14&amp;"-"&amp;M$2, CHOOSE({1,2}, 'S12 Operations'!$C$2:$C$534&amp;"-"&amp;'S12 Operations'!$E$2:$E$534, 'S12 Operations'!$D$2:$D$534), 2, 0), "")</f>
        <v/>
      </c>
      <c r="N14" s="127" t="str">
        <f t="array" ref="N14">IFERROR(VLOOKUP($A14&amp;"-"&amp;N$2, CHOOSE({1,2}, 'S12 Operations'!$C$2:$C$534&amp;"-"&amp;'S12 Operations'!$E$2:$E$534, 'S12 Operations'!$D$2:$D$534), 2, 0), "")</f>
        <v/>
      </c>
      <c r="O14" s="127" t="str">
        <f t="array" ref="O14">IFERROR(VLOOKUP($A14&amp;"-"&amp;O$2, CHOOSE({1,2}, 'S12 Operations'!$C$2:$C$534&amp;"-"&amp;'S12 Operations'!$E$2:$E$534, 'S12 Operations'!$D$2:$D$534), 2, 0), "")</f>
        <v/>
      </c>
      <c r="P14" s="128">
        <f t="array" ref="P14">IFERROR(VLOOKUP($A14&amp;"-"&amp;P$2, CHOOSE({1,2}, 'S12 Operations'!$C$2:$C$534&amp;"-"&amp;'S12 Operations'!$E$2:$E$534, 'S12 Operations'!$D$2:$D$534), 2, 0), "")</f>
        <v>50</v>
      </c>
      <c r="Q14" s="63" t="str">
        <f t="array" ref="Q14">IFERROR(VLOOKUP($A14&amp;"-"&amp;Q$2, CHOOSE({1,2}, 'S12 Operations'!$C$2:$C$534&amp;"-"&amp;'S12 Operations'!$E$2:$E$534, 'S12 Operations'!$D$2:$D$534), 2, 0), "")</f>
        <v/>
      </c>
      <c r="R14" s="64" t="str">
        <f t="array" ref="R14">IFERROR(VLOOKUP($A14&amp;"-"&amp;R$2, CHOOSE({1,2}, 'S12 Operations'!$C$2:$C$534&amp;"-"&amp;'S12 Operations'!$E$2:$E$534, 'S12 Operations'!$D$2:$D$534), 2, 0), "")</f>
        <v/>
      </c>
      <c r="S14" s="64" t="str">
        <f t="array" ref="S14">IFERROR(VLOOKUP($A14&amp;"-"&amp;S$2, CHOOSE({1,2}, 'S12 Operations'!$C$2:$C$534&amp;"-"&amp;'S12 Operations'!$E$2:$E$534, 'S12 Operations'!$D$2:$D$534), 2, 0), "")</f>
        <v/>
      </c>
      <c r="T14" s="65" t="str">
        <f t="array" ref="T14">IFERROR(VLOOKUP($A14&amp;"-"&amp;T$2, CHOOSE({1,2}, 'S12 Operations'!$C$2:$C$534&amp;"-"&amp;'S12 Operations'!$E$2:$E$534, 'S12 Operations'!$D$2:$D$534), 2, 0), "")</f>
        <v/>
      </c>
      <c r="U14" s="126" t="str">
        <f t="array" ref="U14">IFERROR(VLOOKUP($A14&amp;"-"&amp;U$2, CHOOSE({1,2}, 'S12 Operations'!$C$2:$C$534&amp;"-"&amp;'S12 Operations'!$E$2:$E$534, 'S12 Operations'!$D$2:$D$534), 2, 0), "")</f>
        <v/>
      </c>
      <c r="V14" s="128">
        <f t="array" ref="V14">IFERROR(VLOOKUP($A14&amp;"-"&amp;V$2, CHOOSE({1,2}, 'S12 Operations'!$C$2:$C$534&amp;"-"&amp;'S12 Operations'!$E$2:$E$534, 'S12 Operations'!$D$2:$D$534), 2, 0), "")</f>
        <v>60</v>
      </c>
      <c r="W14" s="63" t="str">
        <f t="array" ref="W14">IFERROR(VLOOKUP($A14&amp;"-"&amp;W$2, CHOOSE({1,2}, 'S12 Operations'!$C$2:$C$534&amp;"-"&amp;'S12 Operations'!$E$2:$E$534, 'S12 Operations'!$D$2:$D$534), 2, 0), "")</f>
        <v/>
      </c>
      <c r="X14" s="64">
        <f t="array" ref="X14">IFERROR(VLOOKUP($A14&amp;"-"&amp;X$2, CHOOSE({1,2}, 'S12 Operations'!$C$2:$C$534&amp;"-"&amp;'S12 Operations'!$E$2:$E$534, 'S12 Operations'!$D$2:$D$534), 2, 0), "")</f>
        <v>70</v>
      </c>
      <c r="Y14" s="65" t="str">
        <f t="array" ref="Y14">IFERROR(VLOOKUP($A14&amp;"-"&amp;Y$2, CHOOSE({1,2}, 'S12 Operations'!$C$2:$C$534&amp;"-"&amp;'S12 Operations'!$E$2:$E$534, 'S12 Operations'!$D$2:$D$534), 2, 0), "")</f>
        <v/>
      </c>
      <c r="Z14" s="130" t="str">
        <f t="array" ref="Z14">IFERROR(VLOOKUP($A14&amp;"-"&amp;Z$2, CHOOSE({1,2}, 'S12 Operations'!$C$2:$C$534&amp;"-"&amp;'S12 Operations'!$E$2:$E$534, 'S12 Operations'!$D$2:$D$534), 2, 0), "")</f>
        <v/>
      </c>
      <c r="AA14" s="62">
        <f t="array" ref="AA14">IFERROR(VLOOKUP($A14&amp;"-"&amp;AA$2, CHOOSE({1,2}, 'S12 Operations'!$C$2:$C$534&amp;"-"&amp;'S12 Operations'!$E$2:$E$534, 'S12 Operations'!$D$2:$D$534), 2, 0), "")</f>
        <v>80</v>
      </c>
    </row>
    <row r="15" spans="1:27" ht="17" x14ac:dyDescent="0.2">
      <c r="A15" s="142" t="str">
        <f>'S08 ABC Output'!A10</f>
        <v>I-012</v>
      </c>
      <c r="B15" s="119">
        <f t="array" ref="B15">IFERROR(VLOOKUP($A15&amp;"-"&amp;B$2, CHOOSE({1,2}, 'S12 Operations'!$C$2:$C$534&amp;"-"&amp;'S12 Operations'!$E$2:$E$534, 'S12 Operations'!$D$2:$D$534), 2, 0), "")</f>
        <v>10</v>
      </c>
      <c r="C15" s="131" t="str">
        <f t="array" ref="C15">IFERROR(VLOOKUP($A15&amp;"-"&amp;C$2, CHOOSE({1,2}, 'S12 Operations'!$C$2:$C$534&amp;"-"&amp;'S12 Operations'!$E$2:$E$534, 'S12 Operations'!$D$2:$D$534), 2, 0), "")</f>
        <v/>
      </c>
      <c r="D15" s="132" t="str">
        <f t="array" ref="D15">IFERROR(VLOOKUP($A15&amp;"-"&amp;D$2, CHOOSE({1,2}, 'S12 Operations'!$C$2:$C$534&amp;"-"&amp;'S12 Operations'!$E$2:$E$534, 'S12 Operations'!$D$2:$D$534), 2, 0), "")</f>
        <v/>
      </c>
      <c r="E15" s="133">
        <f t="array" ref="E15">IFERROR(VLOOKUP($A15&amp;"-"&amp;E$2, CHOOSE({1,2}, 'S12 Operations'!$C$2:$C$534&amp;"-"&amp;'S12 Operations'!$E$2:$E$534, 'S12 Operations'!$D$2:$D$534), 2, 0), "")</f>
        <v>20</v>
      </c>
      <c r="F15" s="134" t="str">
        <f t="array" ref="F15">IFERROR(VLOOKUP($A15&amp;"-"&amp;F$2, CHOOSE({1,2}, 'S12 Operations'!$C$2:$C$534&amp;"-"&amp;'S12 Operations'!$E$2:$E$534, 'S12 Operations'!$D$2:$D$534), 2, 0), "")</f>
        <v/>
      </c>
      <c r="G15" s="135" t="str">
        <f t="array" ref="G15">IFERROR(VLOOKUP($A15&amp;"-"&amp;G$2, CHOOSE({1,2}, 'S12 Operations'!$C$2:$C$534&amp;"-"&amp;'S12 Operations'!$E$2:$E$534, 'S12 Operations'!$D$2:$D$534), 2, 0), "")</f>
        <v/>
      </c>
      <c r="H15" s="136">
        <f t="array" ref="H15">IFERROR(VLOOKUP($A15&amp;"-"&amp;H$2, CHOOSE({1,2}, 'S12 Operations'!$C$2:$C$534&amp;"-"&amp;'S12 Operations'!$E$2:$E$534, 'S12 Operations'!$D$2:$D$534), 2, 0), "")</f>
        <v>30</v>
      </c>
      <c r="I15" s="131" t="str">
        <f t="array" ref="I15">IFERROR(VLOOKUP($A15&amp;"-"&amp;I$2, CHOOSE({1,2}, 'S12 Operations'!$C$2:$C$534&amp;"-"&amp;'S12 Operations'!$E$2:$E$534, 'S12 Operations'!$D$2:$D$534), 2, 0), "")</f>
        <v/>
      </c>
      <c r="J15" s="132" t="str">
        <f t="array" ref="J15">IFERROR(VLOOKUP($A15&amp;"-"&amp;J$2, CHOOSE({1,2}, 'S12 Operations'!$C$2:$C$534&amp;"-"&amp;'S12 Operations'!$E$2:$E$534, 'S12 Operations'!$D$2:$D$534), 2, 0), "")</f>
        <v/>
      </c>
      <c r="K15" s="132">
        <f t="array" ref="K15">IFERROR(VLOOKUP($A15&amp;"-"&amp;K$2, CHOOSE({1,2}, 'S12 Operations'!$C$2:$C$534&amp;"-"&amp;'S12 Operations'!$E$2:$E$534, 'S12 Operations'!$D$2:$D$534), 2, 0), "")</f>
        <v>40</v>
      </c>
      <c r="L15" s="132" t="str">
        <f t="array" ref="L15">IFERROR(VLOOKUP($A15&amp;"-"&amp;L$2, CHOOSE({1,2}, 'S12 Operations'!$C$2:$C$534&amp;"-"&amp;'S12 Operations'!$E$2:$E$534, 'S12 Operations'!$D$2:$D$534), 2, 0), "")</f>
        <v/>
      </c>
      <c r="M15" s="132">
        <f t="array" ref="M15">IFERROR(VLOOKUP($A15&amp;"-"&amp;M$2, CHOOSE({1,2}, 'S12 Operations'!$C$2:$C$534&amp;"-"&amp;'S12 Operations'!$E$2:$E$534, 'S12 Operations'!$D$2:$D$534), 2, 0), "")</f>
        <v>50</v>
      </c>
      <c r="N15" s="132" t="str">
        <f t="array" ref="N15">IFERROR(VLOOKUP($A15&amp;"-"&amp;N$2, CHOOSE({1,2}, 'S12 Operations'!$C$2:$C$534&amp;"-"&amp;'S12 Operations'!$E$2:$E$534, 'S12 Operations'!$D$2:$D$534), 2, 0), "")</f>
        <v/>
      </c>
      <c r="O15" s="132" t="str">
        <f t="array" ref="O15">IFERROR(VLOOKUP($A15&amp;"-"&amp;O$2, CHOOSE({1,2}, 'S12 Operations'!$C$2:$C$534&amp;"-"&amp;'S12 Operations'!$E$2:$E$534, 'S12 Operations'!$D$2:$D$534), 2, 0), "")</f>
        <v/>
      </c>
      <c r="P15" s="133" t="str">
        <f t="array" ref="P15">IFERROR(VLOOKUP($A15&amp;"-"&amp;P$2, CHOOSE({1,2}, 'S12 Operations'!$C$2:$C$534&amp;"-"&amp;'S12 Operations'!$E$2:$E$534, 'S12 Operations'!$D$2:$D$534), 2, 0), "")</f>
        <v/>
      </c>
      <c r="Q15" s="134" t="str">
        <f t="array" ref="Q15">IFERROR(VLOOKUP($A15&amp;"-"&amp;Q$2, CHOOSE({1,2}, 'S12 Operations'!$C$2:$C$534&amp;"-"&amp;'S12 Operations'!$E$2:$E$534, 'S12 Operations'!$D$2:$D$534), 2, 0), "")</f>
        <v/>
      </c>
      <c r="R15" s="135">
        <f t="array" ref="R15">IFERROR(VLOOKUP($A15&amp;"-"&amp;R$2, CHOOSE({1,2}, 'S12 Operations'!$C$2:$C$534&amp;"-"&amp;'S12 Operations'!$E$2:$E$534, 'S12 Operations'!$D$2:$D$534), 2, 0), "")</f>
        <v>60</v>
      </c>
      <c r="S15" s="135" t="str">
        <f t="array" ref="S15">IFERROR(VLOOKUP($A15&amp;"-"&amp;S$2, CHOOSE({1,2}, 'S12 Operations'!$C$2:$C$534&amp;"-"&amp;'S12 Operations'!$E$2:$E$534, 'S12 Operations'!$D$2:$D$534), 2, 0), "")</f>
        <v/>
      </c>
      <c r="T15" s="136" t="str">
        <f t="array" ref="T15">IFERROR(VLOOKUP($A15&amp;"-"&amp;T$2, CHOOSE({1,2}, 'S12 Operations'!$C$2:$C$534&amp;"-"&amp;'S12 Operations'!$E$2:$E$534, 'S12 Operations'!$D$2:$D$534), 2, 0), "")</f>
        <v/>
      </c>
      <c r="U15" s="131" t="str">
        <f t="array" ref="U15">IFERROR(VLOOKUP($A15&amp;"-"&amp;U$2, CHOOSE({1,2}, 'S12 Operations'!$C$2:$C$534&amp;"-"&amp;'S12 Operations'!$E$2:$E$534, 'S12 Operations'!$D$2:$D$534), 2, 0), "")</f>
        <v/>
      </c>
      <c r="V15" s="133" t="str">
        <f t="array" ref="V15">IFERROR(VLOOKUP($A15&amp;"-"&amp;V$2, CHOOSE({1,2}, 'S12 Operations'!$C$2:$C$534&amp;"-"&amp;'S12 Operations'!$E$2:$E$534, 'S12 Operations'!$D$2:$D$534), 2, 0), "")</f>
        <v/>
      </c>
      <c r="W15" s="134">
        <f t="array" ref="W15">IFERROR(VLOOKUP($A15&amp;"-"&amp;W$2, CHOOSE({1,2}, 'S12 Operations'!$C$2:$C$534&amp;"-"&amp;'S12 Operations'!$E$2:$E$534, 'S12 Operations'!$D$2:$D$534), 2, 0), "")</f>
        <v>70</v>
      </c>
      <c r="X15" s="135" t="str">
        <f t="array" ref="X15">IFERROR(VLOOKUP($A15&amp;"-"&amp;X$2, CHOOSE({1,2}, 'S12 Operations'!$C$2:$C$534&amp;"-"&amp;'S12 Operations'!$E$2:$E$534, 'S12 Operations'!$D$2:$D$534), 2, 0), "")</f>
        <v/>
      </c>
      <c r="Y15" s="136" t="str">
        <f t="array" ref="Y15">IFERROR(VLOOKUP($A15&amp;"-"&amp;Y$2, CHOOSE({1,2}, 'S12 Operations'!$C$2:$C$534&amp;"-"&amp;'S12 Operations'!$E$2:$E$534, 'S12 Operations'!$D$2:$D$534), 2, 0), "")</f>
        <v/>
      </c>
      <c r="Z15" s="120" t="str">
        <f t="array" ref="Z15">IFERROR(VLOOKUP($A15&amp;"-"&amp;Z$2, CHOOSE({1,2}, 'S12 Operations'!$C$2:$C$534&amp;"-"&amp;'S12 Operations'!$E$2:$E$534, 'S12 Operations'!$D$2:$D$534), 2, 0), "")</f>
        <v/>
      </c>
      <c r="AA15" s="119">
        <f t="array" ref="AA15">IFERROR(VLOOKUP($A15&amp;"-"&amp;AA$2, CHOOSE({1,2}, 'S12 Operations'!$C$2:$C$534&amp;"-"&amp;'S12 Operations'!$E$2:$E$534, 'S12 Operations'!$D$2:$D$534), 2, 0), "")</f>
        <v>80</v>
      </c>
    </row>
    <row r="16" spans="1:27" ht="18" thickBot="1" x14ac:dyDescent="0.25">
      <c r="A16" s="121" t="str">
        <f>'S08 ABC Output'!A7</f>
        <v>I-052</v>
      </c>
      <c r="B16" s="62">
        <f t="array" ref="B16">IFERROR(VLOOKUP($A16&amp;"-"&amp;B$2, CHOOSE({1,2}, 'S12 Operations'!$C$2:$C$534&amp;"-"&amp;'S12 Operations'!$E$2:$E$534, 'S12 Operations'!$D$2:$D$534), 2, 0), "")</f>
        <v>10</v>
      </c>
      <c r="C16" s="126" t="str">
        <f t="array" ref="C16">IFERROR(VLOOKUP($A16&amp;"-"&amp;C$2, CHOOSE({1,2}, 'S12 Operations'!$C$2:$C$534&amp;"-"&amp;'S12 Operations'!$E$2:$E$534, 'S12 Operations'!$D$2:$D$534), 2, 0), "")</f>
        <v/>
      </c>
      <c r="D16" s="127" t="str">
        <f t="array" ref="D16">IFERROR(VLOOKUP($A16&amp;"-"&amp;D$2, CHOOSE({1,2}, 'S12 Operations'!$C$2:$C$534&amp;"-"&amp;'S12 Operations'!$E$2:$E$534, 'S12 Operations'!$D$2:$D$534), 2, 0), "")</f>
        <v/>
      </c>
      <c r="E16" s="128">
        <f t="array" ref="E16">IFERROR(VLOOKUP($A16&amp;"-"&amp;E$2, CHOOSE({1,2}, 'S12 Operations'!$C$2:$C$534&amp;"-"&amp;'S12 Operations'!$E$2:$E$534, 'S12 Operations'!$D$2:$D$534), 2, 0), "")</f>
        <v>20</v>
      </c>
      <c r="F16" s="63" t="str">
        <f t="array" ref="F16">IFERROR(VLOOKUP($A16&amp;"-"&amp;F$2, CHOOSE({1,2}, 'S12 Operations'!$C$2:$C$534&amp;"-"&amp;'S12 Operations'!$E$2:$E$534, 'S12 Operations'!$D$2:$D$534), 2, 0), "")</f>
        <v/>
      </c>
      <c r="G16" s="64" t="str">
        <f t="array" ref="G16">IFERROR(VLOOKUP($A16&amp;"-"&amp;G$2, CHOOSE({1,2}, 'S12 Operations'!$C$2:$C$534&amp;"-"&amp;'S12 Operations'!$E$2:$E$534, 'S12 Operations'!$D$2:$D$534), 2, 0), "")</f>
        <v/>
      </c>
      <c r="H16" s="65">
        <f t="array" ref="H16">IFERROR(VLOOKUP($A16&amp;"-"&amp;H$2, CHOOSE({1,2}, 'S12 Operations'!$C$2:$C$534&amp;"-"&amp;'S12 Operations'!$E$2:$E$534, 'S12 Operations'!$D$2:$D$534), 2, 0), "")</f>
        <v>30</v>
      </c>
      <c r="I16" s="126" t="str">
        <f t="array" ref="I16">IFERROR(VLOOKUP($A16&amp;"-"&amp;I$2, CHOOSE({1,2}, 'S12 Operations'!$C$2:$C$534&amp;"-"&amp;'S12 Operations'!$E$2:$E$534, 'S12 Operations'!$D$2:$D$534), 2, 0), "")</f>
        <v/>
      </c>
      <c r="J16" s="127" t="str">
        <f t="array" ref="J16">IFERROR(VLOOKUP($A16&amp;"-"&amp;J$2, CHOOSE({1,2}, 'S12 Operations'!$C$2:$C$534&amp;"-"&amp;'S12 Operations'!$E$2:$E$534, 'S12 Operations'!$D$2:$D$534), 2, 0), "")</f>
        <v/>
      </c>
      <c r="K16" s="127">
        <f t="array" ref="K16">IFERROR(VLOOKUP($A16&amp;"-"&amp;K$2, CHOOSE({1,2}, 'S12 Operations'!$C$2:$C$534&amp;"-"&amp;'S12 Operations'!$E$2:$E$534, 'S12 Operations'!$D$2:$D$534), 2, 0), "")</f>
        <v>40</v>
      </c>
      <c r="L16" s="127" t="str">
        <f t="array" ref="L16">IFERROR(VLOOKUP($A16&amp;"-"&amp;L$2, CHOOSE({1,2}, 'S12 Operations'!$C$2:$C$534&amp;"-"&amp;'S12 Operations'!$E$2:$E$534, 'S12 Operations'!$D$2:$D$534), 2, 0), "")</f>
        <v/>
      </c>
      <c r="M16" s="127">
        <f t="array" ref="M16">IFERROR(VLOOKUP($A16&amp;"-"&amp;M$2, CHOOSE({1,2}, 'S12 Operations'!$C$2:$C$534&amp;"-"&amp;'S12 Operations'!$E$2:$E$534, 'S12 Operations'!$D$2:$D$534), 2, 0), "")</f>
        <v>50</v>
      </c>
      <c r="N16" s="127" t="str">
        <f t="array" ref="N16">IFERROR(VLOOKUP($A16&amp;"-"&amp;N$2, CHOOSE({1,2}, 'S12 Operations'!$C$2:$C$534&amp;"-"&amp;'S12 Operations'!$E$2:$E$534, 'S12 Operations'!$D$2:$D$534), 2, 0), "")</f>
        <v/>
      </c>
      <c r="O16" s="127" t="str">
        <f t="array" ref="O16">IFERROR(VLOOKUP($A16&amp;"-"&amp;O$2, CHOOSE({1,2}, 'S12 Operations'!$C$2:$C$534&amp;"-"&amp;'S12 Operations'!$E$2:$E$534, 'S12 Operations'!$D$2:$D$534), 2, 0), "")</f>
        <v/>
      </c>
      <c r="P16" s="128" t="str">
        <f t="array" ref="P16">IFERROR(VLOOKUP($A16&amp;"-"&amp;P$2, CHOOSE({1,2}, 'S12 Operations'!$C$2:$C$534&amp;"-"&amp;'S12 Operations'!$E$2:$E$534, 'S12 Operations'!$D$2:$D$534), 2, 0), "")</f>
        <v/>
      </c>
      <c r="Q16" s="63" t="str">
        <f t="array" ref="Q16">IFERROR(VLOOKUP($A16&amp;"-"&amp;Q$2, CHOOSE({1,2}, 'S12 Operations'!$C$2:$C$534&amp;"-"&amp;'S12 Operations'!$E$2:$E$534, 'S12 Operations'!$D$2:$D$534), 2, 0), "")</f>
        <v/>
      </c>
      <c r="R16" s="64">
        <f t="array" ref="R16">IFERROR(VLOOKUP($A16&amp;"-"&amp;R$2, CHOOSE({1,2}, 'S12 Operations'!$C$2:$C$534&amp;"-"&amp;'S12 Operations'!$E$2:$E$534, 'S12 Operations'!$D$2:$D$534), 2, 0), "")</f>
        <v>60</v>
      </c>
      <c r="S16" s="64" t="str">
        <f t="array" ref="S16">IFERROR(VLOOKUP($A16&amp;"-"&amp;S$2, CHOOSE({1,2}, 'S12 Operations'!$C$2:$C$534&amp;"-"&amp;'S12 Operations'!$E$2:$E$534, 'S12 Operations'!$D$2:$D$534), 2, 0), "")</f>
        <v/>
      </c>
      <c r="T16" s="65" t="str">
        <f t="array" ref="T16">IFERROR(VLOOKUP($A16&amp;"-"&amp;T$2, CHOOSE({1,2}, 'S12 Operations'!$C$2:$C$534&amp;"-"&amp;'S12 Operations'!$E$2:$E$534, 'S12 Operations'!$D$2:$D$534), 2, 0), "")</f>
        <v/>
      </c>
      <c r="U16" s="126" t="str">
        <f t="array" ref="U16">IFERROR(VLOOKUP($A16&amp;"-"&amp;U$2, CHOOSE({1,2}, 'S12 Operations'!$C$2:$C$534&amp;"-"&amp;'S12 Operations'!$E$2:$E$534, 'S12 Operations'!$D$2:$D$534), 2, 0), "")</f>
        <v/>
      </c>
      <c r="V16" s="128" t="str">
        <f t="array" ref="V16">IFERROR(VLOOKUP($A16&amp;"-"&amp;V$2, CHOOSE({1,2}, 'S12 Operations'!$C$2:$C$534&amp;"-"&amp;'S12 Operations'!$E$2:$E$534, 'S12 Operations'!$D$2:$D$534), 2, 0), "")</f>
        <v/>
      </c>
      <c r="W16" s="63">
        <f t="array" ref="W16">IFERROR(VLOOKUP($A16&amp;"-"&amp;W$2, CHOOSE({1,2}, 'S12 Operations'!$C$2:$C$534&amp;"-"&amp;'S12 Operations'!$E$2:$E$534, 'S12 Operations'!$D$2:$D$534), 2, 0), "")</f>
        <v>70</v>
      </c>
      <c r="X16" s="64" t="str">
        <f t="array" ref="X16">IFERROR(VLOOKUP($A16&amp;"-"&amp;X$2, CHOOSE({1,2}, 'S12 Operations'!$C$2:$C$534&amp;"-"&amp;'S12 Operations'!$E$2:$E$534, 'S12 Operations'!$D$2:$D$534), 2, 0), "")</f>
        <v/>
      </c>
      <c r="Y16" s="65" t="str">
        <f t="array" ref="Y16">IFERROR(VLOOKUP($A16&amp;"-"&amp;Y$2, CHOOSE({1,2}, 'S12 Operations'!$C$2:$C$534&amp;"-"&amp;'S12 Operations'!$E$2:$E$534, 'S12 Operations'!$D$2:$D$534), 2, 0), "")</f>
        <v/>
      </c>
      <c r="Z16" s="130" t="str">
        <f t="array" ref="Z16">IFERROR(VLOOKUP($A16&amp;"-"&amp;Z$2, CHOOSE({1,2}, 'S12 Operations'!$C$2:$C$534&amp;"-"&amp;'S12 Operations'!$E$2:$E$534, 'S12 Operations'!$D$2:$D$534), 2, 0), "")</f>
        <v/>
      </c>
      <c r="AA16" s="62">
        <f t="array" ref="AA16">IFERROR(VLOOKUP($A16&amp;"-"&amp;AA$2, CHOOSE({1,2}, 'S12 Operations'!$C$2:$C$534&amp;"-"&amp;'S12 Operations'!$E$2:$E$534, 'S12 Operations'!$D$2:$D$534), 2, 0), "")</f>
        <v>80</v>
      </c>
    </row>
    <row r="17" spans="1:27" ht="17" x14ac:dyDescent="0.2">
      <c r="A17" s="142" t="str">
        <f>'S08 ABC Output'!A9</f>
        <v>I-053</v>
      </c>
      <c r="B17" s="119">
        <f t="array" ref="B17">IFERROR(VLOOKUP($A17&amp;"-"&amp;B$2, CHOOSE({1,2}, 'S12 Operations'!$C$2:$C$534&amp;"-"&amp;'S12 Operations'!$E$2:$E$534, 'S12 Operations'!$D$2:$D$534), 2, 0), "")</f>
        <v>10</v>
      </c>
      <c r="C17" s="131" t="str">
        <f t="array" ref="C17">IFERROR(VLOOKUP($A17&amp;"-"&amp;C$2, CHOOSE({1,2}, 'S12 Operations'!$C$2:$C$534&amp;"-"&amp;'S12 Operations'!$E$2:$E$534, 'S12 Operations'!$D$2:$D$534), 2, 0), "")</f>
        <v/>
      </c>
      <c r="D17" s="132" t="str">
        <f t="array" ref="D17">IFERROR(VLOOKUP($A17&amp;"-"&amp;D$2, CHOOSE({1,2}, 'S12 Operations'!$C$2:$C$534&amp;"-"&amp;'S12 Operations'!$E$2:$E$534, 'S12 Operations'!$D$2:$D$534), 2, 0), "")</f>
        <v/>
      </c>
      <c r="E17" s="133">
        <f t="array" ref="E17">IFERROR(VLOOKUP($A17&amp;"-"&amp;E$2, CHOOSE({1,2}, 'S12 Operations'!$C$2:$C$534&amp;"-"&amp;'S12 Operations'!$E$2:$E$534, 'S12 Operations'!$D$2:$D$534), 2, 0), "")</f>
        <v>20</v>
      </c>
      <c r="F17" s="134" t="str">
        <f t="array" ref="F17">IFERROR(VLOOKUP($A17&amp;"-"&amp;F$2, CHOOSE({1,2}, 'S12 Operations'!$C$2:$C$534&amp;"-"&amp;'S12 Operations'!$E$2:$E$534, 'S12 Operations'!$D$2:$D$534), 2, 0), "")</f>
        <v/>
      </c>
      <c r="G17" s="135">
        <f t="array" ref="G17">IFERROR(VLOOKUP($A17&amp;"-"&amp;G$2, CHOOSE({1,2}, 'S12 Operations'!$C$2:$C$534&amp;"-"&amp;'S12 Operations'!$E$2:$E$534, 'S12 Operations'!$D$2:$D$534), 2, 0), "")</f>
        <v>30</v>
      </c>
      <c r="H17" s="136" t="str">
        <f t="array" ref="H17">IFERROR(VLOOKUP($A17&amp;"-"&amp;H$2, CHOOSE({1,2}, 'S12 Operations'!$C$2:$C$534&amp;"-"&amp;'S12 Operations'!$E$2:$E$534, 'S12 Operations'!$D$2:$D$534), 2, 0), "")</f>
        <v/>
      </c>
      <c r="I17" s="131">
        <f t="array" ref="I17">IFERROR(VLOOKUP($A17&amp;"-"&amp;I$2, CHOOSE({1,2}, 'S12 Operations'!$C$2:$C$534&amp;"-"&amp;'S12 Operations'!$E$2:$E$534, 'S12 Operations'!$D$2:$D$534), 2, 0), "")</f>
        <v>40</v>
      </c>
      <c r="J17" s="132" t="str">
        <f t="array" ref="J17">IFERROR(VLOOKUP($A17&amp;"-"&amp;J$2, CHOOSE({1,2}, 'S12 Operations'!$C$2:$C$534&amp;"-"&amp;'S12 Operations'!$E$2:$E$534, 'S12 Operations'!$D$2:$D$534), 2, 0), "")</f>
        <v/>
      </c>
      <c r="K17" s="132" t="str">
        <f t="array" ref="K17">IFERROR(VLOOKUP($A17&amp;"-"&amp;K$2, CHOOSE({1,2}, 'S12 Operations'!$C$2:$C$534&amp;"-"&amp;'S12 Operations'!$E$2:$E$534, 'S12 Operations'!$D$2:$D$534), 2, 0), "")</f>
        <v/>
      </c>
      <c r="L17" s="132" t="str">
        <f t="array" ref="L17">IFERROR(VLOOKUP($A17&amp;"-"&amp;L$2, CHOOSE({1,2}, 'S12 Operations'!$C$2:$C$534&amp;"-"&amp;'S12 Operations'!$E$2:$E$534, 'S12 Operations'!$D$2:$D$534), 2, 0), "")</f>
        <v/>
      </c>
      <c r="M17" s="132" t="str">
        <f t="array" ref="M17">IFERROR(VLOOKUP($A17&amp;"-"&amp;M$2, CHOOSE({1,2}, 'S12 Operations'!$C$2:$C$534&amp;"-"&amp;'S12 Operations'!$E$2:$E$534, 'S12 Operations'!$D$2:$D$534), 2, 0), "")</f>
        <v/>
      </c>
      <c r="N17" s="132" t="str">
        <f t="array" ref="N17">IFERROR(VLOOKUP($A17&amp;"-"&amp;N$2, CHOOSE({1,2}, 'S12 Operations'!$C$2:$C$534&amp;"-"&amp;'S12 Operations'!$E$2:$E$534, 'S12 Operations'!$D$2:$D$534), 2, 0), "")</f>
        <v/>
      </c>
      <c r="O17" s="132">
        <f t="array" ref="O17">IFERROR(VLOOKUP($A17&amp;"-"&amp;O$2, CHOOSE({1,2}, 'S12 Operations'!$C$2:$C$534&amp;"-"&amp;'S12 Operations'!$E$2:$E$534, 'S12 Operations'!$D$2:$D$534), 2, 0), "")</f>
        <v>50</v>
      </c>
      <c r="P17" s="133" t="str">
        <f t="array" ref="P17">IFERROR(VLOOKUP($A17&amp;"-"&amp;P$2, CHOOSE({1,2}, 'S12 Operations'!$C$2:$C$534&amp;"-"&amp;'S12 Operations'!$E$2:$E$534, 'S12 Operations'!$D$2:$D$534), 2, 0), "")</f>
        <v/>
      </c>
      <c r="Q17" s="134" t="str">
        <f t="array" ref="Q17">IFERROR(VLOOKUP($A17&amp;"-"&amp;Q$2, CHOOSE({1,2}, 'S12 Operations'!$C$2:$C$534&amp;"-"&amp;'S12 Operations'!$E$2:$E$534, 'S12 Operations'!$D$2:$D$534), 2, 0), "")</f>
        <v/>
      </c>
      <c r="R17" s="135" t="str">
        <f t="array" ref="R17">IFERROR(VLOOKUP($A17&amp;"-"&amp;R$2, CHOOSE({1,2}, 'S12 Operations'!$C$2:$C$534&amp;"-"&amp;'S12 Operations'!$E$2:$E$534, 'S12 Operations'!$D$2:$D$534), 2, 0), "")</f>
        <v/>
      </c>
      <c r="S17" s="135" t="str">
        <f t="array" ref="S17">IFERROR(VLOOKUP($A17&amp;"-"&amp;S$2, CHOOSE({1,2}, 'S12 Operations'!$C$2:$C$534&amp;"-"&amp;'S12 Operations'!$E$2:$E$534, 'S12 Operations'!$D$2:$D$534), 2, 0), "")</f>
        <v/>
      </c>
      <c r="T17" s="136">
        <f t="array" ref="T17">IFERROR(VLOOKUP($A17&amp;"-"&amp;T$2, CHOOSE({1,2}, 'S12 Operations'!$C$2:$C$534&amp;"-"&amp;'S12 Operations'!$E$2:$E$534, 'S12 Operations'!$D$2:$D$534), 2, 0), "")</f>
        <v>60</v>
      </c>
      <c r="U17" s="131" t="str">
        <f t="array" ref="U17">IFERROR(VLOOKUP($A17&amp;"-"&amp;U$2, CHOOSE({1,2}, 'S12 Operations'!$C$2:$C$534&amp;"-"&amp;'S12 Operations'!$E$2:$E$534, 'S12 Operations'!$D$2:$D$534), 2, 0), "")</f>
        <v/>
      </c>
      <c r="V17" s="133" t="str">
        <f t="array" ref="V17">IFERROR(VLOOKUP($A17&amp;"-"&amp;V$2, CHOOSE({1,2}, 'S12 Operations'!$C$2:$C$534&amp;"-"&amp;'S12 Operations'!$E$2:$E$534, 'S12 Operations'!$D$2:$D$534), 2, 0), "")</f>
        <v/>
      </c>
      <c r="W17" s="134">
        <f t="array" ref="W17">IFERROR(VLOOKUP($A17&amp;"-"&amp;W$2, CHOOSE({1,2}, 'S12 Operations'!$C$2:$C$534&amp;"-"&amp;'S12 Operations'!$E$2:$E$534, 'S12 Operations'!$D$2:$D$534), 2, 0), "")</f>
        <v>70</v>
      </c>
      <c r="X17" s="135" t="str">
        <f t="array" ref="X17">IFERROR(VLOOKUP($A17&amp;"-"&amp;X$2, CHOOSE({1,2}, 'S12 Operations'!$C$2:$C$534&amp;"-"&amp;'S12 Operations'!$E$2:$E$534, 'S12 Operations'!$D$2:$D$534), 2, 0), "")</f>
        <v/>
      </c>
      <c r="Y17" s="136" t="str">
        <f t="array" ref="Y17">IFERROR(VLOOKUP($A17&amp;"-"&amp;Y$2, CHOOSE({1,2}, 'S12 Operations'!$C$2:$C$534&amp;"-"&amp;'S12 Operations'!$E$2:$E$534, 'S12 Operations'!$D$2:$D$534), 2, 0), "")</f>
        <v/>
      </c>
      <c r="Z17" s="120" t="str">
        <f t="array" ref="Z17">IFERROR(VLOOKUP($A17&amp;"-"&amp;Z$2, CHOOSE({1,2}, 'S12 Operations'!$C$2:$C$534&amp;"-"&amp;'S12 Operations'!$E$2:$E$534, 'S12 Operations'!$D$2:$D$534), 2, 0), "")</f>
        <v/>
      </c>
      <c r="AA17" s="119">
        <f t="array" ref="AA17">IFERROR(VLOOKUP($A17&amp;"-"&amp;AA$2, CHOOSE({1,2}, 'S12 Operations'!$C$2:$C$534&amp;"-"&amp;'S12 Operations'!$E$2:$E$534, 'S12 Operations'!$D$2:$D$534), 2, 0), "")</f>
        <v>80</v>
      </c>
    </row>
    <row r="18" spans="1:27" ht="18" thickBot="1" x14ac:dyDescent="0.25">
      <c r="A18" s="121" t="str">
        <f>'S08 ABC Output'!A6</f>
        <v>I-064</v>
      </c>
      <c r="B18" s="62">
        <f t="array" ref="B18">IFERROR(VLOOKUP($A18&amp;"-"&amp;B$2, CHOOSE({1,2}, 'S12 Operations'!$C$2:$C$534&amp;"-"&amp;'S12 Operations'!$E$2:$E$534, 'S12 Operations'!$D$2:$D$534), 2, 0), "")</f>
        <v>10</v>
      </c>
      <c r="C18" s="126" t="str">
        <f t="array" ref="C18">IFERROR(VLOOKUP($A18&amp;"-"&amp;C$2, CHOOSE({1,2}, 'S12 Operations'!$C$2:$C$534&amp;"-"&amp;'S12 Operations'!$E$2:$E$534, 'S12 Operations'!$D$2:$D$534), 2, 0), "")</f>
        <v/>
      </c>
      <c r="D18" s="127" t="str">
        <f t="array" ref="D18">IFERROR(VLOOKUP($A18&amp;"-"&amp;D$2, CHOOSE({1,2}, 'S12 Operations'!$C$2:$C$534&amp;"-"&amp;'S12 Operations'!$E$2:$E$534, 'S12 Operations'!$D$2:$D$534), 2, 0), "")</f>
        <v/>
      </c>
      <c r="E18" s="128">
        <f t="array" ref="E18">IFERROR(VLOOKUP($A18&amp;"-"&amp;E$2, CHOOSE({1,2}, 'S12 Operations'!$C$2:$C$534&amp;"-"&amp;'S12 Operations'!$E$2:$E$534, 'S12 Operations'!$D$2:$D$534), 2, 0), "")</f>
        <v>20</v>
      </c>
      <c r="F18" s="63" t="str">
        <f t="array" ref="F18">IFERROR(VLOOKUP($A18&amp;"-"&amp;F$2, CHOOSE({1,2}, 'S12 Operations'!$C$2:$C$534&amp;"-"&amp;'S12 Operations'!$E$2:$E$534, 'S12 Operations'!$D$2:$D$534), 2, 0), "")</f>
        <v/>
      </c>
      <c r="G18" s="64">
        <f t="array" ref="G18">IFERROR(VLOOKUP($A18&amp;"-"&amp;G$2, CHOOSE({1,2}, 'S12 Operations'!$C$2:$C$534&amp;"-"&amp;'S12 Operations'!$E$2:$E$534, 'S12 Operations'!$D$2:$D$534), 2, 0), "")</f>
        <v>30</v>
      </c>
      <c r="H18" s="65" t="str">
        <f t="array" ref="H18">IFERROR(VLOOKUP($A18&amp;"-"&amp;H$2, CHOOSE({1,2}, 'S12 Operations'!$C$2:$C$534&amp;"-"&amp;'S12 Operations'!$E$2:$E$534, 'S12 Operations'!$D$2:$D$534), 2, 0), "")</f>
        <v/>
      </c>
      <c r="I18" s="126">
        <f t="array" ref="I18">IFERROR(VLOOKUP($A18&amp;"-"&amp;I$2, CHOOSE({1,2}, 'S12 Operations'!$C$2:$C$534&amp;"-"&amp;'S12 Operations'!$E$2:$E$534, 'S12 Operations'!$D$2:$D$534), 2, 0), "")</f>
        <v>40</v>
      </c>
      <c r="J18" s="127" t="str">
        <f t="array" ref="J18">IFERROR(VLOOKUP($A18&amp;"-"&amp;J$2, CHOOSE({1,2}, 'S12 Operations'!$C$2:$C$534&amp;"-"&amp;'S12 Operations'!$E$2:$E$534, 'S12 Operations'!$D$2:$D$534), 2, 0), "")</f>
        <v/>
      </c>
      <c r="K18" s="127" t="str">
        <f t="array" ref="K18">IFERROR(VLOOKUP($A18&amp;"-"&amp;K$2, CHOOSE({1,2}, 'S12 Operations'!$C$2:$C$534&amp;"-"&amp;'S12 Operations'!$E$2:$E$534, 'S12 Operations'!$D$2:$D$534), 2, 0), "")</f>
        <v/>
      </c>
      <c r="L18" s="127" t="str">
        <f t="array" ref="L18">IFERROR(VLOOKUP($A18&amp;"-"&amp;L$2, CHOOSE({1,2}, 'S12 Operations'!$C$2:$C$534&amp;"-"&amp;'S12 Operations'!$E$2:$E$534, 'S12 Operations'!$D$2:$D$534), 2, 0), "")</f>
        <v/>
      </c>
      <c r="M18" s="127" t="str">
        <f t="array" ref="M18">IFERROR(VLOOKUP($A18&amp;"-"&amp;M$2, CHOOSE({1,2}, 'S12 Operations'!$C$2:$C$534&amp;"-"&amp;'S12 Operations'!$E$2:$E$534, 'S12 Operations'!$D$2:$D$534), 2, 0), "")</f>
        <v/>
      </c>
      <c r="N18" s="127" t="str">
        <f t="array" ref="N18">IFERROR(VLOOKUP($A18&amp;"-"&amp;N$2, CHOOSE({1,2}, 'S12 Operations'!$C$2:$C$534&amp;"-"&amp;'S12 Operations'!$E$2:$E$534, 'S12 Operations'!$D$2:$D$534), 2, 0), "")</f>
        <v/>
      </c>
      <c r="O18" s="127">
        <f t="array" ref="O18">IFERROR(VLOOKUP($A18&amp;"-"&amp;O$2, CHOOSE({1,2}, 'S12 Operations'!$C$2:$C$534&amp;"-"&amp;'S12 Operations'!$E$2:$E$534, 'S12 Operations'!$D$2:$D$534), 2, 0), "")</f>
        <v>50</v>
      </c>
      <c r="P18" s="128" t="str">
        <f t="array" ref="P18">IFERROR(VLOOKUP($A18&amp;"-"&amp;P$2, CHOOSE({1,2}, 'S12 Operations'!$C$2:$C$534&amp;"-"&amp;'S12 Operations'!$E$2:$E$534, 'S12 Operations'!$D$2:$D$534), 2, 0), "")</f>
        <v/>
      </c>
      <c r="Q18" s="63" t="str">
        <f t="array" ref="Q18">IFERROR(VLOOKUP($A18&amp;"-"&amp;Q$2, CHOOSE({1,2}, 'S12 Operations'!$C$2:$C$534&amp;"-"&amp;'S12 Operations'!$E$2:$E$534, 'S12 Operations'!$D$2:$D$534), 2, 0), "")</f>
        <v/>
      </c>
      <c r="R18" s="64" t="str">
        <f t="array" ref="R18">IFERROR(VLOOKUP($A18&amp;"-"&amp;R$2, CHOOSE({1,2}, 'S12 Operations'!$C$2:$C$534&amp;"-"&amp;'S12 Operations'!$E$2:$E$534, 'S12 Operations'!$D$2:$D$534), 2, 0), "")</f>
        <v/>
      </c>
      <c r="S18" s="64" t="str">
        <f t="array" ref="S18">IFERROR(VLOOKUP($A18&amp;"-"&amp;S$2, CHOOSE({1,2}, 'S12 Operations'!$C$2:$C$534&amp;"-"&amp;'S12 Operations'!$E$2:$E$534, 'S12 Operations'!$D$2:$D$534), 2, 0), "")</f>
        <v/>
      </c>
      <c r="T18" s="65">
        <f t="array" ref="T18">IFERROR(VLOOKUP($A18&amp;"-"&amp;T$2, CHOOSE({1,2}, 'S12 Operations'!$C$2:$C$534&amp;"-"&amp;'S12 Operations'!$E$2:$E$534, 'S12 Operations'!$D$2:$D$534), 2, 0), "")</f>
        <v>60</v>
      </c>
      <c r="U18" s="126" t="str">
        <f t="array" ref="U18">IFERROR(VLOOKUP($A18&amp;"-"&amp;U$2, CHOOSE({1,2}, 'S12 Operations'!$C$2:$C$534&amp;"-"&amp;'S12 Operations'!$E$2:$E$534, 'S12 Operations'!$D$2:$D$534), 2, 0), "")</f>
        <v/>
      </c>
      <c r="V18" s="128" t="str">
        <f t="array" ref="V18">IFERROR(VLOOKUP($A18&amp;"-"&amp;V$2, CHOOSE({1,2}, 'S12 Operations'!$C$2:$C$534&amp;"-"&amp;'S12 Operations'!$E$2:$E$534, 'S12 Operations'!$D$2:$D$534), 2, 0), "")</f>
        <v/>
      </c>
      <c r="W18" s="63">
        <f t="array" ref="W18">IFERROR(VLOOKUP($A18&amp;"-"&amp;W$2, CHOOSE({1,2}, 'S12 Operations'!$C$2:$C$534&amp;"-"&amp;'S12 Operations'!$E$2:$E$534, 'S12 Operations'!$D$2:$D$534), 2, 0), "")</f>
        <v>70</v>
      </c>
      <c r="X18" s="64" t="str">
        <f t="array" ref="X18">IFERROR(VLOOKUP($A18&amp;"-"&amp;X$2, CHOOSE({1,2}, 'S12 Operations'!$C$2:$C$534&amp;"-"&amp;'S12 Operations'!$E$2:$E$534, 'S12 Operations'!$D$2:$D$534), 2, 0), "")</f>
        <v/>
      </c>
      <c r="Y18" s="65" t="str">
        <f t="array" ref="Y18">IFERROR(VLOOKUP($A18&amp;"-"&amp;Y$2, CHOOSE({1,2}, 'S12 Operations'!$C$2:$C$534&amp;"-"&amp;'S12 Operations'!$E$2:$E$534, 'S12 Operations'!$D$2:$D$534), 2, 0), "")</f>
        <v/>
      </c>
      <c r="Z18" s="130">
        <f t="array" ref="Z18">IFERROR(VLOOKUP($A18&amp;"-"&amp;Z$2, CHOOSE({1,2}, 'S12 Operations'!$C$2:$C$534&amp;"-"&amp;'S12 Operations'!$E$2:$E$534, 'S12 Operations'!$D$2:$D$534), 2, 0), "")</f>
        <v>80</v>
      </c>
      <c r="AA18" s="62">
        <f t="array" ref="AA18">IFERROR(VLOOKUP($A18&amp;"-"&amp;AA$2, CHOOSE({1,2}, 'S12 Operations'!$C$2:$C$534&amp;"-"&amp;'S12 Operations'!$E$2:$E$534, 'S12 Operations'!$D$2:$D$534), 2, 0), "")</f>
        <v>90</v>
      </c>
    </row>
    <row r="19" spans="1:27" ht="17" thickBot="1" x14ac:dyDescent="0.25"/>
    <row r="20" spans="1:27" ht="18" thickBot="1" x14ac:dyDescent="0.25">
      <c r="A20" s="172" t="s">
        <v>808</v>
      </c>
      <c r="B20" s="52" t="s">
        <v>566</v>
      </c>
      <c r="C20" s="313" t="s">
        <v>567</v>
      </c>
      <c r="D20" s="314"/>
      <c r="E20" s="315"/>
      <c r="F20" s="310" t="s">
        <v>568</v>
      </c>
      <c r="G20" s="311"/>
      <c r="H20" s="312"/>
      <c r="I20" s="313" t="s">
        <v>569</v>
      </c>
      <c r="J20" s="314"/>
      <c r="K20" s="314"/>
      <c r="L20" s="314"/>
      <c r="M20" s="314"/>
      <c r="N20" s="314"/>
      <c r="O20" s="314"/>
      <c r="P20" s="315"/>
      <c r="Q20" s="310" t="s">
        <v>570</v>
      </c>
      <c r="R20" s="311"/>
      <c r="S20" s="311"/>
      <c r="T20" s="312"/>
      <c r="U20" s="313" t="s">
        <v>571</v>
      </c>
      <c r="V20" s="315"/>
      <c r="W20" s="310" t="s">
        <v>567</v>
      </c>
      <c r="X20" s="311"/>
      <c r="Y20" s="312"/>
      <c r="Z20" s="110" t="s">
        <v>572</v>
      </c>
      <c r="AA20" s="52" t="s">
        <v>566</v>
      </c>
    </row>
    <row r="21" spans="1:27" ht="18" thickBot="1" x14ac:dyDescent="0.25">
      <c r="A21" s="175" t="s">
        <v>170</v>
      </c>
      <c r="B21" s="176" t="s">
        <v>616</v>
      </c>
      <c r="C21" s="177" t="s">
        <v>609</v>
      </c>
      <c r="D21" s="178" t="s">
        <v>611</v>
      </c>
      <c r="E21" s="179" t="s">
        <v>613</v>
      </c>
      <c r="F21" s="54" t="s">
        <v>575</v>
      </c>
      <c r="G21" s="55" t="s">
        <v>577</v>
      </c>
      <c r="H21" s="56" t="s">
        <v>580</v>
      </c>
      <c r="I21" s="177" t="s">
        <v>576</v>
      </c>
      <c r="J21" s="178" t="s">
        <v>578</v>
      </c>
      <c r="K21" s="178" t="s">
        <v>581</v>
      </c>
      <c r="L21" s="178" t="s">
        <v>591</v>
      </c>
      <c r="M21" s="178" t="s">
        <v>593</v>
      </c>
      <c r="N21" s="178" t="s">
        <v>594</v>
      </c>
      <c r="O21" s="178" t="s">
        <v>596</v>
      </c>
      <c r="P21" s="179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177" t="s">
        <v>600</v>
      </c>
      <c r="V21" s="179" t="s">
        <v>602</v>
      </c>
      <c r="W21" s="54" t="s">
        <v>605</v>
      </c>
      <c r="X21" s="55" t="s">
        <v>606</v>
      </c>
      <c r="Y21" s="56" t="s">
        <v>607</v>
      </c>
      <c r="Z21" s="180" t="s">
        <v>615</v>
      </c>
      <c r="AA21" s="176" t="s">
        <v>617</v>
      </c>
    </row>
    <row r="22" spans="1:27" ht="17" x14ac:dyDescent="0.2">
      <c r="A22" s="173" t="str">
        <f>'S08 ABC Output'!A3</f>
        <v>I-010</v>
      </c>
      <c r="B22" s="174">
        <f>IFERROR(VLOOKUP($A22&amp;"-"&amp;B$21, 'S12 Operations'!$A$2:$D$534, 4, 0), "")</f>
        <v>10</v>
      </c>
      <c r="C22" s="174" t="str">
        <f>IFERROR(VLOOKUP($A22&amp;"-"&amp;C$21, 'S12 Operations'!$A$2:$D$534, 4, 0), "")</f>
        <v/>
      </c>
      <c r="D22" s="174" t="str">
        <f>IFERROR(VLOOKUP($A22&amp;"-"&amp;D$21, 'S12 Operations'!$A$2:$D$534, 4, 0), "")</f>
        <v/>
      </c>
      <c r="E22" s="174">
        <f>IFERROR(VLOOKUP($A22&amp;"-"&amp;E$21, 'S12 Operations'!$A$2:$D$534, 4, 0), "")</f>
        <v>20</v>
      </c>
      <c r="F22" s="174">
        <f>IFERROR(VLOOKUP($A22&amp;"-"&amp;F$21, 'S12 Operations'!$A$2:$D$534, 4, 0), "")</f>
        <v>30</v>
      </c>
      <c r="G22" s="174" t="str">
        <f>IFERROR(VLOOKUP($A22&amp;"-"&amp;G$21, 'S12 Operations'!$A$2:$D$534, 4, 0), "")</f>
        <v/>
      </c>
      <c r="H22" s="174" t="str">
        <f>IFERROR(VLOOKUP($A22&amp;"-"&amp;H$21, 'S12 Operations'!$A$2:$D$534, 4, 0), "")</f>
        <v/>
      </c>
      <c r="I22" s="174" t="str">
        <f>IFERROR(VLOOKUP($A22&amp;"-"&amp;I$21, 'S12 Operations'!$A$2:$D$534, 4, 0), "")</f>
        <v/>
      </c>
      <c r="J22" s="174" t="str">
        <f>IFERROR(VLOOKUP($A22&amp;"-"&amp;J$21, 'S12 Operations'!$A$2:$D$534, 4, 0), "")</f>
        <v/>
      </c>
      <c r="K22" s="174" t="str">
        <f>IFERROR(VLOOKUP($A22&amp;"-"&amp;K$21, 'S12 Operations'!$A$2:$D$534, 4, 0), "")</f>
        <v/>
      </c>
      <c r="L22" s="174">
        <f>IFERROR(VLOOKUP($A22&amp;"-"&amp;L$21, 'S12 Operations'!$A$2:$D$534, 4, 0), "")</f>
        <v>40</v>
      </c>
      <c r="M22" s="174" t="str">
        <f>IFERROR(VLOOKUP($A22&amp;"-"&amp;M$21, 'S12 Operations'!$A$2:$D$534, 4, 0), "")</f>
        <v/>
      </c>
      <c r="N22" s="174" t="str">
        <f>IFERROR(VLOOKUP($A22&amp;"-"&amp;N$21, 'S12 Operations'!$A$2:$D$534, 4, 0), "")</f>
        <v/>
      </c>
      <c r="O22" s="174" t="str">
        <f>IFERROR(VLOOKUP($A22&amp;"-"&amp;O$21, 'S12 Operations'!$A$2:$D$534, 4, 0), "")</f>
        <v/>
      </c>
      <c r="P22" s="174">
        <f>IFERROR(VLOOKUP($A22&amp;"-"&amp;P$21, 'S12 Operations'!$A$2:$D$534, 4, 0), "")</f>
        <v>50</v>
      </c>
      <c r="Q22" s="174" t="str">
        <f>IFERROR(VLOOKUP($A22&amp;"-"&amp;Q$21, 'S12 Operations'!$A$2:$D$534, 4, 0), "")</f>
        <v/>
      </c>
      <c r="R22" s="174" t="str">
        <f>IFERROR(VLOOKUP($A22&amp;"-"&amp;R$21, 'S12 Operations'!$A$2:$D$534, 4, 0), "")</f>
        <v/>
      </c>
      <c r="S22" s="174" t="str">
        <f>IFERROR(VLOOKUP($A22&amp;"-"&amp;S$21, 'S12 Operations'!$A$2:$D$534, 4, 0), "")</f>
        <v/>
      </c>
      <c r="T22" s="174" t="str">
        <f>IFERROR(VLOOKUP($A22&amp;"-"&amp;T$21, 'S12 Operations'!$A$2:$D$534, 4, 0), "")</f>
        <v/>
      </c>
      <c r="U22" s="174" t="str">
        <f>IFERROR(VLOOKUP($A22&amp;"-"&amp;U$21, 'S12 Operations'!$A$2:$D$534, 4, 0), "")</f>
        <v/>
      </c>
      <c r="V22" s="174">
        <f>IFERROR(VLOOKUP($A22&amp;"-"&amp;V$21, 'S12 Operations'!$A$2:$D$534, 4, 0), "")</f>
        <v>60</v>
      </c>
      <c r="W22" s="174" t="str">
        <f>IFERROR(VLOOKUP($A22&amp;"-"&amp;W$21, 'S12 Operations'!$A$2:$D$534, 4, 0), "")</f>
        <v/>
      </c>
      <c r="X22" s="174">
        <f>IFERROR(VLOOKUP($A22&amp;"-"&amp;X$21, 'S12 Operations'!$A$2:$D$534, 4, 0), "")</f>
        <v>70</v>
      </c>
      <c r="Y22" s="174" t="str">
        <f>IFERROR(VLOOKUP($A22&amp;"-"&amp;Y$21, 'S12 Operations'!$A$2:$D$534, 4, 0), "")</f>
        <v/>
      </c>
      <c r="Z22" s="174" t="str">
        <f>IFERROR(VLOOKUP($A22&amp;"-"&amp;Z$21, 'S12 Operations'!$A$2:$D$534, 4, 0), "")</f>
        <v/>
      </c>
      <c r="AA22" s="174">
        <f>IFERROR(VLOOKUP($A22&amp;"-"&amp;AA$21, 'S12 Operations'!$A$2:$D$534, 4, 0), "")</f>
        <v>80</v>
      </c>
    </row>
    <row r="23" spans="1:27" ht="17" x14ac:dyDescent="0.2">
      <c r="A23" s="173" t="str">
        <f>'S08 ABC Output'!A4</f>
        <v>I-004</v>
      </c>
      <c r="B23" s="174">
        <f>IFERROR(VLOOKUP($A23&amp;"-"&amp;B$21, 'S12 Operations'!$A$2:$D$534, 4, 0), "")</f>
        <v>10</v>
      </c>
      <c r="C23" s="174">
        <f>IFERROR(VLOOKUP($A23&amp;"-"&amp;C$21, 'S12 Operations'!$A$2:$D$534, 4, 0), "")</f>
        <v>20</v>
      </c>
      <c r="D23" s="174" t="str">
        <f>IFERROR(VLOOKUP($A23&amp;"-"&amp;D$21, 'S12 Operations'!$A$2:$D$534, 4, 0), "")</f>
        <v/>
      </c>
      <c r="E23" s="174" t="str">
        <f>IFERROR(VLOOKUP($A23&amp;"-"&amp;E$21, 'S12 Operations'!$A$2:$D$534, 4, 0), "")</f>
        <v/>
      </c>
      <c r="F23" s="174" t="str">
        <f>IFERROR(VLOOKUP($A23&amp;"-"&amp;F$21, 'S12 Operations'!$A$2:$D$534, 4, 0), "")</f>
        <v/>
      </c>
      <c r="G23" s="174" t="str">
        <f>IFERROR(VLOOKUP($A23&amp;"-"&amp;G$21, 'S12 Operations'!$A$2:$D$534, 4, 0), "")</f>
        <v/>
      </c>
      <c r="H23" s="174" t="str">
        <f>IFERROR(VLOOKUP($A23&amp;"-"&amp;H$21, 'S12 Operations'!$A$2:$D$534, 4, 0), "")</f>
        <v/>
      </c>
      <c r="I23" s="174" t="str">
        <f>IFERROR(VLOOKUP($A23&amp;"-"&amp;I$21, 'S12 Operations'!$A$2:$D$534, 4, 0), "")</f>
        <v/>
      </c>
      <c r="J23" s="174">
        <f>IFERROR(VLOOKUP($A23&amp;"-"&amp;J$21, 'S12 Operations'!$A$2:$D$534, 4, 0), "")</f>
        <v>30</v>
      </c>
      <c r="K23" s="174" t="str">
        <f>IFERROR(VLOOKUP($A23&amp;"-"&amp;K$21, 'S12 Operations'!$A$2:$D$534, 4, 0), "")</f>
        <v/>
      </c>
      <c r="L23" s="174" t="str">
        <f>IFERROR(VLOOKUP($A23&amp;"-"&amp;L$21, 'S12 Operations'!$A$2:$D$534, 4, 0), "")</f>
        <v/>
      </c>
      <c r="M23" s="174" t="str">
        <f>IFERROR(VLOOKUP($A23&amp;"-"&amp;M$21, 'S12 Operations'!$A$2:$D$534, 4, 0), "")</f>
        <v/>
      </c>
      <c r="N23" s="174" t="str">
        <f>IFERROR(VLOOKUP($A23&amp;"-"&amp;N$21, 'S12 Operations'!$A$2:$D$534, 4, 0), "")</f>
        <v/>
      </c>
      <c r="O23" s="174" t="str">
        <f>IFERROR(VLOOKUP($A23&amp;"-"&amp;O$21, 'S12 Operations'!$A$2:$D$534, 4, 0), "")</f>
        <v/>
      </c>
      <c r="P23" s="174" t="str">
        <f>IFERROR(VLOOKUP($A23&amp;"-"&amp;P$21, 'S12 Operations'!$A$2:$D$534, 4, 0), "")</f>
        <v/>
      </c>
      <c r="Q23" s="174">
        <f>IFERROR(VLOOKUP($A23&amp;"-"&amp;Q$21, 'S12 Operations'!$A$2:$D$534, 4, 0), "")</f>
        <v>40</v>
      </c>
      <c r="R23" s="174" t="str">
        <f>IFERROR(VLOOKUP($A23&amp;"-"&amp;R$21, 'S12 Operations'!$A$2:$D$534, 4, 0), "")</f>
        <v/>
      </c>
      <c r="S23" s="174" t="str">
        <f>IFERROR(VLOOKUP($A23&amp;"-"&amp;S$21, 'S12 Operations'!$A$2:$D$534, 4, 0), "")</f>
        <v/>
      </c>
      <c r="T23" s="174" t="str">
        <f>IFERROR(VLOOKUP($A23&amp;"-"&amp;T$21, 'S12 Operations'!$A$2:$D$534, 4, 0), "")</f>
        <v/>
      </c>
      <c r="U23" s="174" t="str">
        <f>IFERROR(VLOOKUP($A23&amp;"-"&amp;U$21, 'S12 Operations'!$A$2:$D$534, 4, 0), "")</f>
        <v/>
      </c>
      <c r="V23" s="174" t="str">
        <f>IFERROR(VLOOKUP($A23&amp;"-"&amp;V$21, 'S12 Operations'!$A$2:$D$534, 4, 0), "")</f>
        <v/>
      </c>
      <c r="W23" s="174" t="str">
        <f>IFERROR(VLOOKUP($A23&amp;"-"&amp;W$21, 'S12 Operations'!$A$2:$D$534, 4, 0), "")</f>
        <v/>
      </c>
      <c r="X23" s="174" t="str">
        <f>IFERROR(VLOOKUP($A23&amp;"-"&amp;X$21, 'S12 Operations'!$A$2:$D$534, 4, 0), "")</f>
        <v/>
      </c>
      <c r="Y23" s="174">
        <f>IFERROR(VLOOKUP($A23&amp;"-"&amp;Y$21, 'S12 Operations'!$A$2:$D$534, 4, 0), "")</f>
        <v>50</v>
      </c>
      <c r="Z23" s="174" t="str">
        <f>IFERROR(VLOOKUP($A23&amp;"-"&amp;Z$21, 'S12 Operations'!$A$2:$D$534, 4, 0), "")</f>
        <v/>
      </c>
      <c r="AA23" s="174">
        <f>IFERROR(VLOOKUP($A23&amp;"-"&amp;AA$21, 'S12 Operations'!$A$2:$D$534, 4, 0), "")</f>
        <v>60</v>
      </c>
    </row>
    <row r="24" spans="1:27" ht="17" x14ac:dyDescent="0.2">
      <c r="A24" s="173" t="str">
        <f>'S08 ABC Output'!A5</f>
        <v>I-037</v>
      </c>
      <c r="B24" s="174">
        <f>IFERROR(VLOOKUP($A24&amp;"-"&amp;B$21, 'S12 Operations'!$A$2:$D$534, 4, 0), "")</f>
        <v>10</v>
      </c>
      <c r="C24" s="174" t="str">
        <f>IFERROR(VLOOKUP($A24&amp;"-"&amp;C$21, 'S12 Operations'!$A$2:$D$534, 4, 0), "")</f>
        <v/>
      </c>
      <c r="D24" s="174">
        <f>IFERROR(VLOOKUP($A24&amp;"-"&amp;D$21, 'S12 Operations'!$A$2:$D$534, 4, 0), "")</f>
        <v>20</v>
      </c>
      <c r="E24" s="174" t="str">
        <f>IFERROR(VLOOKUP($A24&amp;"-"&amp;E$21, 'S12 Operations'!$A$2:$D$534, 4, 0), "")</f>
        <v/>
      </c>
      <c r="F24" s="174" t="str">
        <f>IFERROR(VLOOKUP($A24&amp;"-"&amp;F$21, 'S12 Operations'!$A$2:$D$534, 4, 0), "")</f>
        <v/>
      </c>
      <c r="G24" s="174" t="str">
        <f>IFERROR(VLOOKUP($A24&amp;"-"&amp;G$21, 'S12 Operations'!$A$2:$D$534, 4, 0), "")</f>
        <v/>
      </c>
      <c r="H24" s="174">
        <f>IFERROR(VLOOKUP($A24&amp;"-"&amp;H$21, 'S12 Operations'!$A$2:$D$534, 4, 0), "")</f>
        <v>30</v>
      </c>
      <c r="I24" s="174" t="str">
        <f>IFERROR(VLOOKUP($A24&amp;"-"&amp;I$21, 'S12 Operations'!$A$2:$D$534, 4, 0), "")</f>
        <v/>
      </c>
      <c r="J24" s="174" t="str">
        <f>IFERROR(VLOOKUP($A24&amp;"-"&amp;J$21, 'S12 Operations'!$A$2:$D$534, 4, 0), "")</f>
        <v/>
      </c>
      <c r="K24" s="174" t="str">
        <f>IFERROR(VLOOKUP($A24&amp;"-"&amp;K$21, 'S12 Operations'!$A$2:$D$534, 4, 0), "")</f>
        <v/>
      </c>
      <c r="L24" s="174" t="str">
        <f>IFERROR(VLOOKUP($A24&amp;"-"&amp;L$21, 'S12 Operations'!$A$2:$D$534, 4, 0), "")</f>
        <v/>
      </c>
      <c r="M24" s="174" t="str">
        <f>IFERROR(VLOOKUP($A24&amp;"-"&amp;M$21, 'S12 Operations'!$A$2:$D$534, 4, 0), "")</f>
        <v/>
      </c>
      <c r="N24" s="174">
        <f>IFERROR(VLOOKUP($A24&amp;"-"&amp;N$21, 'S12 Operations'!$A$2:$D$534, 4, 0), "")</f>
        <v>40</v>
      </c>
      <c r="O24" s="174" t="str">
        <f>IFERROR(VLOOKUP($A24&amp;"-"&amp;O$21, 'S12 Operations'!$A$2:$D$534, 4, 0), "")</f>
        <v/>
      </c>
      <c r="P24" s="174" t="str">
        <f>IFERROR(VLOOKUP($A24&amp;"-"&amp;P$21, 'S12 Operations'!$A$2:$D$534, 4, 0), "")</f>
        <v/>
      </c>
      <c r="Q24" s="174" t="str">
        <f>IFERROR(VLOOKUP($A24&amp;"-"&amp;Q$21, 'S12 Operations'!$A$2:$D$534, 4, 0), "")</f>
        <v/>
      </c>
      <c r="R24" s="174" t="str">
        <f>IFERROR(VLOOKUP($A24&amp;"-"&amp;R$21, 'S12 Operations'!$A$2:$D$534, 4, 0), "")</f>
        <v/>
      </c>
      <c r="S24" s="174">
        <f>IFERROR(VLOOKUP($A24&amp;"-"&amp;S$21, 'S12 Operations'!$A$2:$D$534, 4, 0), "")</f>
        <v>50</v>
      </c>
      <c r="T24" s="174" t="str">
        <f>IFERROR(VLOOKUP($A24&amp;"-"&amp;T$21, 'S12 Operations'!$A$2:$D$534, 4, 0), "")</f>
        <v/>
      </c>
      <c r="U24" s="174">
        <f>IFERROR(VLOOKUP($A24&amp;"-"&amp;U$21, 'S12 Operations'!$A$2:$D$534, 4, 0), "")</f>
        <v>60</v>
      </c>
      <c r="V24" s="174" t="str">
        <f>IFERROR(VLOOKUP($A24&amp;"-"&amp;V$21, 'S12 Operations'!$A$2:$D$534, 4, 0), "")</f>
        <v/>
      </c>
      <c r="W24" s="174">
        <f>IFERROR(VLOOKUP($A24&amp;"-"&amp;W$21, 'S12 Operations'!$A$2:$D$534, 4, 0), "")</f>
        <v>70</v>
      </c>
      <c r="X24" s="174" t="str">
        <f>IFERROR(VLOOKUP($A24&amp;"-"&amp;X$21, 'S12 Operations'!$A$2:$D$534, 4, 0), "")</f>
        <v/>
      </c>
      <c r="Y24" s="174" t="str">
        <f>IFERROR(VLOOKUP($A24&amp;"-"&amp;Y$21, 'S12 Operations'!$A$2:$D$534, 4, 0), "")</f>
        <v/>
      </c>
      <c r="Z24" s="174" t="str">
        <f>IFERROR(VLOOKUP($A24&amp;"-"&amp;Z$21, 'S12 Operations'!$A$2:$D$534, 4, 0), "")</f>
        <v/>
      </c>
      <c r="AA24" s="174">
        <f>IFERROR(VLOOKUP($A24&amp;"-"&amp;AA$21, 'S12 Operations'!$A$2:$D$534, 4, 0), "")</f>
        <v>80</v>
      </c>
    </row>
    <row r="25" spans="1:27" ht="17" x14ac:dyDescent="0.2">
      <c r="A25" s="173" t="str">
        <f>'S08 ABC Output'!A6</f>
        <v>I-064</v>
      </c>
      <c r="B25" s="174">
        <f>IFERROR(VLOOKUP($A25&amp;"-"&amp;B$21, 'S12 Operations'!$A$2:$D$534, 4, 0), "")</f>
        <v>10</v>
      </c>
      <c r="C25" s="174" t="str">
        <f>IFERROR(VLOOKUP($A25&amp;"-"&amp;C$21, 'S12 Operations'!$A$2:$D$534, 4, 0), "")</f>
        <v/>
      </c>
      <c r="D25" s="174" t="str">
        <f>IFERROR(VLOOKUP($A25&amp;"-"&amp;D$21, 'S12 Operations'!$A$2:$D$534, 4, 0), "")</f>
        <v/>
      </c>
      <c r="E25" s="174">
        <f>IFERROR(VLOOKUP($A25&amp;"-"&amp;E$21, 'S12 Operations'!$A$2:$D$534, 4, 0), "")</f>
        <v>20</v>
      </c>
      <c r="F25" s="174" t="str">
        <f>IFERROR(VLOOKUP($A25&amp;"-"&amp;F$21, 'S12 Operations'!$A$2:$D$534, 4, 0), "")</f>
        <v/>
      </c>
      <c r="G25" s="174">
        <f>IFERROR(VLOOKUP($A25&amp;"-"&amp;G$21, 'S12 Operations'!$A$2:$D$534, 4, 0), "")</f>
        <v>30</v>
      </c>
      <c r="H25" s="174" t="str">
        <f>IFERROR(VLOOKUP($A25&amp;"-"&amp;H$21, 'S12 Operations'!$A$2:$D$534, 4, 0), "")</f>
        <v/>
      </c>
      <c r="I25" s="174">
        <f>IFERROR(VLOOKUP($A25&amp;"-"&amp;I$21, 'S12 Operations'!$A$2:$D$534, 4, 0), "")</f>
        <v>40</v>
      </c>
      <c r="J25" s="174" t="str">
        <f>IFERROR(VLOOKUP($A25&amp;"-"&amp;J$21, 'S12 Operations'!$A$2:$D$534, 4, 0), "")</f>
        <v/>
      </c>
      <c r="K25" s="174" t="str">
        <f>IFERROR(VLOOKUP($A25&amp;"-"&amp;K$21, 'S12 Operations'!$A$2:$D$534, 4, 0), "")</f>
        <v/>
      </c>
      <c r="L25" s="174" t="str">
        <f>IFERROR(VLOOKUP($A25&amp;"-"&amp;L$21, 'S12 Operations'!$A$2:$D$534, 4, 0), "")</f>
        <v/>
      </c>
      <c r="M25" s="174" t="str">
        <f>IFERROR(VLOOKUP($A25&amp;"-"&amp;M$21, 'S12 Operations'!$A$2:$D$534, 4, 0), "")</f>
        <v/>
      </c>
      <c r="N25" s="174" t="str">
        <f>IFERROR(VLOOKUP($A25&amp;"-"&amp;N$21, 'S12 Operations'!$A$2:$D$534, 4, 0), "")</f>
        <v/>
      </c>
      <c r="O25" s="174">
        <f>IFERROR(VLOOKUP($A25&amp;"-"&amp;O$21, 'S12 Operations'!$A$2:$D$534, 4, 0), "")</f>
        <v>50</v>
      </c>
      <c r="P25" s="174" t="str">
        <f>IFERROR(VLOOKUP($A25&amp;"-"&amp;P$21, 'S12 Operations'!$A$2:$D$534, 4, 0), "")</f>
        <v/>
      </c>
      <c r="Q25" s="174" t="str">
        <f>IFERROR(VLOOKUP($A25&amp;"-"&amp;Q$21, 'S12 Operations'!$A$2:$D$534, 4, 0), "")</f>
        <v/>
      </c>
      <c r="R25" s="174" t="str">
        <f>IFERROR(VLOOKUP($A25&amp;"-"&amp;R$21, 'S12 Operations'!$A$2:$D$534, 4, 0), "")</f>
        <v/>
      </c>
      <c r="S25" s="174" t="str">
        <f>IFERROR(VLOOKUP($A25&amp;"-"&amp;S$21, 'S12 Operations'!$A$2:$D$534, 4, 0), "")</f>
        <v/>
      </c>
      <c r="T25" s="174">
        <f>IFERROR(VLOOKUP($A25&amp;"-"&amp;T$21, 'S12 Operations'!$A$2:$D$534, 4, 0), "")</f>
        <v>60</v>
      </c>
      <c r="U25" s="174" t="str">
        <f>IFERROR(VLOOKUP($A25&amp;"-"&amp;U$21, 'S12 Operations'!$A$2:$D$534, 4, 0), "")</f>
        <v/>
      </c>
      <c r="V25" s="174" t="str">
        <f>IFERROR(VLOOKUP($A25&amp;"-"&amp;V$21, 'S12 Operations'!$A$2:$D$534, 4, 0), "")</f>
        <v/>
      </c>
      <c r="W25" s="174">
        <f>IFERROR(VLOOKUP($A25&amp;"-"&amp;W$21, 'S12 Operations'!$A$2:$D$534, 4, 0), "")</f>
        <v>70</v>
      </c>
      <c r="X25" s="174" t="str">
        <f>IFERROR(VLOOKUP($A25&amp;"-"&amp;X$21, 'S12 Operations'!$A$2:$D$534, 4, 0), "")</f>
        <v/>
      </c>
      <c r="Y25" s="174" t="str">
        <f>IFERROR(VLOOKUP($A25&amp;"-"&amp;Y$21, 'S12 Operations'!$A$2:$D$534, 4, 0), "")</f>
        <v/>
      </c>
      <c r="Z25" s="174">
        <f>IFERROR(VLOOKUP($A25&amp;"-"&amp;Z$21, 'S12 Operations'!$A$2:$D$534, 4, 0), "")</f>
        <v>80</v>
      </c>
      <c r="AA25" s="174">
        <f>IFERROR(VLOOKUP($A25&amp;"-"&amp;AA$21, 'S12 Operations'!$A$2:$D$534, 4, 0), "")</f>
        <v>90</v>
      </c>
    </row>
    <row r="26" spans="1:27" ht="17" x14ac:dyDescent="0.2">
      <c r="A26" s="173" t="str">
        <f>'S08 ABC Output'!A7</f>
        <v>I-052</v>
      </c>
      <c r="B26" s="174">
        <f>IFERROR(VLOOKUP($A26&amp;"-"&amp;B$21, 'S12 Operations'!$A$2:$D$534, 4, 0), "")</f>
        <v>10</v>
      </c>
      <c r="C26" s="174" t="str">
        <f>IFERROR(VLOOKUP($A26&amp;"-"&amp;C$21, 'S12 Operations'!$A$2:$D$534, 4, 0), "")</f>
        <v/>
      </c>
      <c r="D26" s="174" t="str">
        <f>IFERROR(VLOOKUP($A26&amp;"-"&amp;D$21, 'S12 Operations'!$A$2:$D$534, 4, 0), "")</f>
        <v/>
      </c>
      <c r="E26" s="174">
        <f>IFERROR(VLOOKUP($A26&amp;"-"&amp;E$21, 'S12 Operations'!$A$2:$D$534, 4, 0), "")</f>
        <v>20</v>
      </c>
      <c r="F26" s="174" t="str">
        <f>IFERROR(VLOOKUP($A26&amp;"-"&amp;F$21, 'S12 Operations'!$A$2:$D$534, 4, 0), "")</f>
        <v/>
      </c>
      <c r="G26" s="174" t="str">
        <f>IFERROR(VLOOKUP($A26&amp;"-"&amp;G$21, 'S12 Operations'!$A$2:$D$534, 4, 0), "")</f>
        <v/>
      </c>
      <c r="H26" s="174">
        <f>IFERROR(VLOOKUP($A26&amp;"-"&amp;H$21, 'S12 Operations'!$A$2:$D$534, 4, 0), "")</f>
        <v>30</v>
      </c>
      <c r="I26" s="174" t="str">
        <f>IFERROR(VLOOKUP($A26&amp;"-"&amp;I$21, 'S12 Operations'!$A$2:$D$534, 4, 0), "")</f>
        <v/>
      </c>
      <c r="J26" s="174" t="str">
        <f>IFERROR(VLOOKUP($A26&amp;"-"&amp;J$21, 'S12 Operations'!$A$2:$D$534, 4, 0), "")</f>
        <v/>
      </c>
      <c r="K26" s="174">
        <f>IFERROR(VLOOKUP($A26&amp;"-"&amp;K$21, 'S12 Operations'!$A$2:$D$534, 4, 0), "")</f>
        <v>40</v>
      </c>
      <c r="L26" s="174" t="str">
        <f>IFERROR(VLOOKUP($A26&amp;"-"&amp;L$21, 'S12 Operations'!$A$2:$D$534, 4, 0), "")</f>
        <v/>
      </c>
      <c r="M26" s="174">
        <f>IFERROR(VLOOKUP($A26&amp;"-"&amp;M$21, 'S12 Operations'!$A$2:$D$534, 4, 0), "")</f>
        <v>50</v>
      </c>
      <c r="N26" s="174" t="str">
        <f>IFERROR(VLOOKUP($A26&amp;"-"&amp;N$21, 'S12 Operations'!$A$2:$D$534, 4, 0), "")</f>
        <v/>
      </c>
      <c r="O26" s="174" t="str">
        <f>IFERROR(VLOOKUP($A26&amp;"-"&amp;O$21, 'S12 Operations'!$A$2:$D$534, 4, 0), "")</f>
        <v/>
      </c>
      <c r="P26" s="174" t="str">
        <f>IFERROR(VLOOKUP($A26&amp;"-"&amp;P$21, 'S12 Operations'!$A$2:$D$534, 4, 0), "")</f>
        <v/>
      </c>
      <c r="Q26" s="174" t="str">
        <f>IFERROR(VLOOKUP($A26&amp;"-"&amp;Q$21, 'S12 Operations'!$A$2:$D$534, 4, 0), "")</f>
        <v/>
      </c>
      <c r="R26" s="174">
        <f>IFERROR(VLOOKUP($A26&amp;"-"&amp;R$21, 'S12 Operations'!$A$2:$D$534, 4, 0), "")</f>
        <v>60</v>
      </c>
      <c r="S26" s="174" t="str">
        <f>IFERROR(VLOOKUP($A26&amp;"-"&amp;S$21, 'S12 Operations'!$A$2:$D$534, 4, 0), "")</f>
        <v/>
      </c>
      <c r="T26" s="174" t="str">
        <f>IFERROR(VLOOKUP($A26&amp;"-"&amp;T$21, 'S12 Operations'!$A$2:$D$534, 4, 0), "")</f>
        <v/>
      </c>
      <c r="U26" s="174" t="str">
        <f>IFERROR(VLOOKUP($A26&amp;"-"&amp;U$21, 'S12 Operations'!$A$2:$D$534, 4, 0), "")</f>
        <v/>
      </c>
      <c r="V26" s="174" t="str">
        <f>IFERROR(VLOOKUP($A26&amp;"-"&amp;V$21, 'S12 Operations'!$A$2:$D$534, 4, 0), "")</f>
        <v/>
      </c>
      <c r="W26" s="174">
        <f>IFERROR(VLOOKUP($A26&amp;"-"&amp;W$21, 'S12 Operations'!$A$2:$D$534, 4, 0), "")</f>
        <v>70</v>
      </c>
      <c r="X26" s="174" t="str">
        <f>IFERROR(VLOOKUP($A26&amp;"-"&amp;X$21, 'S12 Operations'!$A$2:$D$534, 4, 0), "")</f>
        <v/>
      </c>
      <c r="Y26" s="174" t="str">
        <f>IFERROR(VLOOKUP($A26&amp;"-"&amp;Y$21, 'S12 Operations'!$A$2:$D$534, 4, 0), "")</f>
        <v/>
      </c>
      <c r="Z26" s="174" t="str">
        <f>IFERROR(VLOOKUP($A26&amp;"-"&amp;Z$21, 'S12 Operations'!$A$2:$D$534, 4, 0), "")</f>
        <v/>
      </c>
      <c r="AA26" s="174">
        <f>IFERROR(VLOOKUP($A26&amp;"-"&amp;AA$21, 'S12 Operations'!$A$2:$D$534, 4, 0), "")</f>
        <v>80</v>
      </c>
    </row>
    <row r="27" spans="1:27" ht="17" x14ac:dyDescent="0.2">
      <c r="A27" s="173" t="str">
        <f>'S08 ABC Output'!A8</f>
        <v>I-068</v>
      </c>
      <c r="B27" s="174">
        <f>IFERROR(VLOOKUP($A27&amp;"-"&amp;B$21, 'S12 Operations'!$A$2:$D$534, 4, 0), "")</f>
        <v>10</v>
      </c>
      <c r="C27" s="174">
        <f>IFERROR(VLOOKUP($A27&amp;"-"&amp;C$21, 'S12 Operations'!$A$2:$D$534, 4, 0), "")</f>
        <v>20</v>
      </c>
      <c r="D27" s="174" t="str">
        <f>IFERROR(VLOOKUP($A27&amp;"-"&amp;D$21, 'S12 Operations'!$A$2:$D$534, 4, 0), "")</f>
        <v/>
      </c>
      <c r="E27" s="174" t="str">
        <f>IFERROR(VLOOKUP($A27&amp;"-"&amp;E$21, 'S12 Operations'!$A$2:$D$534, 4, 0), "")</f>
        <v/>
      </c>
      <c r="F27" s="174" t="str">
        <f>IFERROR(VLOOKUP($A27&amp;"-"&amp;F$21, 'S12 Operations'!$A$2:$D$534, 4, 0), "")</f>
        <v/>
      </c>
      <c r="G27" s="174" t="str">
        <f>IFERROR(VLOOKUP($A27&amp;"-"&amp;G$21, 'S12 Operations'!$A$2:$D$534, 4, 0), "")</f>
        <v/>
      </c>
      <c r="H27" s="174" t="str">
        <f>IFERROR(VLOOKUP($A27&amp;"-"&amp;H$21, 'S12 Operations'!$A$2:$D$534, 4, 0), "")</f>
        <v/>
      </c>
      <c r="I27" s="174" t="str">
        <f>IFERROR(VLOOKUP($A27&amp;"-"&amp;I$21, 'S12 Operations'!$A$2:$D$534, 4, 0), "")</f>
        <v/>
      </c>
      <c r="J27" s="174">
        <f>IFERROR(VLOOKUP($A27&amp;"-"&amp;J$21, 'S12 Operations'!$A$2:$D$534, 4, 0), "")</f>
        <v>30</v>
      </c>
      <c r="K27" s="174" t="str">
        <f>IFERROR(VLOOKUP($A27&amp;"-"&amp;K$21, 'S12 Operations'!$A$2:$D$534, 4, 0), "")</f>
        <v/>
      </c>
      <c r="L27" s="174" t="str">
        <f>IFERROR(VLOOKUP($A27&amp;"-"&amp;L$21, 'S12 Operations'!$A$2:$D$534, 4, 0), "")</f>
        <v/>
      </c>
      <c r="M27" s="174" t="str">
        <f>IFERROR(VLOOKUP($A27&amp;"-"&amp;M$21, 'S12 Operations'!$A$2:$D$534, 4, 0), "")</f>
        <v/>
      </c>
      <c r="N27" s="174" t="str">
        <f>IFERROR(VLOOKUP($A27&amp;"-"&amp;N$21, 'S12 Operations'!$A$2:$D$534, 4, 0), "")</f>
        <v/>
      </c>
      <c r="O27" s="174" t="str">
        <f>IFERROR(VLOOKUP($A27&amp;"-"&amp;O$21, 'S12 Operations'!$A$2:$D$534, 4, 0), "")</f>
        <v/>
      </c>
      <c r="P27" s="174" t="str">
        <f>IFERROR(VLOOKUP($A27&amp;"-"&amp;P$21, 'S12 Operations'!$A$2:$D$534, 4, 0), "")</f>
        <v/>
      </c>
      <c r="Q27" s="174">
        <f>IFERROR(VLOOKUP($A27&amp;"-"&amp;Q$21, 'S12 Operations'!$A$2:$D$534, 4, 0), "")</f>
        <v>40</v>
      </c>
      <c r="R27" s="174" t="str">
        <f>IFERROR(VLOOKUP($A27&amp;"-"&amp;R$21, 'S12 Operations'!$A$2:$D$534, 4, 0), "")</f>
        <v/>
      </c>
      <c r="S27" s="174" t="str">
        <f>IFERROR(VLOOKUP($A27&amp;"-"&amp;S$21, 'S12 Operations'!$A$2:$D$534, 4, 0), "")</f>
        <v/>
      </c>
      <c r="T27" s="174" t="str">
        <f>IFERROR(VLOOKUP($A27&amp;"-"&amp;T$21, 'S12 Operations'!$A$2:$D$534, 4, 0), "")</f>
        <v/>
      </c>
      <c r="U27" s="174" t="str">
        <f>IFERROR(VLOOKUP($A27&amp;"-"&amp;U$21, 'S12 Operations'!$A$2:$D$534, 4, 0), "")</f>
        <v/>
      </c>
      <c r="V27" s="174" t="str">
        <f>IFERROR(VLOOKUP($A27&amp;"-"&amp;V$21, 'S12 Operations'!$A$2:$D$534, 4, 0), "")</f>
        <v/>
      </c>
      <c r="W27" s="174" t="str">
        <f>IFERROR(VLOOKUP($A27&amp;"-"&amp;W$21, 'S12 Operations'!$A$2:$D$534, 4, 0), "")</f>
        <v/>
      </c>
      <c r="X27" s="174" t="str">
        <f>IFERROR(VLOOKUP($A27&amp;"-"&amp;X$21, 'S12 Operations'!$A$2:$D$534, 4, 0), "")</f>
        <v/>
      </c>
      <c r="Y27" s="174">
        <f>IFERROR(VLOOKUP($A27&amp;"-"&amp;Y$21, 'S12 Operations'!$A$2:$D$534, 4, 0), "")</f>
        <v>50</v>
      </c>
      <c r="Z27" s="174" t="str">
        <f>IFERROR(VLOOKUP($A27&amp;"-"&amp;Z$21, 'S12 Operations'!$A$2:$D$534, 4, 0), "")</f>
        <v/>
      </c>
      <c r="AA27" s="174">
        <f>IFERROR(VLOOKUP($A27&amp;"-"&amp;AA$21, 'S12 Operations'!$A$2:$D$534, 4, 0), "")</f>
        <v>60</v>
      </c>
    </row>
    <row r="28" spans="1:27" ht="17" x14ac:dyDescent="0.2">
      <c r="A28" s="173" t="str">
        <f>'S08 ABC Output'!A9</f>
        <v>I-053</v>
      </c>
      <c r="B28" s="174">
        <f>IFERROR(VLOOKUP($A28&amp;"-"&amp;B$21, 'S12 Operations'!$A$2:$D$534, 4, 0), "")</f>
        <v>10</v>
      </c>
      <c r="C28" s="174" t="str">
        <f>IFERROR(VLOOKUP($A28&amp;"-"&amp;C$21, 'S12 Operations'!$A$2:$D$534, 4, 0), "")</f>
        <v/>
      </c>
      <c r="D28" s="174" t="str">
        <f>IFERROR(VLOOKUP($A28&amp;"-"&amp;D$21, 'S12 Operations'!$A$2:$D$534, 4, 0), "")</f>
        <v/>
      </c>
      <c r="E28" s="174">
        <f>IFERROR(VLOOKUP($A28&amp;"-"&amp;E$21, 'S12 Operations'!$A$2:$D$534, 4, 0), "")</f>
        <v>20</v>
      </c>
      <c r="F28" s="174" t="str">
        <f>IFERROR(VLOOKUP($A28&amp;"-"&amp;F$21, 'S12 Operations'!$A$2:$D$534, 4, 0), "")</f>
        <v/>
      </c>
      <c r="G28" s="174">
        <f>IFERROR(VLOOKUP($A28&amp;"-"&amp;G$21, 'S12 Operations'!$A$2:$D$534, 4, 0), "")</f>
        <v>30</v>
      </c>
      <c r="H28" s="174" t="str">
        <f>IFERROR(VLOOKUP($A28&amp;"-"&amp;H$21, 'S12 Operations'!$A$2:$D$534, 4, 0), "")</f>
        <v/>
      </c>
      <c r="I28" s="174">
        <f>IFERROR(VLOOKUP($A28&amp;"-"&amp;I$21, 'S12 Operations'!$A$2:$D$534, 4, 0), "")</f>
        <v>40</v>
      </c>
      <c r="J28" s="174" t="str">
        <f>IFERROR(VLOOKUP($A28&amp;"-"&amp;J$21, 'S12 Operations'!$A$2:$D$534, 4, 0), "")</f>
        <v/>
      </c>
      <c r="K28" s="174" t="str">
        <f>IFERROR(VLOOKUP($A28&amp;"-"&amp;K$21, 'S12 Operations'!$A$2:$D$534, 4, 0), "")</f>
        <v/>
      </c>
      <c r="L28" s="174" t="str">
        <f>IFERROR(VLOOKUP($A28&amp;"-"&amp;L$21, 'S12 Operations'!$A$2:$D$534, 4, 0), "")</f>
        <v/>
      </c>
      <c r="M28" s="174" t="str">
        <f>IFERROR(VLOOKUP($A28&amp;"-"&amp;M$21, 'S12 Operations'!$A$2:$D$534, 4, 0), "")</f>
        <v/>
      </c>
      <c r="N28" s="174" t="str">
        <f>IFERROR(VLOOKUP($A28&amp;"-"&amp;N$21, 'S12 Operations'!$A$2:$D$534, 4, 0), "")</f>
        <v/>
      </c>
      <c r="O28" s="174">
        <f>IFERROR(VLOOKUP($A28&amp;"-"&amp;O$21, 'S12 Operations'!$A$2:$D$534, 4, 0), "")</f>
        <v>50</v>
      </c>
      <c r="P28" s="174" t="str">
        <f>IFERROR(VLOOKUP($A28&amp;"-"&amp;P$21, 'S12 Operations'!$A$2:$D$534, 4, 0), "")</f>
        <v/>
      </c>
      <c r="Q28" s="174" t="str">
        <f>IFERROR(VLOOKUP($A28&amp;"-"&amp;Q$21, 'S12 Operations'!$A$2:$D$534, 4, 0), "")</f>
        <v/>
      </c>
      <c r="R28" s="174" t="str">
        <f>IFERROR(VLOOKUP($A28&amp;"-"&amp;R$21, 'S12 Operations'!$A$2:$D$534, 4, 0), "")</f>
        <v/>
      </c>
      <c r="S28" s="174" t="str">
        <f>IFERROR(VLOOKUP($A28&amp;"-"&amp;S$21, 'S12 Operations'!$A$2:$D$534, 4, 0), "")</f>
        <v/>
      </c>
      <c r="T28" s="174">
        <f>IFERROR(VLOOKUP($A28&amp;"-"&amp;T$21, 'S12 Operations'!$A$2:$D$534, 4, 0), "")</f>
        <v>60</v>
      </c>
      <c r="U28" s="174" t="str">
        <f>IFERROR(VLOOKUP($A28&amp;"-"&amp;U$21, 'S12 Operations'!$A$2:$D$534, 4, 0), "")</f>
        <v/>
      </c>
      <c r="V28" s="174" t="str">
        <f>IFERROR(VLOOKUP($A28&amp;"-"&amp;V$21, 'S12 Operations'!$A$2:$D$534, 4, 0), "")</f>
        <v/>
      </c>
      <c r="W28" s="174">
        <f>IFERROR(VLOOKUP($A28&amp;"-"&amp;W$21, 'S12 Operations'!$A$2:$D$534, 4, 0), "")</f>
        <v>70</v>
      </c>
      <c r="X28" s="174" t="str">
        <f>IFERROR(VLOOKUP($A28&amp;"-"&amp;X$21, 'S12 Operations'!$A$2:$D$534, 4, 0), "")</f>
        <v/>
      </c>
      <c r="Y28" s="174" t="str">
        <f>IFERROR(VLOOKUP($A28&amp;"-"&amp;Y$21, 'S12 Operations'!$A$2:$D$534, 4, 0), "")</f>
        <v/>
      </c>
      <c r="Z28" s="174" t="str">
        <f>IFERROR(VLOOKUP($A28&amp;"-"&amp;Z$21, 'S12 Operations'!$A$2:$D$534, 4, 0), "")</f>
        <v/>
      </c>
      <c r="AA28" s="174">
        <f>IFERROR(VLOOKUP($A28&amp;"-"&amp;AA$21, 'S12 Operations'!$A$2:$D$534, 4, 0), "")</f>
        <v>80</v>
      </c>
    </row>
    <row r="29" spans="1:27" ht="17" x14ac:dyDescent="0.2">
      <c r="A29" s="173" t="str">
        <f>'S08 ABC Output'!A10</f>
        <v>I-012</v>
      </c>
      <c r="B29" s="174">
        <f>IFERROR(VLOOKUP($A29&amp;"-"&amp;B$21, 'S12 Operations'!$A$2:$D$534, 4, 0), "")</f>
        <v>10</v>
      </c>
      <c r="C29" s="174" t="str">
        <f>IFERROR(VLOOKUP($A29&amp;"-"&amp;C$21, 'S12 Operations'!$A$2:$D$534, 4, 0), "")</f>
        <v/>
      </c>
      <c r="D29" s="174" t="str">
        <f>IFERROR(VLOOKUP($A29&amp;"-"&amp;D$21, 'S12 Operations'!$A$2:$D$534, 4, 0), "")</f>
        <v/>
      </c>
      <c r="E29" s="174">
        <f>IFERROR(VLOOKUP($A29&amp;"-"&amp;E$21, 'S12 Operations'!$A$2:$D$534, 4, 0), "")</f>
        <v>20</v>
      </c>
      <c r="F29" s="174" t="str">
        <f>IFERROR(VLOOKUP($A29&amp;"-"&amp;F$21, 'S12 Operations'!$A$2:$D$534, 4, 0), "")</f>
        <v/>
      </c>
      <c r="G29" s="174" t="str">
        <f>IFERROR(VLOOKUP($A29&amp;"-"&amp;G$21, 'S12 Operations'!$A$2:$D$534, 4, 0), "")</f>
        <v/>
      </c>
      <c r="H29" s="174">
        <f>IFERROR(VLOOKUP($A29&amp;"-"&amp;H$21, 'S12 Operations'!$A$2:$D$534, 4, 0), "")</f>
        <v>30</v>
      </c>
      <c r="I29" s="174" t="str">
        <f>IFERROR(VLOOKUP($A29&amp;"-"&amp;I$21, 'S12 Operations'!$A$2:$D$534, 4, 0), "")</f>
        <v/>
      </c>
      <c r="J29" s="174" t="str">
        <f>IFERROR(VLOOKUP($A29&amp;"-"&amp;J$21, 'S12 Operations'!$A$2:$D$534, 4, 0), "")</f>
        <v/>
      </c>
      <c r="K29" s="174">
        <f>IFERROR(VLOOKUP($A29&amp;"-"&amp;K$21, 'S12 Operations'!$A$2:$D$534, 4, 0), "")</f>
        <v>40</v>
      </c>
      <c r="L29" s="174" t="str">
        <f>IFERROR(VLOOKUP($A29&amp;"-"&amp;L$21, 'S12 Operations'!$A$2:$D$534, 4, 0), "")</f>
        <v/>
      </c>
      <c r="M29" s="174">
        <f>IFERROR(VLOOKUP($A29&amp;"-"&amp;M$21, 'S12 Operations'!$A$2:$D$534, 4, 0), "")</f>
        <v>50</v>
      </c>
      <c r="N29" s="174" t="str">
        <f>IFERROR(VLOOKUP($A29&amp;"-"&amp;N$21, 'S12 Operations'!$A$2:$D$534, 4, 0), "")</f>
        <v/>
      </c>
      <c r="O29" s="174" t="str">
        <f>IFERROR(VLOOKUP($A29&amp;"-"&amp;O$21, 'S12 Operations'!$A$2:$D$534, 4, 0), "")</f>
        <v/>
      </c>
      <c r="P29" s="174" t="str">
        <f>IFERROR(VLOOKUP($A29&amp;"-"&amp;P$21, 'S12 Operations'!$A$2:$D$534, 4, 0), "")</f>
        <v/>
      </c>
      <c r="Q29" s="174" t="str">
        <f>IFERROR(VLOOKUP($A29&amp;"-"&amp;Q$21, 'S12 Operations'!$A$2:$D$534, 4, 0), "")</f>
        <v/>
      </c>
      <c r="R29" s="174">
        <f>IFERROR(VLOOKUP($A29&amp;"-"&amp;R$21, 'S12 Operations'!$A$2:$D$534, 4, 0), "")</f>
        <v>60</v>
      </c>
      <c r="S29" s="174" t="str">
        <f>IFERROR(VLOOKUP($A29&amp;"-"&amp;S$21, 'S12 Operations'!$A$2:$D$534, 4, 0), "")</f>
        <v/>
      </c>
      <c r="T29" s="174" t="str">
        <f>IFERROR(VLOOKUP($A29&amp;"-"&amp;T$21, 'S12 Operations'!$A$2:$D$534, 4, 0), "")</f>
        <v/>
      </c>
      <c r="U29" s="174" t="str">
        <f>IFERROR(VLOOKUP($A29&amp;"-"&amp;U$21, 'S12 Operations'!$A$2:$D$534, 4, 0), "")</f>
        <v/>
      </c>
      <c r="V29" s="174" t="str">
        <f>IFERROR(VLOOKUP($A29&amp;"-"&amp;V$21, 'S12 Operations'!$A$2:$D$534, 4, 0), "")</f>
        <v/>
      </c>
      <c r="W29" s="174">
        <f>IFERROR(VLOOKUP($A29&amp;"-"&amp;W$21, 'S12 Operations'!$A$2:$D$534, 4, 0), "")</f>
        <v>70</v>
      </c>
      <c r="X29" s="174" t="str">
        <f>IFERROR(VLOOKUP($A29&amp;"-"&amp;X$21, 'S12 Operations'!$A$2:$D$534, 4, 0), "")</f>
        <v/>
      </c>
      <c r="Y29" s="174" t="str">
        <f>IFERROR(VLOOKUP($A29&amp;"-"&amp;Y$21, 'S12 Operations'!$A$2:$D$534, 4, 0), "")</f>
        <v/>
      </c>
      <c r="Z29" s="174" t="str">
        <f>IFERROR(VLOOKUP($A29&amp;"-"&amp;Z$21, 'S12 Operations'!$A$2:$D$534, 4, 0), "")</f>
        <v/>
      </c>
      <c r="AA29" s="174">
        <f>IFERROR(VLOOKUP($A29&amp;"-"&amp;AA$21, 'S12 Operations'!$A$2:$D$534, 4, 0), "")</f>
        <v>80</v>
      </c>
    </row>
    <row r="30" spans="1:27" ht="17" x14ac:dyDescent="0.2">
      <c r="A30" s="173" t="str">
        <f>'S08 ABC Output'!A11</f>
        <v>I-066</v>
      </c>
      <c r="B30" s="174">
        <f>IFERROR(VLOOKUP($A30&amp;"-"&amp;B$21, 'S12 Operations'!$A$2:$D$534, 4, 0), "")</f>
        <v>10</v>
      </c>
      <c r="C30" s="174">
        <f>IFERROR(VLOOKUP($A30&amp;"-"&amp;C$21, 'S12 Operations'!$A$2:$D$534, 4, 0), "")</f>
        <v>20</v>
      </c>
      <c r="D30" s="174" t="str">
        <f>IFERROR(VLOOKUP($A30&amp;"-"&amp;D$21, 'S12 Operations'!$A$2:$D$534, 4, 0), "")</f>
        <v/>
      </c>
      <c r="E30" s="174" t="str">
        <f>IFERROR(VLOOKUP($A30&amp;"-"&amp;E$21, 'S12 Operations'!$A$2:$D$534, 4, 0), "")</f>
        <v/>
      </c>
      <c r="F30" s="174" t="str">
        <f>IFERROR(VLOOKUP($A30&amp;"-"&amp;F$21, 'S12 Operations'!$A$2:$D$534, 4, 0), "")</f>
        <v/>
      </c>
      <c r="G30" s="174" t="str">
        <f>IFERROR(VLOOKUP($A30&amp;"-"&amp;G$21, 'S12 Operations'!$A$2:$D$534, 4, 0), "")</f>
        <v/>
      </c>
      <c r="H30" s="174" t="str">
        <f>IFERROR(VLOOKUP($A30&amp;"-"&amp;H$21, 'S12 Operations'!$A$2:$D$534, 4, 0), "")</f>
        <v/>
      </c>
      <c r="I30" s="174" t="str">
        <f>IFERROR(VLOOKUP($A30&amp;"-"&amp;I$21, 'S12 Operations'!$A$2:$D$534, 4, 0), "")</f>
        <v/>
      </c>
      <c r="J30" s="174">
        <f>IFERROR(VLOOKUP($A30&amp;"-"&amp;J$21, 'S12 Operations'!$A$2:$D$534, 4, 0), "")</f>
        <v>30</v>
      </c>
      <c r="K30" s="174" t="str">
        <f>IFERROR(VLOOKUP($A30&amp;"-"&amp;K$21, 'S12 Operations'!$A$2:$D$534, 4, 0), "")</f>
        <v/>
      </c>
      <c r="L30" s="174" t="str">
        <f>IFERROR(VLOOKUP($A30&amp;"-"&amp;L$21, 'S12 Operations'!$A$2:$D$534, 4, 0), "")</f>
        <v/>
      </c>
      <c r="M30" s="174" t="str">
        <f>IFERROR(VLOOKUP($A30&amp;"-"&amp;M$21, 'S12 Operations'!$A$2:$D$534, 4, 0), "")</f>
        <v/>
      </c>
      <c r="N30" s="174" t="str">
        <f>IFERROR(VLOOKUP($A30&amp;"-"&amp;N$21, 'S12 Operations'!$A$2:$D$534, 4, 0), "")</f>
        <v/>
      </c>
      <c r="O30" s="174" t="str">
        <f>IFERROR(VLOOKUP($A30&amp;"-"&amp;O$21, 'S12 Operations'!$A$2:$D$534, 4, 0), "")</f>
        <v/>
      </c>
      <c r="P30" s="174" t="str">
        <f>IFERROR(VLOOKUP($A30&amp;"-"&amp;P$21, 'S12 Operations'!$A$2:$D$534, 4, 0), "")</f>
        <v/>
      </c>
      <c r="Q30" s="174">
        <f>IFERROR(VLOOKUP($A30&amp;"-"&amp;Q$21, 'S12 Operations'!$A$2:$D$534, 4, 0), "")</f>
        <v>40</v>
      </c>
      <c r="R30" s="174" t="str">
        <f>IFERROR(VLOOKUP($A30&amp;"-"&amp;R$21, 'S12 Operations'!$A$2:$D$534, 4, 0), "")</f>
        <v/>
      </c>
      <c r="S30" s="174" t="str">
        <f>IFERROR(VLOOKUP($A30&amp;"-"&amp;S$21, 'S12 Operations'!$A$2:$D$534, 4, 0), "")</f>
        <v/>
      </c>
      <c r="T30" s="174" t="str">
        <f>IFERROR(VLOOKUP($A30&amp;"-"&amp;T$21, 'S12 Operations'!$A$2:$D$534, 4, 0), "")</f>
        <v/>
      </c>
      <c r="U30" s="174" t="str">
        <f>IFERROR(VLOOKUP($A30&amp;"-"&amp;U$21, 'S12 Operations'!$A$2:$D$534, 4, 0), "")</f>
        <v/>
      </c>
      <c r="V30" s="174" t="str">
        <f>IFERROR(VLOOKUP($A30&amp;"-"&amp;V$21, 'S12 Operations'!$A$2:$D$534, 4, 0), "")</f>
        <v/>
      </c>
      <c r="W30" s="174" t="str">
        <f>IFERROR(VLOOKUP($A30&amp;"-"&amp;W$21, 'S12 Operations'!$A$2:$D$534, 4, 0), "")</f>
        <v/>
      </c>
      <c r="X30" s="174" t="str">
        <f>IFERROR(VLOOKUP($A30&amp;"-"&amp;X$21, 'S12 Operations'!$A$2:$D$534, 4, 0), "")</f>
        <v/>
      </c>
      <c r="Y30" s="174">
        <f>IFERROR(VLOOKUP($A30&amp;"-"&amp;Y$21, 'S12 Operations'!$A$2:$D$534, 4, 0), "")</f>
        <v>50</v>
      </c>
      <c r="Z30" s="174" t="str">
        <f>IFERROR(VLOOKUP($A30&amp;"-"&amp;Z$21, 'S12 Operations'!$A$2:$D$534, 4, 0), "")</f>
        <v/>
      </c>
      <c r="AA30" s="174">
        <f>IFERROR(VLOOKUP($A30&amp;"-"&amp;AA$21, 'S12 Operations'!$A$2:$D$534, 4, 0), "")</f>
        <v>60</v>
      </c>
    </row>
    <row r="31" spans="1:27" ht="17" x14ac:dyDescent="0.2">
      <c r="A31" s="173" t="str">
        <f>'S08 ABC Output'!A12</f>
        <v>I-069</v>
      </c>
      <c r="B31" s="174">
        <f>IFERROR(VLOOKUP($A31&amp;"-"&amp;B$21, 'S12 Operations'!$A$2:$D$534, 4, 0), "")</f>
        <v>10</v>
      </c>
      <c r="C31" s="174">
        <f>IFERROR(VLOOKUP($A31&amp;"-"&amp;C$21, 'S12 Operations'!$A$2:$D$534, 4, 0), "")</f>
        <v>20</v>
      </c>
      <c r="D31" s="174" t="str">
        <f>IFERROR(VLOOKUP($A31&amp;"-"&amp;D$21, 'S12 Operations'!$A$2:$D$534, 4, 0), "")</f>
        <v/>
      </c>
      <c r="E31" s="174" t="str">
        <f>IFERROR(VLOOKUP($A31&amp;"-"&amp;E$21, 'S12 Operations'!$A$2:$D$534, 4, 0), "")</f>
        <v/>
      </c>
      <c r="F31" s="174" t="str">
        <f>IFERROR(VLOOKUP($A31&amp;"-"&amp;F$21, 'S12 Operations'!$A$2:$D$534, 4, 0), "")</f>
        <v/>
      </c>
      <c r="G31" s="174" t="str">
        <f>IFERROR(VLOOKUP($A31&amp;"-"&amp;G$21, 'S12 Operations'!$A$2:$D$534, 4, 0), "")</f>
        <v/>
      </c>
      <c r="H31" s="174" t="str">
        <f>IFERROR(VLOOKUP($A31&amp;"-"&amp;H$21, 'S12 Operations'!$A$2:$D$534, 4, 0), "")</f>
        <v/>
      </c>
      <c r="I31" s="174" t="str">
        <f>IFERROR(VLOOKUP($A31&amp;"-"&amp;I$21, 'S12 Operations'!$A$2:$D$534, 4, 0), "")</f>
        <v/>
      </c>
      <c r="J31" s="174">
        <f>IFERROR(VLOOKUP($A31&amp;"-"&amp;J$21, 'S12 Operations'!$A$2:$D$534, 4, 0), "")</f>
        <v>30</v>
      </c>
      <c r="K31" s="174" t="str">
        <f>IFERROR(VLOOKUP($A31&amp;"-"&amp;K$21, 'S12 Operations'!$A$2:$D$534, 4, 0), "")</f>
        <v/>
      </c>
      <c r="L31" s="174" t="str">
        <f>IFERROR(VLOOKUP($A31&amp;"-"&amp;L$21, 'S12 Operations'!$A$2:$D$534, 4, 0), "")</f>
        <v/>
      </c>
      <c r="M31" s="174" t="str">
        <f>IFERROR(VLOOKUP($A31&amp;"-"&amp;M$21, 'S12 Operations'!$A$2:$D$534, 4, 0), "")</f>
        <v/>
      </c>
      <c r="N31" s="174" t="str">
        <f>IFERROR(VLOOKUP($A31&amp;"-"&amp;N$21, 'S12 Operations'!$A$2:$D$534, 4, 0), "")</f>
        <v/>
      </c>
      <c r="O31" s="174" t="str">
        <f>IFERROR(VLOOKUP($A31&amp;"-"&amp;O$21, 'S12 Operations'!$A$2:$D$534, 4, 0), "")</f>
        <v/>
      </c>
      <c r="P31" s="174" t="str">
        <f>IFERROR(VLOOKUP($A31&amp;"-"&amp;P$21, 'S12 Operations'!$A$2:$D$534, 4, 0), "")</f>
        <v/>
      </c>
      <c r="Q31" s="174">
        <f>IFERROR(VLOOKUP($A31&amp;"-"&amp;Q$21, 'S12 Operations'!$A$2:$D$534, 4, 0), "")</f>
        <v>40</v>
      </c>
      <c r="R31" s="174" t="str">
        <f>IFERROR(VLOOKUP($A31&amp;"-"&amp;R$21, 'S12 Operations'!$A$2:$D$534, 4, 0), "")</f>
        <v/>
      </c>
      <c r="S31" s="174" t="str">
        <f>IFERROR(VLOOKUP($A31&amp;"-"&amp;S$21, 'S12 Operations'!$A$2:$D$534, 4, 0), "")</f>
        <v/>
      </c>
      <c r="T31" s="174" t="str">
        <f>IFERROR(VLOOKUP($A31&amp;"-"&amp;T$21, 'S12 Operations'!$A$2:$D$534, 4, 0), "")</f>
        <v/>
      </c>
      <c r="U31" s="174" t="str">
        <f>IFERROR(VLOOKUP($A31&amp;"-"&amp;U$21, 'S12 Operations'!$A$2:$D$534, 4, 0), "")</f>
        <v/>
      </c>
      <c r="V31" s="174" t="str">
        <f>IFERROR(VLOOKUP($A31&amp;"-"&amp;V$21, 'S12 Operations'!$A$2:$D$534, 4, 0), "")</f>
        <v/>
      </c>
      <c r="W31" s="174" t="str">
        <f>IFERROR(VLOOKUP($A31&amp;"-"&amp;W$21, 'S12 Operations'!$A$2:$D$534, 4, 0), "")</f>
        <v/>
      </c>
      <c r="X31" s="174" t="str">
        <f>IFERROR(VLOOKUP($A31&amp;"-"&amp;X$21, 'S12 Operations'!$A$2:$D$534, 4, 0), "")</f>
        <v/>
      </c>
      <c r="Y31" s="174">
        <f>IFERROR(VLOOKUP($A31&amp;"-"&amp;Y$21, 'S12 Operations'!$A$2:$D$534, 4, 0), "")</f>
        <v>50</v>
      </c>
      <c r="Z31" s="174" t="str">
        <f>IFERROR(VLOOKUP($A31&amp;"-"&amp;Z$21, 'S12 Operations'!$A$2:$D$534, 4, 0), "")</f>
        <v/>
      </c>
      <c r="AA31" s="174">
        <f>IFERROR(VLOOKUP($A31&amp;"-"&amp;AA$21, 'S12 Operations'!$A$2:$D$534, 4, 0), "")</f>
        <v>60</v>
      </c>
    </row>
    <row r="32" spans="1:27" ht="17" x14ac:dyDescent="0.2">
      <c r="A32" s="173" t="str">
        <f>'S08 ABC Output'!A13</f>
        <v>I-070</v>
      </c>
      <c r="B32" s="174">
        <f>IFERROR(VLOOKUP($A32&amp;"-"&amp;B$21, 'S12 Operations'!$A$2:$D$534, 4, 0), "")</f>
        <v>10</v>
      </c>
      <c r="C32" s="174">
        <f>IFERROR(VLOOKUP($A32&amp;"-"&amp;C$21, 'S12 Operations'!$A$2:$D$534, 4, 0), "")</f>
        <v>20</v>
      </c>
      <c r="D32" s="174" t="str">
        <f>IFERROR(VLOOKUP($A32&amp;"-"&amp;D$21, 'S12 Operations'!$A$2:$D$534, 4, 0), "")</f>
        <v/>
      </c>
      <c r="E32" s="174" t="str">
        <f>IFERROR(VLOOKUP($A32&amp;"-"&amp;E$21, 'S12 Operations'!$A$2:$D$534, 4, 0), "")</f>
        <v/>
      </c>
      <c r="F32" s="174" t="str">
        <f>IFERROR(VLOOKUP($A32&amp;"-"&amp;F$21, 'S12 Operations'!$A$2:$D$534, 4, 0), "")</f>
        <v/>
      </c>
      <c r="G32" s="174" t="str">
        <f>IFERROR(VLOOKUP($A32&amp;"-"&amp;G$21, 'S12 Operations'!$A$2:$D$534, 4, 0), "")</f>
        <v/>
      </c>
      <c r="H32" s="174" t="str">
        <f>IFERROR(VLOOKUP($A32&amp;"-"&amp;H$21, 'S12 Operations'!$A$2:$D$534, 4, 0), "")</f>
        <v/>
      </c>
      <c r="I32" s="174" t="str">
        <f>IFERROR(VLOOKUP($A32&amp;"-"&amp;I$21, 'S12 Operations'!$A$2:$D$534, 4, 0), "")</f>
        <v/>
      </c>
      <c r="J32" s="174">
        <f>IFERROR(VLOOKUP($A32&amp;"-"&amp;J$21, 'S12 Operations'!$A$2:$D$534, 4, 0), "")</f>
        <v>30</v>
      </c>
      <c r="K32" s="174" t="str">
        <f>IFERROR(VLOOKUP($A32&amp;"-"&amp;K$21, 'S12 Operations'!$A$2:$D$534, 4, 0), "")</f>
        <v/>
      </c>
      <c r="L32" s="174" t="str">
        <f>IFERROR(VLOOKUP($A32&amp;"-"&amp;L$21, 'S12 Operations'!$A$2:$D$534, 4, 0), "")</f>
        <v/>
      </c>
      <c r="M32" s="174" t="str">
        <f>IFERROR(VLOOKUP($A32&amp;"-"&amp;M$21, 'S12 Operations'!$A$2:$D$534, 4, 0), "")</f>
        <v/>
      </c>
      <c r="N32" s="174" t="str">
        <f>IFERROR(VLOOKUP($A32&amp;"-"&amp;N$21, 'S12 Operations'!$A$2:$D$534, 4, 0), "")</f>
        <v/>
      </c>
      <c r="O32" s="174" t="str">
        <f>IFERROR(VLOOKUP($A32&amp;"-"&amp;O$21, 'S12 Operations'!$A$2:$D$534, 4, 0), "")</f>
        <v/>
      </c>
      <c r="P32" s="174" t="str">
        <f>IFERROR(VLOOKUP($A32&amp;"-"&amp;P$21, 'S12 Operations'!$A$2:$D$534, 4, 0), "")</f>
        <v/>
      </c>
      <c r="Q32" s="174">
        <f>IFERROR(VLOOKUP($A32&amp;"-"&amp;Q$21, 'S12 Operations'!$A$2:$D$534, 4, 0), "")</f>
        <v>40</v>
      </c>
      <c r="R32" s="174" t="str">
        <f>IFERROR(VLOOKUP($A32&amp;"-"&amp;R$21, 'S12 Operations'!$A$2:$D$534, 4, 0), "")</f>
        <v/>
      </c>
      <c r="S32" s="174" t="str">
        <f>IFERROR(VLOOKUP($A32&amp;"-"&amp;S$21, 'S12 Operations'!$A$2:$D$534, 4, 0), "")</f>
        <v/>
      </c>
      <c r="T32" s="174" t="str">
        <f>IFERROR(VLOOKUP($A32&amp;"-"&amp;T$21, 'S12 Operations'!$A$2:$D$534, 4, 0), "")</f>
        <v/>
      </c>
      <c r="U32" s="174" t="str">
        <f>IFERROR(VLOOKUP($A32&amp;"-"&amp;U$21, 'S12 Operations'!$A$2:$D$534, 4, 0), "")</f>
        <v/>
      </c>
      <c r="V32" s="174" t="str">
        <f>IFERROR(VLOOKUP($A32&amp;"-"&amp;V$21, 'S12 Operations'!$A$2:$D$534, 4, 0), "")</f>
        <v/>
      </c>
      <c r="W32" s="174" t="str">
        <f>IFERROR(VLOOKUP($A32&amp;"-"&amp;W$21, 'S12 Operations'!$A$2:$D$534, 4, 0), "")</f>
        <v/>
      </c>
      <c r="X32" s="174" t="str">
        <f>IFERROR(VLOOKUP($A32&amp;"-"&amp;X$21, 'S12 Operations'!$A$2:$D$534, 4, 0), "")</f>
        <v/>
      </c>
      <c r="Y32" s="174">
        <f>IFERROR(VLOOKUP($A32&amp;"-"&amp;Y$21, 'S12 Operations'!$A$2:$D$534, 4, 0), "")</f>
        <v>50</v>
      </c>
      <c r="Z32" s="174" t="str">
        <f>IFERROR(VLOOKUP($A32&amp;"-"&amp;Z$21, 'S12 Operations'!$A$2:$D$534, 4, 0), "")</f>
        <v/>
      </c>
      <c r="AA32" s="174">
        <f>IFERROR(VLOOKUP($A32&amp;"-"&amp;AA$21, 'S12 Operations'!$A$2:$D$534, 4, 0), "")</f>
        <v>60</v>
      </c>
    </row>
    <row r="33" spans="1:27" ht="17" x14ac:dyDescent="0.2">
      <c r="A33" s="173" t="str">
        <f>'S08 ABC Output'!A14</f>
        <v>I-006</v>
      </c>
      <c r="B33" s="174">
        <f>IFERROR(VLOOKUP($A33&amp;"-"&amp;B$21, 'S12 Operations'!$A$2:$D$534, 4, 0), "")</f>
        <v>10</v>
      </c>
      <c r="C33" s="174" t="str">
        <f>IFERROR(VLOOKUP($A33&amp;"-"&amp;C$21, 'S12 Operations'!$A$2:$D$534, 4, 0), "")</f>
        <v/>
      </c>
      <c r="D33" s="174" t="str">
        <f>IFERROR(VLOOKUP($A33&amp;"-"&amp;D$21, 'S12 Operations'!$A$2:$D$534, 4, 0), "")</f>
        <v/>
      </c>
      <c r="E33" s="174">
        <f>IFERROR(VLOOKUP($A33&amp;"-"&amp;E$21, 'S12 Operations'!$A$2:$D$534, 4, 0), "")</f>
        <v>20</v>
      </c>
      <c r="F33" s="174">
        <f>IFERROR(VLOOKUP($A33&amp;"-"&amp;F$21, 'S12 Operations'!$A$2:$D$534, 4, 0), "")</f>
        <v>30</v>
      </c>
      <c r="G33" s="174" t="str">
        <f>IFERROR(VLOOKUP($A33&amp;"-"&amp;G$21, 'S12 Operations'!$A$2:$D$534, 4, 0), "")</f>
        <v/>
      </c>
      <c r="H33" s="174" t="str">
        <f>IFERROR(VLOOKUP($A33&amp;"-"&amp;H$21, 'S12 Operations'!$A$2:$D$534, 4, 0), "")</f>
        <v/>
      </c>
      <c r="I33" s="174" t="str">
        <f>IFERROR(VLOOKUP($A33&amp;"-"&amp;I$21, 'S12 Operations'!$A$2:$D$534, 4, 0), "")</f>
        <v/>
      </c>
      <c r="J33" s="174" t="str">
        <f>IFERROR(VLOOKUP($A33&amp;"-"&amp;J$21, 'S12 Operations'!$A$2:$D$534, 4, 0), "")</f>
        <v/>
      </c>
      <c r="K33" s="174" t="str">
        <f>IFERROR(VLOOKUP($A33&amp;"-"&amp;K$21, 'S12 Operations'!$A$2:$D$534, 4, 0), "")</f>
        <v/>
      </c>
      <c r="L33" s="174">
        <f>IFERROR(VLOOKUP($A33&amp;"-"&amp;L$21, 'S12 Operations'!$A$2:$D$534, 4, 0), "")</f>
        <v>40</v>
      </c>
      <c r="M33" s="174" t="str">
        <f>IFERROR(VLOOKUP($A33&amp;"-"&amp;M$21, 'S12 Operations'!$A$2:$D$534, 4, 0), "")</f>
        <v/>
      </c>
      <c r="N33" s="174" t="str">
        <f>IFERROR(VLOOKUP($A33&amp;"-"&amp;N$21, 'S12 Operations'!$A$2:$D$534, 4, 0), "")</f>
        <v/>
      </c>
      <c r="O33" s="174" t="str">
        <f>IFERROR(VLOOKUP($A33&amp;"-"&amp;O$21, 'S12 Operations'!$A$2:$D$534, 4, 0), "")</f>
        <v/>
      </c>
      <c r="P33" s="174">
        <f>IFERROR(VLOOKUP($A33&amp;"-"&amp;P$21, 'S12 Operations'!$A$2:$D$534, 4, 0), "")</f>
        <v>50</v>
      </c>
      <c r="Q33" s="174" t="str">
        <f>IFERROR(VLOOKUP($A33&amp;"-"&amp;Q$21, 'S12 Operations'!$A$2:$D$534, 4, 0), "")</f>
        <v/>
      </c>
      <c r="R33" s="174" t="str">
        <f>IFERROR(VLOOKUP($A33&amp;"-"&amp;R$21, 'S12 Operations'!$A$2:$D$534, 4, 0), "")</f>
        <v/>
      </c>
      <c r="S33" s="174" t="str">
        <f>IFERROR(VLOOKUP($A33&amp;"-"&amp;S$21, 'S12 Operations'!$A$2:$D$534, 4, 0), "")</f>
        <v/>
      </c>
      <c r="T33" s="174" t="str">
        <f>IFERROR(VLOOKUP($A33&amp;"-"&amp;T$21, 'S12 Operations'!$A$2:$D$534, 4, 0), "")</f>
        <v/>
      </c>
      <c r="U33" s="174" t="str">
        <f>IFERROR(VLOOKUP($A33&amp;"-"&amp;U$21, 'S12 Operations'!$A$2:$D$534, 4, 0), "")</f>
        <v/>
      </c>
      <c r="V33" s="174">
        <f>IFERROR(VLOOKUP($A33&amp;"-"&amp;V$21, 'S12 Operations'!$A$2:$D$534, 4, 0), "")</f>
        <v>60</v>
      </c>
      <c r="W33" s="174" t="str">
        <f>IFERROR(VLOOKUP($A33&amp;"-"&amp;W$21, 'S12 Operations'!$A$2:$D$534, 4, 0), "")</f>
        <v/>
      </c>
      <c r="X33" s="174">
        <f>IFERROR(VLOOKUP($A33&amp;"-"&amp;X$21, 'S12 Operations'!$A$2:$D$534, 4, 0), "")</f>
        <v>70</v>
      </c>
      <c r="Y33" s="174" t="str">
        <f>IFERROR(VLOOKUP($A33&amp;"-"&amp;Y$21, 'S12 Operations'!$A$2:$D$534, 4, 0), "")</f>
        <v/>
      </c>
      <c r="Z33" s="174" t="str">
        <f>IFERROR(VLOOKUP($A33&amp;"-"&amp;Z$21, 'S12 Operations'!$A$2:$D$534, 4, 0), "")</f>
        <v/>
      </c>
      <c r="AA33" s="174">
        <f>IFERROR(VLOOKUP($A33&amp;"-"&amp;AA$21, 'S12 Operations'!$A$2:$D$534, 4, 0), "")</f>
        <v>80</v>
      </c>
    </row>
    <row r="34" spans="1:27" ht="17" x14ac:dyDescent="0.2">
      <c r="A34" s="173" t="str">
        <f>'S08 ABC Output'!A15</f>
        <v>I-073</v>
      </c>
      <c r="B34" s="174">
        <f>IFERROR(VLOOKUP($A34&amp;"-"&amp;B$21, 'S12 Operations'!$A$2:$D$534, 4, 0), "")</f>
        <v>10</v>
      </c>
      <c r="C34" s="174" t="str">
        <f>IFERROR(VLOOKUP($A34&amp;"-"&amp;C$21, 'S12 Operations'!$A$2:$D$534, 4, 0), "")</f>
        <v/>
      </c>
      <c r="D34" s="174">
        <f>IFERROR(VLOOKUP($A34&amp;"-"&amp;D$21, 'S12 Operations'!$A$2:$D$534, 4, 0), "")</f>
        <v>20</v>
      </c>
      <c r="E34" s="174" t="str">
        <f>IFERROR(VLOOKUP($A34&amp;"-"&amp;E$21, 'S12 Operations'!$A$2:$D$534, 4, 0), "")</f>
        <v/>
      </c>
      <c r="F34" s="174" t="str">
        <f>IFERROR(VLOOKUP($A34&amp;"-"&amp;F$21, 'S12 Operations'!$A$2:$D$534, 4, 0), "")</f>
        <v/>
      </c>
      <c r="G34" s="174" t="str">
        <f>IFERROR(VLOOKUP($A34&amp;"-"&amp;G$21, 'S12 Operations'!$A$2:$D$534, 4, 0), "")</f>
        <v/>
      </c>
      <c r="H34" s="174">
        <f>IFERROR(VLOOKUP($A34&amp;"-"&amp;H$21, 'S12 Operations'!$A$2:$D$534, 4, 0), "")</f>
        <v>30</v>
      </c>
      <c r="I34" s="174" t="str">
        <f>IFERROR(VLOOKUP($A34&amp;"-"&amp;I$21, 'S12 Operations'!$A$2:$D$534, 4, 0), "")</f>
        <v/>
      </c>
      <c r="J34" s="174" t="str">
        <f>IFERROR(VLOOKUP($A34&amp;"-"&amp;J$21, 'S12 Operations'!$A$2:$D$534, 4, 0), "")</f>
        <v/>
      </c>
      <c r="K34" s="174" t="str">
        <f>IFERROR(VLOOKUP($A34&amp;"-"&amp;K$21, 'S12 Operations'!$A$2:$D$534, 4, 0), "")</f>
        <v/>
      </c>
      <c r="L34" s="174" t="str">
        <f>IFERROR(VLOOKUP($A34&amp;"-"&amp;L$21, 'S12 Operations'!$A$2:$D$534, 4, 0), "")</f>
        <v/>
      </c>
      <c r="M34" s="174" t="str">
        <f>IFERROR(VLOOKUP($A34&amp;"-"&amp;M$21, 'S12 Operations'!$A$2:$D$534, 4, 0), "")</f>
        <v/>
      </c>
      <c r="N34" s="174">
        <f>IFERROR(VLOOKUP($A34&amp;"-"&amp;N$21, 'S12 Operations'!$A$2:$D$534, 4, 0), "")</f>
        <v>40</v>
      </c>
      <c r="O34" s="174" t="str">
        <f>IFERROR(VLOOKUP($A34&amp;"-"&amp;O$21, 'S12 Operations'!$A$2:$D$534, 4, 0), "")</f>
        <v/>
      </c>
      <c r="P34" s="174" t="str">
        <f>IFERROR(VLOOKUP($A34&amp;"-"&amp;P$21, 'S12 Operations'!$A$2:$D$534, 4, 0), "")</f>
        <v/>
      </c>
      <c r="Q34" s="174" t="str">
        <f>IFERROR(VLOOKUP($A34&amp;"-"&amp;Q$21, 'S12 Operations'!$A$2:$D$534, 4, 0), "")</f>
        <v/>
      </c>
      <c r="R34" s="174" t="str">
        <f>IFERROR(VLOOKUP($A34&amp;"-"&amp;R$21, 'S12 Operations'!$A$2:$D$534, 4, 0), "")</f>
        <v/>
      </c>
      <c r="S34" s="174">
        <f>IFERROR(VLOOKUP($A34&amp;"-"&amp;S$21, 'S12 Operations'!$A$2:$D$534, 4, 0), "")</f>
        <v>50</v>
      </c>
      <c r="T34" s="174" t="str">
        <f>IFERROR(VLOOKUP($A34&amp;"-"&amp;T$21, 'S12 Operations'!$A$2:$D$534, 4, 0), "")</f>
        <v/>
      </c>
      <c r="U34" s="174">
        <f>IFERROR(VLOOKUP($A34&amp;"-"&amp;U$21, 'S12 Operations'!$A$2:$D$534, 4, 0), "")</f>
        <v>60</v>
      </c>
      <c r="V34" s="174" t="str">
        <f>IFERROR(VLOOKUP($A34&amp;"-"&amp;V$21, 'S12 Operations'!$A$2:$D$534, 4, 0), "")</f>
        <v/>
      </c>
      <c r="W34" s="174">
        <f>IFERROR(VLOOKUP($A34&amp;"-"&amp;W$21, 'S12 Operations'!$A$2:$D$534, 4, 0), "")</f>
        <v>70</v>
      </c>
      <c r="X34" s="174" t="str">
        <f>IFERROR(VLOOKUP($A34&amp;"-"&amp;X$21, 'S12 Operations'!$A$2:$D$534, 4, 0), "")</f>
        <v/>
      </c>
      <c r="Y34" s="174" t="str">
        <f>IFERROR(VLOOKUP($A34&amp;"-"&amp;Y$21, 'S12 Operations'!$A$2:$D$534, 4, 0), "")</f>
        <v/>
      </c>
      <c r="Z34" s="174" t="str">
        <f>IFERROR(VLOOKUP($A34&amp;"-"&amp;Z$21, 'S12 Operations'!$A$2:$D$534, 4, 0), "")</f>
        <v/>
      </c>
      <c r="AA34" s="174">
        <f>IFERROR(VLOOKUP($A34&amp;"-"&amp;AA$21, 'S12 Operations'!$A$2:$D$534, 4, 0), "")</f>
        <v>80</v>
      </c>
    </row>
    <row r="35" spans="1:27" ht="17" x14ac:dyDescent="0.2">
      <c r="A35" s="173" t="str">
        <f>'S08 ABC Output'!A16</f>
        <v>I-071</v>
      </c>
      <c r="B35" s="174">
        <f>IFERROR(VLOOKUP($A35&amp;"-"&amp;B$21, 'S12 Operations'!$A$2:$D$534, 4, 0), "")</f>
        <v>10</v>
      </c>
      <c r="C35" s="174">
        <f>IFERROR(VLOOKUP($A35&amp;"-"&amp;C$21, 'S12 Operations'!$A$2:$D$534, 4, 0), "")</f>
        <v>20</v>
      </c>
      <c r="D35" s="174" t="str">
        <f>IFERROR(VLOOKUP($A35&amp;"-"&amp;D$21, 'S12 Operations'!$A$2:$D$534, 4, 0), "")</f>
        <v/>
      </c>
      <c r="E35" s="174" t="str">
        <f>IFERROR(VLOOKUP($A35&amp;"-"&amp;E$21, 'S12 Operations'!$A$2:$D$534, 4, 0), "")</f>
        <v/>
      </c>
      <c r="F35" s="174" t="str">
        <f>IFERROR(VLOOKUP($A35&amp;"-"&amp;F$21, 'S12 Operations'!$A$2:$D$534, 4, 0), "")</f>
        <v/>
      </c>
      <c r="G35" s="174" t="str">
        <f>IFERROR(VLOOKUP($A35&amp;"-"&amp;G$21, 'S12 Operations'!$A$2:$D$534, 4, 0), "")</f>
        <v/>
      </c>
      <c r="H35" s="174" t="str">
        <f>IFERROR(VLOOKUP($A35&amp;"-"&amp;H$21, 'S12 Operations'!$A$2:$D$534, 4, 0), "")</f>
        <v/>
      </c>
      <c r="I35" s="174" t="str">
        <f>IFERROR(VLOOKUP($A35&amp;"-"&amp;I$21, 'S12 Operations'!$A$2:$D$534, 4, 0), "")</f>
        <v/>
      </c>
      <c r="J35" s="174">
        <f>IFERROR(VLOOKUP($A35&amp;"-"&amp;J$21, 'S12 Operations'!$A$2:$D$534, 4, 0), "")</f>
        <v>30</v>
      </c>
      <c r="K35" s="174" t="str">
        <f>IFERROR(VLOOKUP($A35&amp;"-"&amp;K$21, 'S12 Operations'!$A$2:$D$534, 4, 0), "")</f>
        <v/>
      </c>
      <c r="L35" s="174" t="str">
        <f>IFERROR(VLOOKUP($A35&amp;"-"&amp;L$21, 'S12 Operations'!$A$2:$D$534, 4, 0), "")</f>
        <v/>
      </c>
      <c r="M35" s="174" t="str">
        <f>IFERROR(VLOOKUP($A35&amp;"-"&amp;M$21, 'S12 Operations'!$A$2:$D$534, 4, 0), "")</f>
        <v/>
      </c>
      <c r="N35" s="174" t="str">
        <f>IFERROR(VLOOKUP($A35&amp;"-"&amp;N$21, 'S12 Operations'!$A$2:$D$534, 4, 0), "")</f>
        <v/>
      </c>
      <c r="O35" s="174" t="str">
        <f>IFERROR(VLOOKUP($A35&amp;"-"&amp;O$21, 'S12 Operations'!$A$2:$D$534, 4, 0), "")</f>
        <v/>
      </c>
      <c r="P35" s="174" t="str">
        <f>IFERROR(VLOOKUP($A35&amp;"-"&amp;P$21, 'S12 Operations'!$A$2:$D$534, 4, 0), "")</f>
        <v/>
      </c>
      <c r="Q35" s="174">
        <f>IFERROR(VLOOKUP($A35&amp;"-"&amp;Q$21, 'S12 Operations'!$A$2:$D$534, 4, 0), "")</f>
        <v>40</v>
      </c>
      <c r="R35" s="174" t="str">
        <f>IFERROR(VLOOKUP($A35&amp;"-"&amp;R$21, 'S12 Operations'!$A$2:$D$534, 4, 0), "")</f>
        <v/>
      </c>
      <c r="S35" s="174" t="str">
        <f>IFERROR(VLOOKUP($A35&amp;"-"&amp;S$21, 'S12 Operations'!$A$2:$D$534, 4, 0), "")</f>
        <v/>
      </c>
      <c r="T35" s="174" t="str">
        <f>IFERROR(VLOOKUP($A35&amp;"-"&amp;T$21, 'S12 Operations'!$A$2:$D$534, 4, 0), "")</f>
        <v/>
      </c>
      <c r="U35" s="174" t="str">
        <f>IFERROR(VLOOKUP($A35&amp;"-"&amp;U$21, 'S12 Operations'!$A$2:$D$534, 4, 0), "")</f>
        <v/>
      </c>
      <c r="V35" s="174" t="str">
        <f>IFERROR(VLOOKUP($A35&amp;"-"&amp;V$21, 'S12 Operations'!$A$2:$D$534, 4, 0), "")</f>
        <v/>
      </c>
      <c r="W35" s="174" t="str">
        <f>IFERROR(VLOOKUP($A35&amp;"-"&amp;W$21, 'S12 Operations'!$A$2:$D$534, 4, 0), "")</f>
        <v/>
      </c>
      <c r="X35" s="174" t="str">
        <f>IFERROR(VLOOKUP($A35&amp;"-"&amp;X$21, 'S12 Operations'!$A$2:$D$534, 4, 0), "")</f>
        <v/>
      </c>
      <c r="Y35" s="174">
        <f>IFERROR(VLOOKUP($A35&amp;"-"&amp;Y$21, 'S12 Operations'!$A$2:$D$534, 4, 0), "")</f>
        <v>50</v>
      </c>
      <c r="Z35" s="174" t="str">
        <f>IFERROR(VLOOKUP($A35&amp;"-"&amp;Z$21, 'S12 Operations'!$A$2:$D$534, 4, 0), "")</f>
        <v/>
      </c>
      <c r="AA35" s="174">
        <f>IFERROR(VLOOKUP($A35&amp;"-"&amp;AA$21, 'S12 Operations'!$A$2:$D$534, 4, 0), "")</f>
        <v>60</v>
      </c>
    </row>
    <row r="36" spans="1:27" ht="17" x14ac:dyDescent="0.2">
      <c r="A36" s="173" t="str">
        <f>'S08 ABC Output'!A17</f>
        <v>I-007</v>
      </c>
      <c r="B36" s="174">
        <f>IFERROR(VLOOKUP($A36&amp;"-"&amp;B$21, 'S12 Operations'!$A$2:$D$534, 4, 0), "")</f>
        <v>10</v>
      </c>
      <c r="C36" s="174" t="str">
        <f>IFERROR(VLOOKUP($A36&amp;"-"&amp;C$21, 'S12 Operations'!$A$2:$D$534, 4, 0), "")</f>
        <v/>
      </c>
      <c r="D36" s="174" t="str">
        <f>IFERROR(VLOOKUP($A36&amp;"-"&amp;D$21, 'S12 Operations'!$A$2:$D$534, 4, 0), "")</f>
        <v/>
      </c>
      <c r="E36" s="174">
        <f>IFERROR(VLOOKUP($A36&amp;"-"&amp;E$21, 'S12 Operations'!$A$2:$D$534, 4, 0), "")</f>
        <v>20</v>
      </c>
      <c r="F36" s="174">
        <f>IFERROR(VLOOKUP($A36&amp;"-"&amp;F$21, 'S12 Operations'!$A$2:$D$534, 4, 0), "")</f>
        <v>30</v>
      </c>
      <c r="G36" s="174" t="str">
        <f>IFERROR(VLOOKUP($A36&amp;"-"&amp;G$21, 'S12 Operations'!$A$2:$D$534, 4, 0), "")</f>
        <v/>
      </c>
      <c r="H36" s="174" t="str">
        <f>IFERROR(VLOOKUP($A36&amp;"-"&amp;H$21, 'S12 Operations'!$A$2:$D$534, 4, 0), "")</f>
        <v/>
      </c>
      <c r="I36" s="174" t="str">
        <f>IFERROR(VLOOKUP($A36&amp;"-"&amp;I$21, 'S12 Operations'!$A$2:$D$534, 4, 0), "")</f>
        <v/>
      </c>
      <c r="J36" s="174" t="str">
        <f>IFERROR(VLOOKUP($A36&amp;"-"&amp;J$21, 'S12 Operations'!$A$2:$D$534, 4, 0), "")</f>
        <v/>
      </c>
      <c r="K36" s="174" t="str">
        <f>IFERROR(VLOOKUP($A36&amp;"-"&amp;K$21, 'S12 Operations'!$A$2:$D$534, 4, 0), "")</f>
        <v/>
      </c>
      <c r="L36" s="174">
        <f>IFERROR(VLOOKUP($A36&amp;"-"&amp;L$21, 'S12 Operations'!$A$2:$D$534, 4, 0), "")</f>
        <v>40</v>
      </c>
      <c r="M36" s="174" t="str">
        <f>IFERROR(VLOOKUP($A36&amp;"-"&amp;M$21, 'S12 Operations'!$A$2:$D$534, 4, 0), "")</f>
        <v/>
      </c>
      <c r="N36" s="174" t="str">
        <f>IFERROR(VLOOKUP($A36&amp;"-"&amp;N$21, 'S12 Operations'!$A$2:$D$534, 4, 0), "")</f>
        <v/>
      </c>
      <c r="O36" s="174" t="str">
        <f>IFERROR(VLOOKUP($A36&amp;"-"&amp;O$21, 'S12 Operations'!$A$2:$D$534, 4, 0), "")</f>
        <v/>
      </c>
      <c r="P36" s="174">
        <f>IFERROR(VLOOKUP($A36&amp;"-"&amp;P$21, 'S12 Operations'!$A$2:$D$534, 4, 0), "")</f>
        <v>50</v>
      </c>
      <c r="Q36" s="174" t="str">
        <f>IFERROR(VLOOKUP($A36&amp;"-"&amp;Q$21, 'S12 Operations'!$A$2:$D$534, 4, 0), "")</f>
        <v/>
      </c>
      <c r="R36" s="174" t="str">
        <f>IFERROR(VLOOKUP($A36&amp;"-"&amp;R$21, 'S12 Operations'!$A$2:$D$534, 4, 0), "")</f>
        <v/>
      </c>
      <c r="S36" s="174" t="str">
        <f>IFERROR(VLOOKUP($A36&amp;"-"&amp;S$21, 'S12 Operations'!$A$2:$D$534, 4, 0), "")</f>
        <v/>
      </c>
      <c r="T36" s="174" t="str">
        <f>IFERROR(VLOOKUP($A36&amp;"-"&amp;T$21, 'S12 Operations'!$A$2:$D$534, 4, 0), "")</f>
        <v/>
      </c>
      <c r="U36" s="174" t="str">
        <f>IFERROR(VLOOKUP($A36&amp;"-"&amp;U$21, 'S12 Operations'!$A$2:$D$534, 4, 0), "")</f>
        <v/>
      </c>
      <c r="V36" s="174">
        <f>IFERROR(VLOOKUP($A36&amp;"-"&amp;V$21, 'S12 Operations'!$A$2:$D$534, 4, 0), "")</f>
        <v>60</v>
      </c>
      <c r="W36" s="174" t="str">
        <f>IFERROR(VLOOKUP($A36&amp;"-"&amp;W$21, 'S12 Operations'!$A$2:$D$534, 4, 0), "")</f>
        <v/>
      </c>
      <c r="X36" s="174">
        <f>IFERROR(VLOOKUP($A36&amp;"-"&amp;X$21, 'S12 Operations'!$A$2:$D$534, 4, 0), "")</f>
        <v>70</v>
      </c>
      <c r="Y36" s="174" t="str">
        <f>IFERROR(VLOOKUP($A36&amp;"-"&amp;Y$21, 'S12 Operations'!$A$2:$D$534, 4, 0), "")</f>
        <v/>
      </c>
      <c r="Z36" s="174" t="str">
        <f>IFERROR(VLOOKUP($A36&amp;"-"&amp;Z$21, 'S12 Operations'!$A$2:$D$534, 4, 0), "")</f>
        <v/>
      </c>
      <c r="AA36" s="174">
        <f>IFERROR(VLOOKUP($A36&amp;"-"&amp;AA$21, 'S12 Operations'!$A$2:$D$534, 4, 0), "")</f>
        <v>80</v>
      </c>
    </row>
    <row r="37" spans="1:27" ht="17" x14ac:dyDescent="0.2">
      <c r="A37" s="173" t="str">
        <f>'S08 ABC Output'!A18</f>
        <v>I-074</v>
      </c>
      <c r="B37" s="174">
        <f>IFERROR(VLOOKUP($A37&amp;"-"&amp;B$21, 'S12 Operations'!$A$2:$D$534, 4, 0), "")</f>
        <v>10</v>
      </c>
      <c r="C37" s="174" t="str">
        <f>IFERROR(VLOOKUP($A37&amp;"-"&amp;C$21, 'S12 Operations'!$A$2:$D$534, 4, 0), "")</f>
        <v/>
      </c>
      <c r="D37" s="174">
        <f>IFERROR(VLOOKUP($A37&amp;"-"&amp;D$21, 'S12 Operations'!$A$2:$D$534, 4, 0), "")</f>
        <v>20</v>
      </c>
      <c r="E37" s="174" t="str">
        <f>IFERROR(VLOOKUP($A37&amp;"-"&amp;E$21, 'S12 Operations'!$A$2:$D$534, 4, 0), "")</f>
        <v/>
      </c>
      <c r="F37" s="174" t="str">
        <f>IFERROR(VLOOKUP($A37&amp;"-"&amp;F$21, 'S12 Operations'!$A$2:$D$534, 4, 0), "")</f>
        <v/>
      </c>
      <c r="G37" s="174" t="str">
        <f>IFERROR(VLOOKUP($A37&amp;"-"&amp;G$21, 'S12 Operations'!$A$2:$D$534, 4, 0), "")</f>
        <v/>
      </c>
      <c r="H37" s="174">
        <f>IFERROR(VLOOKUP($A37&amp;"-"&amp;H$21, 'S12 Operations'!$A$2:$D$534, 4, 0), "")</f>
        <v>30</v>
      </c>
      <c r="I37" s="174" t="str">
        <f>IFERROR(VLOOKUP($A37&amp;"-"&amp;I$21, 'S12 Operations'!$A$2:$D$534, 4, 0), "")</f>
        <v/>
      </c>
      <c r="J37" s="174" t="str">
        <f>IFERROR(VLOOKUP($A37&amp;"-"&amp;J$21, 'S12 Operations'!$A$2:$D$534, 4, 0), "")</f>
        <v/>
      </c>
      <c r="K37" s="174" t="str">
        <f>IFERROR(VLOOKUP($A37&amp;"-"&amp;K$21, 'S12 Operations'!$A$2:$D$534, 4, 0), "")</f>
        <v/>
      </c>
      <c r="L37" s="174" t="str">
        <f>IFERROR(VLOOKUP($A37&amp;"-"&amp;L$21, 'S12 Operations'!$A$2:$D$534, 4, 0), "")</f>
        <v/>
      </c>
      <c r="M37" s="174" t="str">
        <f>IFERROR(VLOOKUP($A37&amp;"-"&amp;M$21, 'S12 Operations'!$A$2:$D$534, 4, 0), "")</f>
        <v/>
      </c>
      <c r="N37" s="174">
        <f>IFERROR(VLOOKUP($A37&amp;"-"&amp;N$21, 'S12 Operations'!$A$2:$D$534, 4, 0), "")</f>
        <v>40</v>
      </c>
      <c r="O37" s="174" t="str">
        <f>IFERROR(VLOOKUP($A37&amp;"-"&amp;O$21, 'S12 Operations'!$A$2:$D$534, 4, 0), "")</f>
        <v/>
      </c>
      <c r="P37" s="174" t="str">
        <f>IFERROR(VLOOKUP($A37&amp;"-"&amp;P$21, 'S12 Operations'!$A$2:$D$534, 4, 0), "")</f>
        <v/>
      </c>
      <c r="Q37" s="174" t="str">
        <f>IFERROR(VLOOKUP($A37&amp;"-"&amp;Q$21, 'S12 Operations'!$A$2:$D$534, 4, 0), "")</f>
        <v/>
      </c>
      <c r="R37" s="174" t="str">
        <f>IFERROR(VLOOKUP($A37&amp;"-"&amp;R$21, 'S12 Operations'!$A$2:$D$534, 4, 0), "")</f>
        <v/>
      </c>
      <c r="S37" s="174">
        <f>IFERROR(VLOOKUP($A37&amp;"-"&amp;S$21, 'S12 Operations'!$A$2:$D$534, 4, 0), "")</f>
        <v>50</v>
      </c>
      <c r="T37" s="174" t="str">
        <f>IFERROR(VLOOKUP($A37&amp;"-"&amp;T$21, 'S12 Operations'!$A$2:$D$534, 4, 0), "")</f>
        <v/>
      </c>
      <c r="U37" s="174">
        <f>IFERROR(VLOOKUP($A37&amp;"-"&amp;U$21, 'S12 Operations'!$A$2:$D$534, 4, 0), "")</f>
        <v>60</v>
      </c>
      <c r="V37" s="174" t="str">
        <f>IFERROR(VLOOKUP($A37&amp;"-"&amp;V$21, 'S12 Operations'!$A$2:$D$534, 4, 0), "")</f>
        <v/>
      </c>
      <c r="W37" s="174">
        <f>IFERROR(VLOOKUP($A37&amp;"-"&amp;W$21, 'S12 Operations'!$A$2:$D$534, 4, 0), "")</f>
        <v>70</v>
      </c>
      <c r="X37" s="174" t="str">
        <f>IFERROR(VLOOKUP($A37&amp;"-"&amp;X$21, 'S12 Operations'!$A$2:$D$534, 4, 0), "")</f>
        <v/>
      </c>
      <c r="Y37" s="174" t="str">
        <f>IFERROR(VLOOKUP($A37&amp;"-"&amp;Y$21, 'S12 Operations'!$A$2:$D$534, 4, 0), "")</f>
        <v/>
      </c>
      <c r="Z37" s="174" t="str">
        <f>IFERROR(VLOOKUP($A37&amp;"-"&amp;Z$21, 'S12 Operations'!$A$2:$D$534, 4, 0), "")</f>
        <v/>
      </c>
      <c r="AA37" s="174">
        <f>IFERROR(VLOOKUP($A37&amp;"-"&amp;AA$21, 'S12 Operations'!$A$2:$D$534, 4, 0), "")</f>
        <v>80</v>
      </c>
    </row>
  </sheetData>
  <mergeCells count="12">
    <mergeCell ref="W1:Y1"/>
    <mergeCell ref="C1:E1"/>
    <mergeCell ref="F1:H1"/>
    <mergeCell ref="I1:P1"/>
    <mergeCell ref="Q1:T1"/>
    <mergeCell ref="U1:V1"/>
    <mergeCell ref="W20:Y20"/>
    <mergeCell ref="C20:E20"/>
    <mergeCell ref="F20:H20"/>
    <mergeCell ref="I20:P20"/>
    <mergeCell ref="Q20:T20"/>
    <mergeCell ref="U20:V20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zoomScale="138" workbookViewId="0">
      <selection activeCell="B3" sqref="B3:I18"/>
    </sheetView>
  </sheetViews>
  <sheetFormatPr baseColWidth="10" defaultColWidth="11" defaultRowHeight="16" x14ac:dyDescent="0.2"/>
  <cols>
    <col min="1" max="1" width="10.83203125" style="66"/>
  </cols>
  <sheetData>
    <row r="1" spans="1:9" s="67" customFormat="1" ht="17" thickBot="1" x14ac:dyDescent="0.25">
      <c r="B1" s="307" t="s">
        <v>565</v>
      </c>
      <c r="C1" s="308"/>
      <c r="D1" s="308"/>
      <c r="E1" s="308"/>
      <c r="F1" s="308"/>
      <c r="G1" s="308"/>
      <c r="H1" s="308"/>
      <c r="I1" s="309"/>
    </row>
    <row r="2" spans="1:9" s="67" customFormat="1" ht="18" thickBot="1" x14ac:dyDescent="0.25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ht="17" x14ac:dyDescent="0.2">
      <c r="A3" s="57" t="str">
        <f>'S14 Clustering'!A3</f>
        <v>I-004</v>
      </c>
      <c r="B3" s="58" t="str">
        <f>IFERROR(VLOOKUP($A3&amp;"-"&amp;B$2, 'S12 Operations'!$B$2:$E$534, 4, 0), "")</f>
        <v>WS-43</v>
      </c>
      <c r="C3" s="58" t="str">
        <f>IFERROR(VLOOKUP($A3&amp;"-"&amp;C$2, 'S12 Operations'!$B$2:$E$534, 4, 0), "")</f>
        <v>WS-36</v>
      </c>
      <c r="D3" s="58" t="str">
        <f>IFERROR(VLOOKUP($A3&amp;"-"&amp;D$2, 'S12 Operations'!$B$2:$E$534, 4, 0), "")</f>
        <v>WS-05</v>
      </c>
      <c r="E3" s="58" t="str">
        <f>IFERROR(VLOOKUP($A3&amp;"-"&amp;E$2, 'S12 Operations'!$B$2:$E$534, 4, 0), "")</f>
        <v>WS-25</v>
      </c>
      <c r="F3" s="58" t="str">
        <f>IFERROR(VLOOKUP($A3&amp;"-"&amp;F$2, 'S12 Operations'!$B$2:$E$534, 4, 0), "")</f>
        <v>WS-34</v>
      </c>
      <c r="G3" s="58" t="str">
        <f>IFERROR(VLOOKUP($A3&amp;"-"&amp;G$2, 'S12 Operations'!$B$2:$E$534, 4, 0), "")</f>
        <v>WS-44</v>
      </c>
      <c r="H3" s="58" t="str">
        <f>IFERROR(VLOOKUP($A3&amp;"-"&amp;H$2, 'S12 Operations'!$B$2:$E$534, 4, 0), "")</f>
        <v/>
      </c>
      <c r="I3" s="58" t="str">
        <f>IFERROR(VLOOKUP($A3&amp;"-"&amp;I$2, 'S12 Operations'!$B$2:$E$534, 4, 0), "")</f>
        <v/>
      </c>
    </row>
    <row r="4" spans="1:9" s="44" customFormat="1" ht="17" x14ac:dyDescent="0.2">
      <c r="A4" s="57" t="str">
        <f>'S14 Clustering'!A4</f>
        <v>I-066</v>
      </c>
      <c r="B4" s="58" t="str">
        <f>IFERROR(VLOOKUP($A4&amp;"-"&amp;B$2, 'S12 Operations'!$B$2:$E$534, 4, 0), "")</f>
        <v>WS-43</v>
      </c>
      <c r="C4" s="58" t="str">
        <f>IFERROR(VLOOKUP($A4&amp;"-"&amp;C$2, 'S12 Operations'!$B$2:$E$534, 4, 0), "")</f>
        <v>WS-36</v>
      </c>
      <c r="D4" s="58" t="str">
        <f>IFERROR(VLOOKUP($A4&amp;"-"&amp;D$2, 'S12 Operations'!$B$2:$E$534, 4, 0), "")</f>
        <v>WS-05</v>
      </c>
      <c r="E4" s="58" t="str">
        <f>IFERROR(VLOOKUP($A4&amp;"-"&amp;E$2, 'S12 Operations'!$B$2:$E$534, 4, 0), "")</f>
        <v>WS-25</v>
      </c>
      <c r="F4" s="58" t="str">
        <f>IFERROR(VLOOKUP($A4&amp;"-"&amp;F$2, 'S12 Operations'!$B$2:$E$534, 4, 0), "")</f>
        <v>WS-34</v>
      </c>
      <c r="G4" s="58" t="str">
        <f>IFERROR(VLOOKUP($A4&amp;"-"&amp;G$2, 'S12 Operations'!$B$2:$E$534, 4, 0), "")</f>
        <v>WS-44</v>
      </c>
      <c r="H4" s="58" t="str">
        <f>IFERROR(VLOOKUP($A4&amp;"-"&amp;H$2, 'S12 Operations'!$B$2:$E$534, 4, 0), "")</f>
        <v/>
      </c>
      <c r="I4" s="58" t="str">
        <f>IFERROR(VLOOKUP($A4&amp;"-"&amp;I$2, 'S12 Operations'!$B$2:$E$534, 4, 0), "")</f>
        <v/>
      </c>
    </row>
    <row r="5" spans="1:9" s="44" customFormat="1" ht="17" x14ac:dyDescent="0.2">
      <c r="A5" s="57" t="str">
        <f>'S14 Clustering'!A5</f>
        <v>I-068</v>
      </c>
      <c r="B5" s="58" t="str">
        <f>IFERROR(VLOOKUP($A5&amp;"-"&amp;B$2, 'S12 Operations'!$B$2:$E$534, 4, 0), "")</f>
        <v>WS-43</v>
      </c>
      <c r="C5" s="58" t="str">
        <f>IFERROR(VLOOKUP($A5&amp;"-"&amp;C$2, 'S12 Operations'!$B$2:$E$534, 4, 0), "")</f>
        <v>WS-36</v>
      </c>
      <c r="D5" s="58" t="str">
        <f>IFERROR(VLOOKUP($A5&amp;"-"&amp;D$2, 'S12 Operations'!$B$2:$E$534, 4, 0), "")</f>
        <v>WS-05</v>
      </c>
      <c r="E5" s="58" t="str">
        <f>IFERROR(VLOOKUP($A5&amp;"-"&amp;E$2, 'S12 Operations'!$B$2:$E$534, 4, 0), "")</f>
        <v>WS-25</v>
      </c>
      <c r="F5" s="58" t="str">
        <f>IFERROR(VLOOKUP($A5&amp;"-"&amp;F$2, 'S12 Operations'!$B$2:$E$534, 4, 0), "")</f>
        <v>WS-34</v>
      </c>
      <c r="G5" s="58" t="str">
        <f>IFERROR(VLOOKUP($A5&amp;"-"&amp;G$2, 'S12 Operations'!$B$2:$E$534, 4, 0), "")</f>
        <v>WS-44</v>
      </c>
      <c r="H5" s="58" t="str">
        <f>IFERROR(VLOOKUP($A5&amp;"-"&amp;H$2, 'S12 Operations'!$B$2:$E$534, 4, 0), "")</f>
        <v/>
      </c>
      <c r="I5" s="58" t="str">
        <f>IFERROR(VLOOKUP($A5&amp;"-"&amp;I$2, 'S12 Operations'!$B$2:$E$534, 4, 0), "")</f>
        <v/>
      </c>
    </row>
    <row r="6" spans="1:9" s="44" customFormat="1" ht="17" x14ac:dyDescent="0.2">
      <c r="A6" s="57" t="str">
        <f>'S14 Clustering'!A6</f>
        <v>I-069</v>
      </c>
      <c r="B6" s="58" t="str">
        <f>IFERROR(VLOOKUP($A6&amp;"-"&amp;B$2, 'S12 Operations'!$B$2:$E$534, 4, 0), "")</f>
        <v>WS-43</v>
      </c>
      <c r="C6" s="58" t="str">
        <f>IFERROR(VLOOKUP($A6&amp;"-"&amp;C$2, 'S12 Operations'!$B$2:$E$534, 4, 0), "")</f>
        <v>WS-36</v>
      </c>
      <c r="D6" s="58" t="str">
        <f>IFERROR(VLOOKUP($A6&amp;"-"&amp;D$2, 'S12 Operations'!$B$2:$E$534, 4, 0), "")</f>
        <v>WS-05</v>
      </c>
      <c r="E6" s="58" t="str">
        <f>IFERROR(VLOOKUP($A6&amp;"-"&amp;E$2, 'S12 Operations'!$B$2:$E$534, 4, 0), "")</f>
        <v>WS-25</v>
      </c>
      <c r="F6" s="58" t="str">
        <f>IFERROR(VLOOKUP($A6&amp;"-"&amp;F$2, 'S12 Operations'!$B$2:$E$534, 4, 0), "")</f>
        <v>WS-34</v>
      </c>
      <c r="G6" s="58" t="str">
        <f>IFERROR(VLOOKUP($A6&amp;"-"&amp;G$2, 'S12 Operations'!$B$2:$E$534, 4, 0), "")</f>
        <v>WS-44</v>
      </c>
      <c r="H6" s="58" t="str">
        <f>IFERROR(VLOOKUP($A6&amp;"-"&amp;H$2, 'S12 Operations'!$B$2:$E$534, 4, 0), "")</f>
        <v/>
      </c>
      <c r="I6" s="58" t="str">
        <f>IFERROR(VLOOKUP($A6&amp;"-"&amp;I$2, 'S12 Operations'!$B$2:$E$534, 4, 0), "")</f>
        <v/>
      </c>
    </row>
    <row r="7" spans="1:9" s="44" customFormat="1" ht="17" x14ac:dyDescent="0.2">
      <c r="A7" s="57" t="str">
        <f>'S14 Clustering'!A7</f>
        <v>I-070</v>
      </c>
      <c r="B7" s="58" t="str">
        <f>IFERROR(VLOOKUP($A7&amp;"-"&amp;B$2, 'S12 Operations'!$B$2:$E$534, 4, 0), "")</f>
        <v>WS-43</v>
      </c>
      <c r="C7" s="58" t="str">
        <f>IFERROR(VLOOKUP($A7&amp;"-"&amp;C$2, 'S12 Operations'!$B$2:$E$534, 4, 0), "")</f>
        <v>WS-36</v>
      </c>
      <c r="D7" s="58" t="str">
        <f>IFERROR(VLOOKUP($A7&amp;"-"&amp;D$2, 'S12 Operations'!$B$2:$E$534, 4, 0), "")</f>
        <v>WS-05</v>
      </c>
      <c r="E7" s="58" t="str">
        <f>IFERROR(VLOOKUP($A7&amp;"-"&amp;E$2, 'S12 Operations'!$B$2:$E$534, 4, 0), "")</f>
        <v>WS-25</v>
      </c>
      <c r="F7" s="58" t="str">
        <f>IFERROR(VLOOKUP($A7&amp;"-"&amp;F$2, 'S12 Operations'!$B$2:$E$534, 4, 0), "")</f>
        <v>WS-34</v>
      </c>
      <c r="G7" s="58" t="str">
        <f>IFERROR(VLOOKUP($A7&amp;"-"&amp;G$2, 'S12 Operations'!$B$2:$E$534, 4, 0), "")</f>
        <v>WS-44</v>
      </c>
      <c r="H7" s="58" t="str">
        <f>IFERROR(VLOOKUP($A7&amp;"-"&amp;H$2, 'S12 Operations'!$B$2:$E$534, 4, 0), "")</f>
        <v/>
      </c>
      <c r="I7" s="58" t="str">
        <f>IFERROR(VLOOKUP($A7&amp;"-"&amp;I$2, 'S12 Operations'!$B$2:$E$534, 4, 0), "")</f>
        <v/>
      </c>
    </row>
    <row r="8" spans="1:9" s="44" customFormat="1" ht="17" x14ac:dyDescent="0.2">
      <c r="A8" s="57" t="str">
        <f>'S14 Clustering'!A8</f>
        <v>I-071</v>
      </c>
      <c r="B8" s="58" t="str">
        <f>IFERROR(VLOOKUP($A8&amp;"-"&amp;B$2, 'S12 Operations'!$B$2:$E$534, 4, 0), "")</f>
        <v>WS-43</v>
      </c>
      <c r="C8" s="58" t="str">
        <f>IFERROR(VLOOKUP($A8&amp;"-"&amp;C$2, 'S12 Operations'!$B$2:$E$534, 4, 0), "")</f>
        <v>WS-36</v>
      </c>
      <c r="D8" s="58" t="str">
        <f>IFERROR(VLOOKUP($A8&amp;"-"&amp;D$2, 'S12 Operations'!$B$2:$E$534, 4, 0), "")</f>
        <v>WS-05</v>
      </c>
      <c r="E8" s="58" t="str">
        <f>IFERROR(VLOOKUP($A8&amp;"-"&amp;E$2, 'S12 Operations'!$B$2:$E$534, 4, 0), "")</f>
        <v>WS-25</v>
      </c>
      <c r="F8" s="58" t="str">
        <f>IFERROR(VLOOKUP($A8&amp;"-"&amp;F$2, 'S12 Operations'!$B$2:$E$534, 4, 0), "")</f>
        <v>WS-34</v>
      </c>
      <c r="G8" s="58" t="str">
        <f>IFERROR(VLOOKUP($A8&amp;"-"&amp;G$2, 'S12 Operations'!$B$2:$E$534, 4, 0), "")</f>
        <v>WS-44</v>
      </c>
      <c r="H8" s="58" t="str">
        <f>IFERROR(VLOOKUP($A8&amp;"-"&amp;H$2, 'S12 Operations'!$B$2:$E$534, 4, 0), "")</f>
        <v/>
      </c>
      <c r="I8" s="58" t="str">
        <f>IFERROR(VLOOKUP($A8&amp;"-"&amp;I$2, 'S12 Operations'!$B$2:$E$534, 4, 0), "")</f>
        <v/>
      </c>
    </row>
    <row r="9" spans="1:9" s="44" customFormat="1" ht="17" x14ac:dyDescent="0.2">
      <c r="A9" s="57" t="str">
        <f>'S14 Clustering'!A9</f>
        <v>I-037</v>
      </c>
      <c r="B9" s="58" t="str">
        <f>IFERROR(VLOOKUP($A9&amp;"-"&amp;B$2, 'S12 Operations'!$B$2:$E$534, 4, 0), "")</f>
        <v>WS-43</v>
      </c>
      <c r="C9" s="58" t="str">
        <f>IFERROR(VLOOKUP($A9&amp;"-"&amp;C$2, 'S12 Operations'!$B$2:$E$534, 4, 0), "")</f>
        <v>WS-38</v>
      </c>
      <c r="D9" s="58" t="str">
        <f>IFERROR(VLOOKUP($A9&amp;"-"&amp;D$2, 'S12 Operations'!$B$2:$E$534, 4, 0), "")</f>
        <v>WS-07</v>
      </c>
      <c r="E9" s="58" t="str">
        <f>IFERROR(VLOOKUP($A9&amp;"-"&amp;E$2, 'S12 Operations'!$B$2:$E$534, 4, 0), "")</f>
        <v>WS-21</v>
      </c>
      <c r="F9" s="58" t="str">
        <f>IFERROR(VLOOKUP($A9&amp;"-"&amp;F$2, 'S12 Operations'!$B$2:$E$534, 4, 0), "")</f>
        <v>WS-28</v>
      </c>
      <c r="G9" s="58" t="str">
        <f>IFERROR(VLOOKUP($A9&amp;"-"&amp;G$2, 'S12 Operations'!$B$2:$E$534, 4, 0), "")</f>
        <v>WS-27</v>
      </c>
      <c r="H9" s="58" t="str">
        <f>IFERROR(VLOOKUP($A9&amp;"-"&amp;H$2, 'S12 Operations'!$B$2:$E$534, 4, 0), "")</f>
        <v>WS-32</v>
      </c>
      <c r="I9" s="58" t="str">
        <f>IFERROR(VLOOKUP($A9&amp;"-"&amp;I$2, 'S12 Operations'!$B$2:$E$534, 4, 0), "")</f>
        <v>WS-44</v>
      </c>
    </row>
    <row r="10" spans="1:9" s="44" customFormat="1" ht="17" x14ac:dyDescent="0.2">
      <c r="A10" s="57" t="str">
        <f>'S14 Clustering'!A10</f>
        <v>I-073</v>
      </c>
      <c r="B10" s="58" t="str">
        <f>IFERROR(VLOOKUP($A10&amp;"-"&amp;B$2, 'S12 Operations'!$B$2:$E$534, 4, 0), "")</f>
        <v>WS-43</v>
      </c>
      <c r="C10" s="58" t="str">
        <f>IFERROR(VLOOKUP($A10&amp;"-"&amp;C$2, 'S12 Operations'!$B$2:$E$534, 4, 0), "")</f>
        <v>WS-38</v>
      </c>
      <c r="D10" s="58" t="str">
        <f>IFERROR(VLOOKUP($A10&amp;"-"&amp;D$2, 'S12 Operations'!$B$2:$E$534, 4, 0), "")</f>
        <v>WS-07</v>
      </c>
      <c r="E10" s="58" t="str">
        <f>IFERROR(VLOOKUP($A10&amp;"-"&amp;E$2, 'S12 Operations'!$B$2:$E$534, 4, 0), "")</f>
        <v>WS-21</v>
      </c>
      <c r="F10" s="58" t="str">
        <f>IFERROR(VLOOKUP($A10&amp;"-"&amp;F$2, 'S12 Operations'!$B$2:$E$534, 4, 0), "")</f>
        <v>WS-28</v>
      </c>
      <c r="G10" s="58" t="str">
        <f>IFERROR(VLOOKUP($A10&amp;"-"&amp;G$2, 'S12 Operations'!$B$2:$E$534, 4, 0), "")</f>
        <v>WS-27</v>
      </c>
      <c r="H10" s="58" t="str">
        <f>IFERROR(VLOOKUP($A10&amp;"-"&amp;H$2, 'S12 Operations'!$B$2:$E$534, 4, 0), "")</f>
        <v>WS-32</v>
      </c>
      <c r="I10" s="58" t="str">
        <f>IFERROR(VLOOKUP($A10&amp;"-"&amp;I$2, 'S12 Operations'!$B$2:$E$534, 4, 0), "")</f>
        <v>WS-44</v>
      </c>
    </row>
    <row r="11" spans="1:9" s="44" customFormat="1" ht="17" x14ac:dyDescent="0.2">
      <c r="A11" s="57" t="str">
        <f>'S14 Clustering'!A11</f>
        <v>I-074</v>
      </c>
      <c r="B11" s="58" t="str">
        <f>IFERROR(VLOOKUP($A11&amp;"-"&amp;B$2, 'S12 Operations'!$B$2:$E$534, 4, 0), "")</f>
        <v>WS-43</v>
      </c>
      <c r="C11" s="58" t="str">
        <f>IFERROR(VLOOKUP($A11&amp;"-"&amp;C$2, 'S12 Operations'!$B$2:$E$534, 4, 0), "")</f>
        <v>WS-38</v>
      </c>
      <c r="D11" s="58" t="str">
        <f>IFERROR(VLOOKUP($A11&amp;"-"&amp;D$2, 'S12 Operations'!$B$2:$E$534, 4, 0), "")</f>
        <v>WS-07</v>
      </c>
      <c r="E11" s="58" t="str">
        <f>IFERROR(VLOOKUP($A11&amp;"-"&amp;E$2, 'S12 Operations'!$B$2:$E$534, 4, 0), "")</f>
        <v>WS-21</v>
      </c>
      <c r="F11" s="58" t="str">
        <f>IFERROR(VLOOKUP($A11&amp;"-"&amp;F$2, 'S12 Operations'!$B$2:$E$534, 4, 0), "")</f>
        <v>WS-28</v>
      </c>
      <c r="G11" s="58" t="str">
        <f>IFERROR(VLOOKUP($A11&amp;"-"&amp;G$2, 'S12 Operations'!$B$2:$E$534, 4, 0), "")</f>
        <v>WS-27</v>
      </c>
      <c r="H11" s="58" t="str">
        <f>IFERROR(VLOOKUP($A11&amp;"-"&amp;H$2, 'S12 Operations'!$B$2:$E$534, 4, 0), "")</f>
        <v>WS-32</v>
      </c>
      <c r="I11" s="58" t="str">
        <f>IFERROR(VLOOKUP($A11&amp;"-"&amp;I$2, 'S12 Operations'!$B$2:$E$534, 4, 0), "")</f>
        <v>WS-44</v>
      </c>
    </row>
    <row r="12" spans="1:9" s="44" customFormat="1" ht="17" x14ac:dyDescent="0.2">
      <c r="A12" s="57" t="str">
        <f>'S14 Clustering'!A12</f>
        <v>I-006</v>
      </c>
      <c r="B12" s="58" t="str">
        <f>IFERROR(VLOOKUP($A12&amp;"-"&amp;B$2, 'S12 Operations'!$B$2:$E$534, 4, 0), "")</f>
        <v>WS-43</v>
      </c>
      <c r="C12" s="58" t="str">
        <f>IFERROR(VLOOKUP($A12&amp;"-"&amp;C$2, 'S12 Operations'!$B$2:$E$534, 4, 0), "")</f>
        <v>WS-40</v>
      </c>
      <c r="D12" s="58" t="str">
        <f>IFERROR(VLOOKUP($A12&amp;"-"&amp;D$2, 'S12 Operations'!$B$2:$E$534, 4, 0), "")</f>
        <v>WS-02</v>
      </c>
      <c r="E12" s="58" t="str">
        <f>IFERROR(VLOOKUP($A12&amp;"-"&amp;E$2, 'S12 Operations'!$B$2:$E$534, 4, 0), "")</f>
        <v>WS-18</v>
      </c>
      <c r="F12" s="58" t="str">
        <f>IFERROR(VLOOKUP($A12&amp;"-"&amp;F$2, 'S12 Operations'!$B$2:$E$534, 4, 0), "")</f>
        <v>WS-24</v>
      </c>
      <c r="G12" s="58" t="str">
        <f>IFERROR(VLOOKUP($A12&amp;"-"&amp;G$2, 'S12 Operations'!$B$2:$E$534, 4, 0), "")</f>
        <v>WS-29</v>
      </c>
      <c r="H12" s="58" t="str">
        <f>IFERROR(VLOOKUP($A12&amp;"-"&amp;H$2, 'S12 Operations'!$B$2:$E$534, 4, 0), "")</f>
        <v>WS-33</v>
      </c>
      <c r="I12" s="58" t="str">
        <f>IFERROR(VLOOKUP($A12&amp;"-"&amp;I$2, 'S12 Operations'!$B$2:$E$534, 4, 0), "")</f>
        <v>WS-44</v>
      </c>
    </row>
    <row r="13" spans="1:9" s="44" customFormat="1" ht="17" x14ac:dyDescent="0.2">
      <c r="A13" s="57" t="str">
        <f>'S14 Clustering'!A13</f>
        <v>I-007</v>
      </c>
      <c r="B13" s="58" t="str">
        <f>IFERROR(VLOOKUP($A13&amp;"-"&amp;B$2, 'S12 Operations'!$B$2:$E$534, 4, 0), "")</f>
        <v>WS-43</v>
      </c>
      <c r="C13" s="58" t="str">
        <f>IFERROR(VLOOKUP($A13&amp;"-"&amp;C$2, 'S12 Operations'!$B$2:$E$534, 4, 0), "")</f>
        <v>WS-40</v>
      </c>
      <c r="D13" s="58" t="str">
        <f>IFERROR(VLOOKUP($A13&amp;"-"&amp;D$2, 'S12 Operations'!$B$2:$E$534, 4, 0), "")</f>
        <v>WS-02</v>
      </c>
      <c r="E13" s="58" t="str">
        <f>IFERROR(VLOOKUP($A13&amp;"-"&amp;E$2, 'S12 Operations'!$B$2:$E$534, 4, 0), "")</f>
        <v>WS-18</v>
      </c>
      <c r="F13" s="58" t="str">
        <f>IFERROR(VLOOKUP($A13&amp;"-"&amp;F$2, 'S12 Operations'!$B$2:$E$534, 4, 0), "")</f>
        <v>WS-24</v>
      </c>
      <c r="G13" s="58" t="str">
        <f>IFERROR(VLOOKUP($A13&amp;"-"&amp;G$2, 'S12 Operations'!$B$2:$E$534, 4, 0), "")</f>
        <v>WS-29</v>
      </c>
      <c r="H13" s="58" t="str">
        <f>IFERROR(VLOOKUP($A13&amp;"-"&amp;H$2, 'S12 Operations'!$B$2:$E$534, 4, 0), "")</f>
        <v>WS-33</v>
      </c>
      <c r="I13" s="58" t="str">
        <f>IFERROR(VLOOKUP($A13&amp;"-"&amp;I$2, 'S12 Operations'!$B$2:$E$534, 4, 0), "")</f>
        <v>WS-44</v>
      </c>
    </row>
    <row r="14" spans="1:9" s="44" customFormat="1" ht="17" x14ac:dyDescent="0.2">
      <c r="A14" s="57" t="str">
        <f>'S14 Clustering'!A14</f>
        <v>I-010</v>
      </c>
      <c r="B14" s="58" t="str">
        <f>IFERROR(VLOOKUP($A14&amp;"-"&amp;B$2, 'S12 Operations'!$B$2:$E$534, 4, 0), "")</f>
        <v>WS-43</v>
      </c>
      <c r="C14" s="58" t="str">
        <f>IFERROR(VLOOKUP($A14&amp;"-"&amp;C$2, 'S12 Operations'!$B$2:$E$534, 4, 0), "")</f>
        <v>WS-40</v>
      </c>
      <c r="D14" s="58" t="str">
        <f>IFERROR(VLOOKUP($A14&amp;"-"&amp;D$2, 'S12 Operations'!$B$2:$E$534, 4, 0), "")</f>
        <v>WS-02</v>
      </c>
      <c r="E14" s="58" t="str">
        <f>IFERROR(VLOOKUP($A14&amp;"-"&amp;E$2, 'S12 Operations'!$B$2:$E$534, 4, 0), "")</f>
        <v>WS-18</v>
      </c>
      <c r="F14" s="58" t="str">
        <f>IFERROR(VLOOKUP($A14&amp;"-"&amp;F$2, 'S12 Operations'!$B$2:$E$534, 4, 0), "")</f>
        <v>WS-24</v>
      </c>
      <c r="G14" s="58" t="str">
        <f>IFERROR(VLOOKUP($A14&amp;"-"&amp;G$2, 'S12 Operations'!$B$2:$E$534, 4, 0), "")</f>
        <v>WS-29</v>
      </c>
      <c r="H14" s="58" t="str">
        <f>IFERROR(VLOOKUP($A14&amp;"-"&amp;H$2, 'S12 Operations'!$B$2:$E$534, 4, 0), "")</f>
        <v>WS-33</v>
      </c>
      <c r="I14" s="58" t="str">
        <f>IFERROR(VLOOKUP($A14&amp;"-"&amp;I$2, 'S12 Operations'!$B$2:$E$534, 4, 0), "")</f>
        <v>WS-44</v>
      </c>
    </row>
    <row r="15" spans="1:9" s="44" customFormat="1" ht="17" x14ac:dyDescent="0.2">
      <c r="A15" s="57" t="str">
        <f>'S14 Clustering'!A15</f>
        <v>I-012</v>
      </c>
      <c r="B15" s="58" t="str">
        <f>IFERROR(VLOOKUP($A15&amp;"-"&amp;B$2, 'S12 Operations'!$B$2:$E$534, 4, 0), "")</f>
        <v>WS-43</v>
      </c>
      <c r="C15" s="58" t="str">
        <f>IFERROR(VLOOKUP($A15&amp;"-"&amp;C$2, 'S12 Operations'!$B$2:$E$534, 4, 0), "")</f>
        <v>WS-40</v>
      </c>
      <c r="D15" s="58" t="str">
        <f>IFERROR(VLOOKUP($A15&amp;"-"&amp;D$2, 'S12 Operations'!$B$2:$E$534, 4, 0), "")</f>
        <v>WS-07</v>
      </c>
      <c r="E15" s="58" t="str">
        <f>IFERROR(VLOOKUP($A15&amp;"-"&amp;E$2, 'S12 Operations'!$B$2:$E$534, 4, 0), "")</f>
        <v>WS-08</v>
      </c>
      <c r="F15" s="58" t="str">
        <f>IFERROR(VLOOKUP($A15&amp;"-"&amp;F$2, 'S12 Operations'!$B$2:$E$534, 4, 0), "")</f>
        <v>WS-20</v>
      </c>
      <c r="G15" s="58" t="str">
        <f>IFERROR(VLOOKUP($A15&amp;"-"&amp;G$2, 'S12 Operations'!$B$2:$E$534, 4, 0), "")</f>
        <v>WS-26</v>
      </c>
      <c r="H15" s="58" t="str">
        <f>IFERROR(VLOOKUP($A15&amp;"-"&amp;H$2, 'S12 Operations'!$B$2:$E$534, 4, 0), "")</f>
        <v>WS-32</v>
      </c>
      <c r="I15" s="58" t="str">
        <f>IFERROR(VLOOKUP($A15&amp;"-"&amp;I$2, 'S12 Operations'!$B$2:$E$534, 4, 0), "")</f>
        <v>WS-44</v>
      </c>
    </row>
    <row r="16" spans="1:9" s="44" customFormat="1" ht="17" x14ac:dyDescent="0.2">
      <c r="A16" s="57" t="str">
        <f>'S14 Clustering'!A16</f>
        <v>I-052</v>
      </c>
      <c r="B16" s="58" t="str">
        <f>IFERROR(VLOOKUP($A16&amp;"-"&amp;B$2, 'S12 Operations'!$B$2:$E$534, 4, 0), "")</f>
        <v>WS-43</v>
      </c>
      <c r="C16" s="58" t="str">
        <f>IFERROR(VLOOKUP($A16&amp;"-"&amp;C$2, 'S12 Operations'!$B$2:$E$534, 4, 0), "")</f>
        <v>WS-40</v>
      </c>
      <c r="D16" s="58" t="str">
        <f>IFERROR(VLOOKUP($A16&amp;"-"&amp;D$2, 'S12 Operations'!$B$2:$E$534, 4, 0), "")</f>
        <v>WS-07</v>
      </c>
      <c r="E16" s="58" t="str">
        <f>IFERROR(VLOOKUP($A16&amp;"-"&amp;E$2, 'S12 Operations'!$B$2:$E$534, 4, 0), "")</f>
        <v>WS-08</v>
      </c>
      <c r="F16" s="58" t="str">
        <f>IFERROR(VLOOKUP($A16&amp;"-"&amp;F$2, 'S12 Operations'!$B$2:$E$534, 4, 0), "")</f>
        <v>WS-20</v>
      </c>
      <c r="G16" s="58" t="str">
        <f>IFERROR(VLOOKUP($A16&amp;"-"&amp;G$2, 'S12 Operations'!$B$2:$E$534, 4, 0), "")</f>
        <v>WS-26</v>
      </c>
      <c r="H16" s="58" t="str">
        <f>IFERROR(VLOOKUP($A16&amp;"-"&amp;H$2, 'S12 Operations'!$B$2:$E$534, 4, 0), "")</f>
        <v>WS-32</v>
      </c>
      <c r="I16" s="58" t="str">
        <f>IFERROR(VLOOKUP($A16&amp;"-"&amp;I$2, 'S12 Operations'!$B$2:$E$534, 4, 0), "")</f>
        <v>WS-44</v>
      </c>
    </row>
    <row r="17" spans="1:9" s="44" customFormat="1" ht="17" x14ac:dyDescent="0.2">
      <c r="A17" s="57" t="str">
        <f>'S14 Clustering'!A17</f>
        <v>I-053</v>
      </c>
      <c r="B17" s="58" t="str">
        <f>IFERROR(VLOOKUP($A17&amp;"-"&amp;B$2, 'S12 Operations'!$B$2:$E$534, 4, 0), "")</f>
        <v>WS-43</v>
      </c>
      <c r="C17" s="58" t="str">
        <f>IFERROR(VLOOKUP($A17&amp;"-"&amp;C$2, 'S12 Operations'!$B$2:$E$534, 4, 0), "")</f>
        <v>WS-40</v>
      </c>
      <c r="D17" s="58" t="str">
        <f>IFERROR(VLOOKUP($A17&amp;"-"&amp;D$2, 'S12 Operations'!$B$2:$E$534, 4, 0), "")</f>
        <v>WS-04</v>
      </c>
      <c r="E17" s="58" t="str">
        <f>IFERROR(VLOOKUP($A17&amp;"-"&amp;E$2, 'S12 Operations'!$B$2:$E$534, 4, 0), "")</f>
        <v>WS-03</v>
      </c>
      <c r="F17" s="58" t="str">
        <f>IFERROR(VLOOKUP($A17&amp;"-"&amp;F$2, 'S12 Operations'!$B$2:$E$534, 4, 0), "")</f>
        <v>WS-23</v>
      </c>
      <c r="G17" s="58" t="str">
        <f>IFERROR(VLOOKUP($A17&amp;"-"&amp;G$2, 'S12 Operations'!$B$2:$E$534, 4, 0), "")</f>
        <v>WS-31</v>
      </c>
      <c r="H17" s="58" t="str">
        <f>IFERROR(VLOOKUP($A17&amp;"-"&amp;H$2, 'S12 Operations'!$B$2:$E$534, 4, 0), "")</f>
        <v>WS-32</v>
      </c>
      <c r="I17" s="58" t="str">
        <f>IFERROR(VLOOKUP($A17&amp;"-"&amp;I$2, 'S12 Operations'!$B$2:$E$534, 4, 0), "")</f>
        <v>WS-44</v>
      </c>
    </row>
    <row r="18" spans="1:9" s="44" customFormat="1" ht="17" x14ac:dyDescent="0.2">
      <c r="A18" s="57" t="str">
        <f>'S14 Clustering'!A18</f>
        <v>I-064</v>
      </c>
      <c r="B18" s="58" t="str">
        <f>IFERROR(VLOOKUP($A18&amp;"-"&amp;B$2, 'S12 Operations'!$B$2:$E$534, 4, 0), "")</f>
        <v>WS-43</v>
      </c>
      <c r="C18" s="58" t="str">
        <f>IFERROR(VLOOKUP($A18&amp;"-"&amp;C$2, 'S12 Operations'!$B$2:$E$534, 4, 0), "")</f>
        <v>WS-40</v>
      </c>
      <c r="D18" s="58" t="str">
        <f>IFERROR(VLOOKUP($A18&amp;"-"&amp;D$2, 'S12 Operations'!$B$2:$E$534, 4, 0), "")</f>
        <v>WS-04</v>
      </c>
      <c r="E18" s="58" t="str">
        <f>IFERROR(VLOOKUP($A18&amp;"-"&amp;E$2, 'S12 Operations'!$B$2:$E$534, 4, 0), "")</f>
        <v>WS-03</v>
      </c>
      <c r="F18" s="58" t="str">
        <f>IFERROR(VLOOKUP($A18&amp;"-"&amp;F$2, 'S12 Operations'!$B$2:$E$534, 4, 0), "")</f>
        <v>WS-23</v>
      </c>
      <c r="G18" s="58" t="str">
        <f>IFERROR(VLOOKUP($A18&amp;"-"&amp;G$2, 'S12 Operations'!$B$2:$E$534, 4, 0), "")</f>
        <v>WS-31</v>
      </c>
      <c r="H18" s="58" t="str">
        <f>IFERROR(VLOOKUP($A18&amp;"-"&amp;H$2, 'S12 Operations'!$B$2:$E$534, 4, 0), "")</f>
        <v>WS-32</v>
      </c>
      <c r="I18" s="58" t="str">
        <f>IFERROR(VLOOKUP($A18&amp;"-"&amp;I$2, 'S12 Operations'!$B$2:$E$534, 4, 0), "")</f>
        <v>WS-42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E573-B9CD-4741-ADC0-A377622AC2FC}">
  <sheetPr codeName="Sheet16"/>
  <dimension ref="A1:P29"/>
  <sheetViews>
    <sheetView zoomScale="150" zoomScaleNormal="100" workbookViewId="0">
      <selection activeCell="G13" sqref="G13"/>
    </sheetView>
  </sheetViews>
  <sheetFormatPr baseColWidth="10" defaultColWidth="11" defaultRowHeight="16" x14ac:dyDescent="0.2"/>
  <cols>
    <col min="1" max="1" width="14.5" customWidth="1"/>
    <col min="2" max="2" width="20.6640625" bestFit="1" customWidth="1"/>
    <col min="3" max="3" width="18.83203125" bestFit="1" customWidth="1"/>
    <col min="4" max="4" width="21.1640625" bestFit="1" customWidth="1"/>
    <col min="5" max="5" width="19.6640625" bestFit="1" customWidth="1"/>
    <col min="6" max="6" width="14" bestFit="1" customWidth="1"/>
    <col min="7" max="7" width="22.5" bestFit="1" customWidth="1"/>
    <col min="8" max="8" width="15.6640625" bestFit="1" customWidth="1"/>
    <col min="12" max="12" width="16.5" customWidth="1"/>
    <col min="13" max="13" width="14.1640625" bestFit="1" customWidth="1"/>
    <col min="15" max="15" width="27.33203125" customWidth="1"/>
  </cols>
  <sheetData>
    <row r="1" spans="1:16" x14ac:dyDescent="0.2">
      <c r="A1" s="1" t="s">
        <v>624</v>
      </c>
      <c r="B1" s="1" t="s">
        <v>828</v>
      </c>
      <c r="C1" s="1" t="s">
        <v>837</v>
      </c>
      <c r="D1" s="1" t="s">
        <v>838</v>
      </c>
      <c r="E1" s="199" t="s">
        <v>829</v>
      </c>
      <c r="F1" s="1" t="s">
        <v>831</v>
      </c>
      <c r="G1" s="200" t="s">
        <v>819</v>
      </c>
      <c r="H1" s="1" t="s">
        <v>865</v>
      </c>
      <c r="L1" s="5" t="s">
        <v>624</v>
      </c>
      <c r="M1" s="5" t="s">
        <v>819</v>
      </c>
      <c r="O1" s="5" t="s">
        <v>869</v>
      </c>
      <c r="P1" s="3">
        <v>1000</v>
      </c>
    </row>
    <row r="2" spans="1:16" x14ac:dyDescent="0.2">
      <c r="A2" s="201" t="s">
        <v>832</v>
      </c>
      <c r="B2" s="202" t="s">
        <v>833</v>
      </c>
      <c r="C2" s="202" t="s">
        <v>833</v>
      </c>
      <c r="D2" s="202" t="s">
        <v>834</v>
      </c>
      <c r="E2" s="203" t="s">
        <v>830</v>
      </c>
      <c r="F2" s="202" t="s">
        <v>835</v>
      </c>
      <c r="G2" s="204" t="s">
        <v>868</v>
      </c>
      <c r="H2" s="202" t="s">
        <v>866</v>
      </c>
      <c r="L2" s="3" t="s">
        <v>839</v>
      </c>
      <c r="M2" s="3">
        <v>1.6999999999999999E-3</v>
      </c>
    </row>
    <row r="3" spans="1:16" x14ac:dyDescent="0.2">
      <c r="A3" s="186" t="s">
        <v>814</v>
      </c>
      <c r="B3" s="69">
        <v>450</v>
      </c>
      <c r="C3" s="69">
        <v>250</v>
      </c>
      <c r="D3" s="69">
        <v>210</v>
      </c>
      <c r="E3" s="69">
        <v>140</v>
      </c>
      <c r="F3" s="187">
        <v>7.8</v>
      </c>
      <c r="G3" s="69">
        <f>F3*1000/$P$1</f>
        <v>7.8</v>
      </c>
      <c r="H3" s="162">
        <v>2435</v>
      </c>
      <c r="L3" s="3" t="s">
        <v>840</v>
      </c>
      <c r="M3" s="3">
        <v>1.2999999999999999E-3</v>
      </c>
    </row>
    <row r="4" spans="1:16" x14ac:dyDescent="0.2">
      <c r="A4" s="186" t="s">
        <v>815</v>
      </c>
      <c r="B4" s="69">
        <v>478</v>
      </c>
      <c r="C4" s="69">
        <v>910</v>
      </c>
      <c r="D4" s="69">
        <v>100</v>
      </c>
      <c r="E4" s="69">
        <v>85</v>
      </c>
      <c r="F4" s="187">
        <v>4.5</v>
      </c>
      <c r="G4" s="69">
        <f t="shared" ref="G4:G7" si="0">F4*1000/$P$1</f>
        <v>4.5</v>
      </c>
      <c r="H4" s="162">
        <v>57221</v>
      </c>
      <c r="L4" s="3" t="s">
        <v>841</v>
      </c>
      <c r="M4" s="3">
        <v>0.82</v>
      </c>
    </row>
    <row r="5" spans="1:16" x14ac:dyDescent="0.2">
      <c r="A5" s="186" t="s">
        <v>816</v>
      </c>
      <c r="B5" s="69">
        <v>2211</v>
      </c>
      <c r="C5" s="69">
        <v>260</v>
      </c>
      <c r="D5" s="69">
        <v>23</v>
      </c>
      <c r="E5" s="69">
        <v>38</v>
      </c>
      <c r="F5" s="187">
        <v>1.5</v>
      </c>
      <c r="G5" s="69">
        <f t="shared" si="0"/>
        <v>1.5</v>
      </c>
      <c r="H5" s="162">
        <v>14346</v>
      </c>
      <c r="L5" s="3" t="s">
        <v>842</v>
      </c>
      <c r="M5" s="3">
        <v>2.72</v>
      </c>
    </row>
    <row r="6" spans="1:16" x14ac:dyDescent="0.2">
      <c r="A6" s="186" t="s">
        <v>817</v>
      </c>
      <c r="B6" s="69">
        <v>1380</v>
      </c>
      <c r="C6" s="69">
        <v>621</v>
      </c>
      <c r="D6" s="69">
        <v>76</v>
      </c>
      <c r="E6" s="69">
        <v>39</v>
      </c>
      <c r="F6" s="187">
        <v>1.4</v>
      </c>
      <c r="G6" s="69">
        <f t="shared" si="0"/>
        <v>1.4</v>
      </c>
      <c r="H6" s="162">
        <v>42367</v>
      </c>
      <c r="L6" s="3" t="s">
        <v>843</v>
      </c>
      <c r="M6" s="3">
        <v>8.48</v>
      </c>
    </row>
    <row r="7" spans="1:16" x14ac:dyDescent="0.2">
      <c r="A7" s="186" t="s">
        <v>818</v>
      </c>
      <c r="B7" s="69">
        <v>530</v>
      </c>
      <c r="C7" s="69">
        <v>250</v>
      </c>
      <c r="D7" s="69">
        <v>26</v>
      </c>
      <c r="E7" s="69">
        <v>40</v>
      </c>
      <c r="F7" s="187">
        <v>1.8</v>
      </c>
      <c r="G7" s="69">
        <f t="shared" si="0"/>
        <v>1.8</v>
      </c>
      <c r="H7" s="162">
        <v>32456</v>
      </c>
      <c r="L7" s="3" t="s">
        <v>844</v>
      </c>
      <c r="M7" s="3">
        <v>8.57</v>
      </c>
    </row>
    <row r="8" spans="1:16" x14ac:dyDescent="0.2">
      <c r="A8" s="188"/>
      <c r="B8" s="66"/>
      <c r="C8" s="66"/>
      <c r="D8" s="66"/>
      <c r="E8" s="66"/>
      <c r="F8" s="189"/>
      <c r="G8" s="66"/>
      <c r="L8" s="3" t="s">
        <v>845</v>
      </c>
      <c r="M8" s="3">
        <v>1.98E-3</v>
      </c>
    </row>
    <row r="9" spans="1:16" x14ac:dyDescent="0.2">
      <c r="A9" s="188"/>
      <c r="B9" s="66"/>
      <c r="C9" s="66"/>
      <c r="D9" s="66"/>
      <c r="E9" s="66"/>
      <c r="F9" s="189"/>
      <c r="G9" s="66"/>
      <c r="L9" s="3" t="s">
        <v>846</v>
      </c>
      <c r="M9" s="3">
        <v>1.2600000000000001E-3</v>
      </c>
    </row>
    <row r="10" spans="1:16" x14ac:dyDescent="0.2">
      <c r="L10" s="3" t="s">
        <v>847</v>
      </c>
      <c r="M10" s="3">
        <v>7.2</v>
      </c>
    </row>
    <row r="11" spans="1:16" x14ac:dyDescent="0.2">
      <c r="L11" s="3" t="s">
        <v>848</v>
      </c>
      <c r="M11" s="3">
        <v>7.03</v>
      </c>
    </row>
    <row r="12" spans="1:16" x14ac:dyDescent="0.2">
      <c r="L12" s="3" t="s">
        <v>849</v>
      </c>
      <c r="M12" s="3">
        <v>8.7899999999999991</v>
      </c>
    </row>
    <row r="13" spans="1:16" x14ac:dyDescent="0.2">
      <c r="L13" s="3" t="s">
        <v>850</v>
      </c>
      <c r="M13" s="3">
        <v>9.0000000000000006E-5</v>
      </c>
    </row>
    <row r="14" spans="1:16" x14ac:dyDescent="0.2">
      <c r="L14" s="3" t="s">
        <v>851</v>
      </c>
      <c r="M14" s="3">
        <v>11.35</v>
      </c>
    </row>
    <row r="15" spans="1:16" x14ac:dyDescent="0.2">
      <c r="L15" s="3" t="s">
        <v>852</v>
      </c>
      <c r="M15" s="3">
        <v>13.59</v>
      </c>
    </row>
    <row r="16" spans="1:16" x14ac:dyDescent="0.2">
      <c r="L16" s="3" t="s">
        <v>853</v>
      </c>
      <c r="M16" s="3">
        <v>8.73</v>
      </c>
    </row>
    <row r="17" spans="12:13" x14ac:dyDescent="0.2">
      <c r="L17" s="3" t="s">
        <v>854</v>
      </c>
      <c r="M17" s="3">
        <v>1.25E-3</v>
      </c>
    </row>
    <row r="18" spans="12:13" x14ac:dyDescent="0.2">
      <c r="L18" s="3" t="s">
        <v>855</v>
      </c>
      <c r="M18" s="3">
        <v>1.1200000000000001</v>
      </c>
    </row>
    <row r="19" spans="12:13" x14ac:dyDescent="0.2">
      <c r="L19" s="3" t="s">
        <v>856</v>
      </c>
      <c r="M19" s="3">
        <v>1.4300000000000001E-3</v>
      </c>
    </row>
    <row r="20" spans="12:13" x14ac:dyDescent="0.2">
      <c r="L20" s="3" t="s">
        <v>857</v>
      </c>
      <c r="M20" s="3">
        <v>0.8</v>
      </c>
    </row>
    <row r="21" spans="12:13" x14ac:dyDescent="0.2">
      <c r="L21" s="3" t="s">
        <v>858</v>
      </c>
      <c r="M21" s="3">
        <v>0.72</v>
      </c>
    </row>
    <row r="22" spans="12:13" x14ac:dyDescent="0.2">
      <c r="L22" s="3" t="s">
        <v>859</v>
      </c>
      <c r="M22" s="3">
        <v>1.36</v>
      </c>
    </row>
    <row r="23" spans="12:13" x14ac:dyDescent="0.2">
      <c r="L23" s="3" t="s">
        <v>860</v>
      </c>
      <c r="M23" s="3">
        <v>0.96</v>
      </c>
    </row>
    <row r="24" spans="12:13" x14ac:dyDescent="0.2">
      <c r="L24" s="3" t="s">
        <v>622</v>
      </c>
      <c r="M24" s="3">
        <v>7.82</v>
      </c>
    </row>
    <row r="25" spans="12:13" x14ac:dyDescent="0.2">
      <c r="L25" s="3" t="s">
        <v>861</v>
      </c>
      <c r="M25" s="3">
        <v>7.28</v>
      </c>
    </row>
    <row r="26" spans="12:13" x14ac:dyDescent="0.2">
      <c r="L26" s="3" t="s">
        <v>867</v>
      </c>
      <c r="M26" s="3">
        <v>1</v>
      </c>
    </row>
    <row r="27" spans="12:13" x14ac:dyDescent="0.2">
      <c r="L27" s="3" t="s">
        <v>862</v>
      </c>
      <c r="M27" s="3">
        <v>1.0269999999999999</v>
      </c>
    </row>
    <row r="28" spans="12:13" x14ac:dyDescent="0.2">
      <c r="L28" s="3" t="s">
        <v>863</v>
      </c>
      <c r="M28" s="3">
        <v>0.77</v>
      </c>
    </row>
    <row r="29" spans="12:13" x14ac:dyDescent="0.2">
      <c r="L29" s="3" t="s">
        <v>864</v>
      </c>
      <c r="M29" s="3">
        <v>7.12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A3A6-96CC-8446-8244-488CE7BAD1EC}">
  <sheetPr codeName="Sheet17"/>
  <dimension ref="A1:I8"/>
  <sheetViews>
    <sheetView zoomScale="150" workbookViewId="0">
      <selection activeCell="F16" sqref="F16"/>
    </sheetView>
  </sheetViews>
  <sheetFormatPr baseColWidth="10" defaultColWidth="10.83203125" defaultRowHeight="16" x14ac:dyDescent="0.2"/>
  <cols>
    <col min="1" max="1" width="25.1640625" style="68" bestFit="1" customWidth="1"/>
    <col min="2" max="2" width="23.5" style="68" bestFit="1" customWidth="1"/>
    <col min="3" max="3" width="21.1640625" style="68" bestFit="1" customWidth="1"/>
    <col min="4" max="4" width="24.5" style="68" bestFit="1" customWidth="1"/>
    <col min="5" max="5" width="25.1640625" style="68" bestFit="1" customWidth="1"/>
    <col min="6" max="6" width="22" style="68" bestFit="1" customWidth="1"/>
    <col min="7" max="7" width="8.33203125" style="68" customWidth="1"/>
    <col min="8" max="8" width="12" style="68" bestFit="1" customWidth="1"/>
    <col min="9" max="9" width="16.83203125" style="68" bestFit="1" customWidth="1"/>
    <col min="10" max="16384" width="10.83203125" style="68"/>
  </cols>
  <sheetData>
    <row r="1" spans="1:9" x14ac:dyDescent="0.2">
      <c r="A1" s="190"/>
      <c r="B1" s="190" t="str">
        <f>'S16 Material Properties'!B1</f>
        <v>Tensile Strength</v>
      </c>
      <c r="C1" s="190" t="str">
        <f>'S16 Material Properties'!C1</f>
        <v>Yield Strength</v>
      </c>
      <c r="D1" s="190" t="str">
        <f>'S16 Material Properties'!D1</f>
        <v xml:space="preserve">Young’s Modulus </v>
      </c>
      <c r="E1" s="190" t="str">
        <f>'S16 Material Properties'!E1</f>
        <v xml:space="preserve">Toughness  </v>
      </c>
      <c r="F1" s="190" t="str">
        <f>'S16 Material Properties'!F1</f>
        <v xml:space="preserve">Density </v>
      </c>
      <c r="G1" s="190" t="s">
        <v>641</v>
      </c>
      <c r="H1" s="190" t="s">
        <v>169</v>
      </c>
      <c r="I1" s="190" t="s">
        <v>642</v>
      </c>
    </row>
    <row r="2" spans="1:9" x14ac:dyDescent="0.2">
      <c r="A2" s="191" t="str">
        <f t="array" ref="A2:A6">TRANSPOSE(B1:F1)</f>
        <v>Tensile Strength</v>
      </c>
      <c r="B2" s="192"/>
      <c r="C2" s="193">
        <v>1</v>
      </c>
      <c r="D2" s="193">
        <v>-1</v>
      </c>
      <c r="E2" s="193">
        <v>-1</v>
      </c>
      <c r="F2" s="193">
        <v>0</v>
      </c>
      <c r="G2" s="193">
        <f>SUM(B2:F2)</f>
        <v>-1</v>
      </c>
      <c r="H2" s="193" cm="1">
        <f t="array" ref="H2">G2+(ROUNDUP(MAX(ABS($G$2:$G$6)), -1))</f>
        <v>9</v>
      </c>
      <c r="I2" s="194">
        <f>H2/SUM($H$2:$H$6)</f>
        <v>0.18</v>
      </c>
    </row>
    <row r="3" spans="1:9" x14ac:dyDescent="0.2">
      <c r="A3" s="191" t="str">
        <v>Yield Strength</v>
      </c>
      <c r="B3" s="193">
        <f t="array" ref="B3:B6">TRANSPOSE(C2:F2)*-1</f>
        <v>-1</v>
      </c>
      <c r="C3" s="192"/>
      <c r="D3" s="193">
        <v>1</v>
      </c>
      <c r="E3" s="193">
        <v>0</v>
      </c>
      <c r="F3" s="193">
        <v>1</v>
      </c>
      <c r="G3" s="193">
        <f t="shared" ref="G3:G6" si="0">SUM(B3:F3)</f>
        <v>1</v>
      </c>
      <c r="H3" s="193" cm="1">
        <f t="array" ref="H3">G3+(ROUNDUP(MAX(ABS($G$2:$G$6)), -1))</f>
        <v>11</v>
      </c>
      <c r="I3" s="194">
        <f t="shared" ref="I3:I6" si="1">H3/SUM($H$2:$H$6)</f>
        <v>0.22</v>
      </c>
    </row>
    <row r="4" spans="1:9" x14ac:dyDescent="0.2">
      <c r="A4" s="191" t="str">
        <v xml:space="preserve">Young’s Modulus </v>
      </c>
      <c r="B4" s="193">
        <v>1</v>
      </c>
      <c r="C4" s="193">
        <f t="array" ref="C4:C6">TRANSPOSE(D3:F3)*-1</f>
        <v>-1</v>
      </c>
      <c r="D4" s="192"/>
      <c r="E4" s="193">
        <v>1</v>
      </c>
      <c r="F4" s="193">
        <v>-1</v>
      </c>
      <c r="G4" s="193">
        <f t="shared" si="0"/>
        <v>0</v>
      </c>
      <c r="H4" s="193" cm="1">
        <f t="array" ref="H4">G4+(ROUNDUP(MAX(ABS($G$2:$G$6)), -1))</f>
        <v>10</v>
      </c>
      <c r="I4" s="194">
        <f t="shared" si="1"/>
        <v>0.2</v>
      </c>
    </row>
    <row r="5" spans="1:9" x14ac:dyDescent="0.2">
      <c r="A5" s="191" t="str">
        <v xml:space="preserve">Toughness  </v>
      </c>
      <c r="B5" s="193">
        <v>1</v>
      </c>
      <c r="C5" s="193">
        <v>0</v>
      </c>
      <c r="D5" s="193">
        <f t="array" ref="D5:D6">TRANSPOSE(E4:F4)*-1</f>
        <v>-1</v>
      </c>
      <c r="E5" s="192"/>
      <c r="F5" s="193">
        <v>1</v>
      </c>
      <c r="G5" s="193">
        <f t="shared" si="0"/>
        <v>1</v>
      </c>
      <c r="H5" s="193" cm="1">
        <f t="array" ref="H5">G5+(ROUNDUP(MAX(ABS($G$2:$G$6)), -1))</f>
        <v>11</v>
      </c>
      <c r="I5" s="194">
        <f t="shared" si="1"/>
        <v>0.22</v>
      </c>
    </row>
    <row r="6" spans="1:9" x14ac:dyDescent="0.2">
      <c r="A6" s="191" t="str">
        <v xml:space="preserve">Density </v>
      </c>
      <c r="B6" s="193">
        <v>0</v>
      </c>
      <c r="C6" s="193">
        <v>-1</v>
      </c>
      <c r="D6" s="193">
        <v>1</v>
      </c>
      <c r="E6" s="193">
        <f>F5*-1</f>
        <v>-1</v>
      </c>
      <c r="F6" s="192"/>
      <c r="G6" s="193">
        <f t="shared" si="0"/>
        <v>-1</v>
      </c>
      <c r="H6" s="193" cm="1">
        <f t="array" ref="H6">G6+(ROUNDUP(MAX(ABS($G$2:$G$6)), -1))</f>
        <v>9</v>
      </c>
      <c r="I6" s="194">
        <f t="shared" si="1"/>
        <v>0.18</v>
      </c>
    </row>
    <row r="7" spans="1:9" x14ac:dyDescent="0.2">
      <c r="A7" s="190"/>
      <c r="B7" s="194"/>
      <c r="C7" s="194"/>
      <c r="D7" s="194"/>
      <c r="E7" s="194"/>
      <c r="F7" s="194"/>
      <c r="G7" s="193"/>
      <c r="H7" s="193"/>
      <c r="I7" s="193"/>
    </row>
    <row r="8" spans="1:9" x14ac:dyDescent="0.2">
      <c r="B8" s="195"/>
      <c r="C8" s="195"/>
      <c r="D8" s="195"/>
      <c r="E8" s="195"/>
      <c r="F8" s="195"/>
      <c r="G8" s="19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81A4D-6FD6-054B-854B-ECF3359903C6}">
  <sheetPr codeName="Sheet18"/>
  <dimension ref="A1:G8"/>
  <sheetViews>
    <sheetView zoomScale="158" workbookViewId="0">
      <selection activeCell="G4" sqref="G4"/>
    </sheetView>
  </sheetViews>
  <sheetFormatPr baseColWidth="10" defaultColWidth="11" defaultRowHeight="16" x14ac:dyDescent="0.2"/>
  <cols>
    <col min="1" max="1" width="15.83203125" style="66" bestFit="1" customWidth="1"/>
    <col min="2" max="3" width="22.6640625" bestFit="1" customWidth="1"/>
    <col min="4" max="4" width="24.83203125" bestFit="1" customWidth="1"/>
    <col min="5" max="5" width="23.5" bestFit="1" customWidth="1"/>
    <col min="6" max="6" width="14.83203125" bestFit="1" customWidth="1"/>
    <col min="7" max="7" width="19.83203125" bestFit="1" customWidth="1"/>
    <col min="8" max="8" width="11.1640625" customWidth="1"/>
  </cols>
  <sheetData>
    <row r="1" spans="1:7" x14ac:dyDescent="0.2">
      <c r="B1">
        <f>ROUND(VLOOKUP(B3, 'S17 Mat. Prop. Weights'!$A$2:$I$6, 9, 0), 2)</f>
        <v>0.18</v>
      </c>
      <c r="C1">
        <f>ROUND(VLOOKUP(C3, 'S17 Mat. Prop. Weights'!$A$2:$I$6, 9, 0), 2)</f>
        <v>0.22</v>
      </c>
      <c r="D1">
        <f>ROUND(VLOOKUP(D3, 'S17 Mat. Prop. Weights'!$A$2:$I$6, 9, 0), 2)</f>
        <v>0.2</v>
      </c>
      <c r="E1">
        <f>ROUND(VLOOKUP(E3, 'S17 Mat. Prop. Weights'!$A$2:$I$6, 9, 0), 2)</f>
        <v>0.22</v>
      </c>
      <c r="F1">
        <f>ROUND(VLOOKUP(F3, 'S17 Mat. Prop. Weights'!$A$2:$I$6, 9, 0), 2)</f>
        <v>0.18</v>
      </c>
    </row>
    <row r="2" spans="1:7" s="66" customFormat="1" x14ac:dyDescent="0.2">
      <c r="A2" s="318"/>
      <c r="B2" s="207" t="s">
        <v>836</v>
      </c>
      <c r="C2" s="207" t="s">
        <v>836</v>
      </c>
      <c r="D2" s="207" t="s">
        <v>836</v>
      </c>
      <c r="E2" s="207" t="s">
        <v>836</v>
      </c>
      <c r="F2" s="208" t="s">
        <v>836</v>
      </c>
      <c r="G2" s="316" t="s">
        <v>820</v>
      </c>
    </row>
    <row r="3" spans="1:7" s="66" customFormat="1" x14ac:dyDescent="0.2">
      <c r="A3" s="319"/>
      <c r="B3" s="209" t="str">
        <f>'S16 Material Properties'!B1</f>
        <v>Tensile Strength</v>
      </c>
      <c r="C3" s="209" t="str">
        <f>'S16 Material Properties'!C1</f>
        <v>Yield Strength</v>
      </c>
      <c r="D3" s="209" t="str">
        <f>'S16 Material Properties'!D1</f>
        <v xml:space="preserve">Young’s Modulus </v>
      </c>
      <c r="E3" s="209" t="str">
        <f>'S16 Material Properties'!E1</f>
        <v xml:space="preserve">Toughness  </v>
      </c>
      <c r="F3" s="209" t="str">
        <f>'S16 Material Properties'!F1</f>
        <v xml:space="preserve">Density </v>
      </c>
      <c r="G3" s="317"/>
    </row>
    <row r="4" spans="1:7" x14ac:dyDescent="0.2">
      <c r="A4" s="196" t="str">
        <f>'S16 Material Properties'!A3</f>
        <v xml:space="preserve">Steel 1020 </v>
      </c>
      <c r="B4" s="3">
        <f>ROUND(VLOOKUP($A4, 'S16 Material Properties'!$A$3:$F$7, COLUMN(), 0) / MAX('S16 Material Properties'!B$3:B$7) *100, 2)</f>
        <v>20.350000000000001</v>
      </c>
      <c r="C4" s="3">
        <f>ROUND(VLOOKUP($A4, 'S16 Material Properties'!$A$3:$F$7, COLUMN(), 0) / MAX('S16 Material Properties'!C$3:C$7) *100, 2)</f>
        <v>27.47</v>
      </c>
      <c r="D4" s="3">
        <f>ROUND(VLOOKUP($A4, 'S16 Material Properties'!$A$3:$F$7, COLUMN(), 0) / MAX('S16 Material Properties'!D$3:D$7) *100, 2)</f>
        <v>100</v>
      </c>
      <c r="E4" s="3">
        <f>ROUND(VLOOKUP($A4, 'S16 Material Properties'!$A$3:$F$7, COLUMN(), 0) / MAX('S16 Material Properties'!E$3:E$7) *100, 2)</f>
        <v>100</v>
      </c>
      <c r="F4" s="3">
        <f>ROUND(VLOOKUP($A4, 'S16 Material Properties'!$A$3:$F$7, COLUMN(), 0) / MAX('S16 Material Properties'!F$3:F$7) *100, 2)</f>
        <v>100</v>
      </c>
      <c r="G4" s="3">
        <f>$B4*B$1+$C4*C$1+$D4*D$1+$E4*E$1+$F4*F$1</f>
        <v>69.706400000000002</v>
      </c>
    </row>
    <row r="5" spans="1:7" x14ac:dyDescent="0.2">
      <c r="A5" s="196" t="str">
        <f>'S16 Material Properties'!A4</f>
        <v xml:space="preserve">Ti-alloy </v>
      </c>
      <c r="B5" s="3">
        <f>ROUND(VLOOKUP($A5, 'S16 Material Properties'!$A$3:$F$7, COLUMN(), 0) / MAX('S16 Material Properties'!B$3:B$7) *100, 2)</f>
        <v>21.62</v>
      </c>
      <c r="C5" s="3">
        <f>ROUND(VLOOKUP($A5, 'S16 Material Properties'!$A$3:$F$7, COLUMN(), 0) / MAX('S16 Material Properties'!C$3:C$7) *100, 2)</f>
        <v>100</v>
      </c>
      <c r="D5" s="3">
        <f>ROUND(VLOOKUP($A5, 'S16 Material Properties'!$A$3:$F$7, COLUMN(), 0) / MAX('S16 Material Properties'!D$3:D$7) *100, 2)</f>
        <v>47.62</v>
      </c>
      <c r="E5" s="3">
        <f>ROUND(VLOOKUP($A5, 'S16 Material Properties'!$A$3:$F$7, COLUMN(), 0) / MAX('S16 Material Properties'!E$3:E$7) *100, 2)</f>
        <v>60.71</v>
      </c>
      <c r="F5" s="3">
        <f>ROUND(VLOOKUP($A5, 'S16 Material Properties'!$A$3:$F$7, COLUMN(), 0) / MAX('S16 Material Properties'!F$3:F$7) *100, 2)</f>
        <v>57.69</v>
      </c>
      <c r="G5" s="3">
        <f t="shared" ref="G5:G8" si="0">$B5*B$1+$C5*C$1+$D5*D$1+$E5*E$1+$F5*F$1</f>
        <v>59.155999999999999</v>
      </c>
    </row>
    <row r="6" spans="1:7" x14ac:dyDescent="0.2">
      <c r="A6" s="196" t="str">
        <f>'S16 Material Properties'!A5</f>
        <v xml:space="preserve">CFRP </v>
      </c>
      <c r="B6" s="3">
        <f>ROUND(VLOOKUP($A6, 'S16 Material Properties'!$A$3:$F$7, COLUMN(), 0) / MAX('S16 Material Properties'!B$3:B$7) *100, 2)</f>
        <v>100</v>
      </c>
      <c r="C6" s="3">
        <f>ROUND(VLOOKUP($A6, 'S16 Material Properties'!$A$3:$F$7, COLUMN(), 0) / MAX('S16 Material Properties'!C$3:C$7) *100, 2)</f>
        <v>28.57</v>
      </c>
      <c r="D6" s="3">
        <f>ROUND(VLOOKUP($A6, 'S16 Material Properties'!$A$3:$F$7, COLUMN(), 0) / MAX('S16 Material Properties'!D$3:D$7) *100, 2)</f>
        <v>10.95</v>
      </c>
      <c r="E6" s="3">
        <f>ROUND(VLOOKUP($A6, 'S16 Material Properties'!$A$3:$F$7, COLUMN(), 0) / MAX('S16 Material Properties'!E$3:E$7) *100, 2)</f>
        <v>27.14</v>
      </c>
      <c r="F6" s="3">
        <f>ROUND(VLOOKUP($A6, 'S16 Material Properties'!$A$3:$F$7, COLUMN(), 0) / MAX('S16 Material Properties'!F$3:F$7) *100, 2)</f>
        <v>19.23</v>
      </c>
      <c r="G6" s="3">
        <f t="shared" si="0"/>
        <v>35.907600000000002</v>
      </c>
    </row>
    <row r="7" spans="1:7" x14ac:dyDescent="0.2">
      <c r="A7" s="196" t="str">
        <f>'S16 Material Properties'!A6</f>
        <v xml:space="preserve">KFRP </v>
      </c>
      <c r="B7" s="3">
        <f>ROUND(VLOOKUP($A7, 'S16 Material Properties'!$A$3:$F$7, COLUMN(), 0) / MAX('S16 Material Properties'!B$3:B$7) *100, 2)</f>
        <v>62.42</v>
      </c>
      <c r="C7" s="3">
        <f>ROUND(VLOOKUP($A7, 'S16 Material Properties'!$A$3:$F$7, COLUMN(), 0) / MAX('S16 Material Properties'!C$3:C$7) *100, 2)</f>
        <v>68.239999999999995</v>
      </c>
      <c r="D7" s="3">
        <f>ROUND(VLOOKUP($A7, 'S16 Material Properties'!$A$3:$F$7, COLUMN(), 0) / MAX('S16 Material Properties'!D$3:D$7) *100, 2)</f>
        <v>36.19</v>
      </c>
      <c r="E7" s="3">
        <f>ROUND(VLOOKUP($A7, 'S16 Material Properties'!$A$3:$F$7, COLUMN(), 0) / MAX('S16 Material Properties'!E$3:E$7) *100, 2)</f>
        <v>27.86</v>
      </c>
      <c r="F7" s="3">
        <f>ROUND(VLOOKUP($A7, 'S16 Material Properties'!$A$3:$F$7, COLUMN(), 0) / MAX('S16 Material Properties'!F$3:F$7) *100, 2)</f>
        <v>17.95</v>
      </c>
      <c r="G7" s="3">
        <f t="shared" si="0"/>
        <v>42.846599999999995</v>
      </c>
    </row>
    <row r="8" spans="1:7" x14ac:dyDescent="0.2">
      <c r="A8" s="196" t="str">
        <f>'S16 Material Properties'!A7</f>
        <v xml:space="preserve">GFRP </v>
      </c>
      <c r="B8" s="3">
        <f>ROUND(VLOOKUP($A8, 'S16 Material Properties'!$A$3:$F$7, COLUMN(), 0) / MAX('S16 Material Properties'!B$3:B$7) *100, 2)</f>
        <v>23.97</v>
      </c>
      <c r="C8" s="3">
        <f>ROUND(VLOOKUP($A8, 'S16 Material Properties'!$A$3:$F$7, COLUMN(), 0) / MAX('S16 Material Properties'!C$3:C$7) *100, 2)</f>
        <v>27.47</v>
      </c>
      <c r="D8" s="3">
        <f>ROUND(VLOOKUP($A8, 'S16 Material Properties'!$A$3:$F$7, COLUMN(), 0) / MAX('S16 Material Properties'!D$3:D$7) *100, 2)</f>
        <v>12.38</v>
      </c>
      <c r="E8" s="3">
        <f>ROUND(VLOOKUP($A8, 'S16 Material Properties'!$A$3:$F$7, COLUMN(), 0) / MAX('S16 Material Properties'!E$3:E$7) *100, 2)</f>
        <v>28.57</v>
      </c>
      <c r="F8" s="3">
        <f>ROUND(VLOOKUP($A8, 'S16 Material Properties'!$A$3:$F$7, COLUMN(), 0) / MAX('S16 Material Properties'!F$3:F$7) *100, 2)</f>
        <v>23.08</v>
      </c>
      <c r="G8" s="3">
        <f t="shared" si="0"/>
        <v>23.273800000000001</v>
      </c>
    </row>
  </sheetData>
  <mergeCells count="2">
    <mergeCell ref="G2:G3"/>
    <mergeCell ref="A2:A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3789-DD96-FD4C-8BB0-DD960F4286CF}">
  <sheetPr codeName="Sheet19"/>
  <dimension ref="A1:F8"/>
  <sheetViews>
    <sheetView zoomScale="140" workbookViewId="0">
      <selection activeCell="E4" sqref="E4"/>
    </sheetView>
  </sheetViews>
  <sheetFormatPr baseColWidth="10" defaultColWidth="11" defaultRowHeight="16" x14ac:dyDescent="0.2"/>
  <cols>
    <col min="1" max="1" width="17.1640625" customWidth="1"/>
    <col min="2" max="2" width="25.5" bestFit="1" customWidth="1"/>
    <col min="3" max="3" width="28.83203125" bestFit="1" customWidth="1"/>
    <col min="4" max="4" width="29.83203125" bestFit="1" customWidth="1"/>
    <col min="5" max="5" width="19.33203125" bestFit="1" customWidth="1"/>
    <col min="6" max="6" width="33.1640625" bestFit="1" customWidth="1"/>
  </cols>
  <sheetData>
    <row r="1" spans="1:6" ht="34" x14ac:dyDescent="0.2">
      <c r="A1" s="206" t="s">
        <v>871</v>
      </c>
      <c r="B1" s="40">
        <v>2.5</v>
      </c>
    </row>
    <row r="3" spans="1:6" x14ac:dyDescent="0.2">
      <c r="A3" s="205" t="s">
        <v>821</v>
      </c>
      <c r="B3" s="205" t="s">
        <v>813</v>
      </c>
      <c r="C3" s="205" t="s">
        <v>822</v>
      </c>
      <c r="D3" s="205" t="s">
        <v>870</v>
      </c>
      <c r="E3" s="205" t="s">
        <v>823</v>
      </c>
      <c r="F3" s="205" t="s">
        <v>824</v>
      </c>
    </row>
    <row r="4" spans="1:6" x14ac:dyDescent="0.2">
      <c r="A4" s="186" t="str">
        <f>'S16 Material Properties'!A3</f>
        <v xml:space="preserve">Steel 1020 </v>
      </c>
      <c r="B4" s="69">
        <f>VLOOKUP(A4, 'S16 Material Properties'!$A$3:$C$7, 3, 0)</f>
        <v>250</v>
      </c>
      <c r="C4" s="187">
        <f>B4/$B$1</f>
        <v>100</v>
      </c>
      <c r="D4" s="197">
        <f>VLOOKUP(A4, 'S16 Material Properties'!$A$3:$G$7, 7, 0)</f>
        <v>7.8</v>
      </c>
      <c r="E4" s="69">
        <f>ROUND(VLOOKUP(A4, 'S16 Material Properties'!$A$3:$H$7, 8, 0) / MIN('S16 Material Properties'!$H$3:$H$7), 2)</f>
        <v>1</v>
      </c>
      <c r="F4" s="198">
        <f>D4/C4*E4</f>
        <v>7.8E-2</v>
      </c>
    </row>
    <row r="5" spans="1:6" x14ac:dyDescent="0.2">
      <c r="A5" s="186" t="str">
        <f>'S16 Material Properties'!A4</f>
        <v xml:space="preserve">Ti-alloy </v>
      </c>
      <c r="B5" s="69">
        <f>VLOOKUP(A5, 'S16 Material Properties'!$A$3:$C$7, 3, 0)</f>
        <v>910</v>
      </c>
      <c r="C5" s="187">
        <f t="shared" ref="C5:C8" si="0">B5/$B$1</f>
        <v>364</v>
      </c>
      <c r="D5" s="197">
        <f>VLOOKUP(A5, 'S16 Material Properties'!$A$3:$G$7, 7, 0)</f>
        <v>4.5</v>
      </c>
      <c r="E5" s="69">
        <f>ROUND(VLOOKUP(A5, 'S16 Material Properties'!$A$3:$H$7, 8, 0) / MIN('S16 Material Properties'!$H$3:$H$7), 2)</f>
        <v>23.5</v>
      </c>
      <c r="F5" s="198">
        <f t="shared" ref="F5:F8" si="1">D5/C5*E5</f>
        <v>0.29052197802197799</v>
      </c>
    </row>
    <row r="6" spans="1:6" x14ac:dyDescent="0.2">
      <c r="A6" s="186" t="str">
        <f>'S16 Material Properties'!A5</f>
        <v xml:space="preserve">CFRP </v>
      </c>
      <c r="B6" s="69">
        <f>VLOOKUP(A6, 'S16 Material Properties'!$A$3:$C$7, 3, 0)</f>
        <v>260</v>
      </c>
      <c r="C6" s="187">
        <f t="shared" si="0"/>
        <v>104</v>
      </c>
      <c r="D6" s="197">
        <f>VLOOKUP(A6, 'S16 Material Properties'!$A$3:$G$7, 7, 0)</f>
        <v>1.5</v>
      </c>
      <c r="E6" s="69">
        <f>ROUND(VLOOKUP(A6, 'S16 Material Properties'!$A$3:$H$7, 8, 0) / MIN('S16 Material Properties'!$H$3:$H$7), 2)</f>
        <v>5.89</v>
      </c>
      <c r="F6" s="198">
        <f t="shared" si="1"/>
        <v>8.4951923076923078E-2</v>
      </c>
    </row>
    <row r="7" spans="1:6" x14ac:dyDescent="0.2">
      <c r="A7" s="186" t="str">
        <f>'S16 Material Properties'!A6</f>
        <v xml:space="preserve">KFRP </v>
      </c>
      <c r="B7" s="69">
        <f>VLOOKUP(A7, 'S16 Material Properties'!$A$3:$C$7, 3, 0)</f>
        <v>621</v>
      </c>
      <c r="C7" s="187">
        <f t="shared" si="0"/>
        <v>248.4</v>
      </c>
      <c r="D7" s="197">
        <f>VLOOKUP(A7, 'S16 Material Properties'!$A$3:$G$7, 7, 0)</f>
        <v>1.4</v>
      </c>
      <c r="E7" s="69">
        <f>ROUND(VLOOKUP(A7, 'S16 Material Properties'!$A$3:$H$7, 8, 0) / MIN('S16 Material Properties'!$H$3:$H$7), 2)</f>
        <v>17.399999999999999</v>
      </c>
      <c r="F7" s="198">
        <f t="shared" si="1"/>
        <v>9.8067632850241532E-2</v>
      </c>
    </row>
    <row r="8" spans="1:6" x14ac:dyDescent="0.2">
      <c r="A8" s="186" t="str">
        <f>'S16 Material Properties'!A7</f>
        <v xml:space="preserve">GFRP </v>
      </c>
      <c r="B8" s="69">
        <f>VLOOKUP(A8, 'S16 Material Properties'!$A$3:$C$7, 3, 0)</f>
        <v>250</v>
      </c>
      <c r="C8" s="187">
        <f t="shared" si="0"/>
        <v>100</v>
      </c>
      <c r="D8" s="197">
        <f>VLOOKUP(A8, 'S16 Material Properties'!$A$3:$G$7, 7, 0)</f>
        <v>1.8</v>
      </c>
      <c r="E8" s="69">
        <f>ROUND(VLOOKUP(A8, 'S16 Material Properties'!$A$3:$H$7, 8, 0) / MIN('S16 Material Properties'!$H$3:$H$7), 2)</f>
        <v>13.33</v>
      </c>
      <c r="F8" s="198">
        <f t="shared" si="1"/>
        <v>0.23994000000000004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39BC-15B0-344A-A6F3-AF0D3BFD2184}">
  <sheetPr codeName="Sheet20"/>
  <dimension ref="A1:E6"/>
  <sheetViews>
    <sheetView zoomScale="150" zoomScaleNormal="174" workbookViewId="0">
      <selection activeCell="A4" sqref="A4"/>
    </sheetView>
  </sheetViews>
  <sheetFormatPr baseColWidth="10" defaultColWidth="11" defaultRowHeight="16" x14ac:dyDescent="0.2"/>
  <cols>
    <col min="1" max="1" width="15.83203125" style="66" bestFit="1" customWidth="1"/>
    <col min="2" max="2" width="13.83203125" bestFit="1" customWidth="1"/>
    <col min="3" max="3" width="33.83203125" bestFit="1" customWidth="1"/>
    <col min="4" max="4" width="19.83203125" bestFit="1" customWidth="1"/>
    <col min="5" max="5" width="13.5" bestFit="1" customWidth="1"/>
  </cols>
  <sheetData>
    <row r="1" spans="1:5" s="66" customFormat="1" x14ac:dyDescent="0.2">
      <c r="A1" s="5" t="s">
        <v>825</v>
      </c>
      <c r="B1" s="5" t="s">
        <v>823</v>
      </c>
      <c r="C1" s="5" t="s">
        <v>826</v>
      </c>
      <c r="D1" s="5" t="s">
        <v>820</v>
      </c>
      <c r="E1" s="5" t="s">
        <v>827</v>
      </c>
    </row>
    <row r="2" spans="1:5" x14ac:dyDescent="0.2">
      <c r="A2" s="196" t="str">
        <f>'S16 Material Properties'!A3</f>
        <v xml:space="preserve">Steel 1020 </v>
      </c>
      <c r="B2" s="3">
        <f>VLOOKUP(A2, 'S19 Mat. Cost per Strength'!$A$4:$E$85, 5, 0)</f>
        <v>1</v>
      </c>
      <c r="C2" s="3">
        <f>ROUND(VLOOKUP(A2, 'S19 Mat. Cost per Strength'!$A$4:$F$8, 6, 0)*100, 2)</f>
        <v>7.8</v>
      </c>
      <c r="D2" s="3">
        <f>VLOOKUP(A2, 'S18 Mat. Perf. Index'!$A$4:$G$8, 7, 0)</f>
        <v>69.706400000000002</v>
      </c>
      <c r="E2" s="3">
        <f>ROUNDUP(D2/C2, 0)</f>
        <v>9</v>
      </c>
    </row>
    <row r="3" spans="1:5" x14ac:dyDescent="0.2">
      <c r="A3" s="196" t="str">
        <f>'S16 Material Properties'!A4</f>
        <v xml:space="preserve">Ti-alloy </v>
      </c>
      <c r="B3" s="3">
        <f>VLOOKUP(A3, 'S19 Mat. Cost per Strength'!$A$4:$E$85, 5, 0)</f>
        <v>23.5</v>
      </c>
      <c r="C3" s="3">
        <f>ROUND(VLOOKUP(A3, 'S19 Mat. Cost per Strength'!$A$4:$F$8, 6, 0)*100, 2)</f>
        <v>29.05</v>
      </c>
      <c r="D3" s="3">
        <f>VLOOKUP(A3, 'S18 Mat. Perf. Index'!$A$4:$G$8, 7, 0)</f>
        <v>59.155999999999999</v>
      </c>
      <c r="E3" s="3">
        <f t="shared" ref="E3:E6" si="0">ROUNDUP(D3/C3, 0)</f>
        <v>3</v>
      </c>
    </row>
    <row r="4" spans="1:5" x14ac:dyDescent="0.2">
      <c r="A4" s="196" t="str">
        <f>'S16 Material Properties'!A5</f>
        <v xml:space="preserve">CFRP </v>
      </c>
      <c r="B4" s="3">
        <f>VLOOKUP(A4, 'S19 Mat. Cost per Strength'!$A$4:$E$85, 5, 0)</f>
        <v>5.89</v>
      </c>
      <c r="C4" s="3">
        <f>ROUND(VLOOKUP(A4, 'S19 Mat. Cost per Strength'!$A$4:$F$8, 6, 0)*100, 2)</f>
        <v>8.5</v>
      </c>
      <c r="D4" s="3">
        <f>VLOOKUP(A4, 'S18 Mat. Perf. Index'!$A$4:$G$8, 7, 0)</f>
        <v>35.907600000000002</v>
      </c>
      <c r="E4" s="3">
        <f t="shared" si="0"/>
        <v>5</v>
      </c>
    </row>
    <row r="5" spans="1:5" x14ac:dyDescent="0.2">
      <c r="A5" s="196" t="str">
        <f>'S16 Material Properties'!A6</f>
        <v xml:space="preserve">KFRP </v>
      </c>
      <c r="B5" s="3">
        <f>VLOOKUP(A5, 'S19 Mat. Cost per Strength'!$A$4:$E$85, 5, 0)</f>
        <v>17.399999999999999</v>
      </c>
      <c r="C5" s="3">
        <f>ROUND(VLOOKUP(A5, 'S19 Mat. Cost per Strength'!$A$4:$F$8, 6, 0)*100, 2)</f>
        <v>9.81</v>
      </c>
      <c r="D5" s="3">
        <f>VLOOKUP(A5, 'S18 Mat. Perf. Index'!$A$4:$G$8, 7, 0)</f>
        <v>42.846599999999995</v>
      </c>
      <c r="E5" s="3">
        <f t="shared" si="0"/>
        <v>5</v>
      </c>
    </row>
    <row r="6" spans="1:5" x14ac:dyDescent="0.2">
      <c r="A6" s="196" t="str">
        <f>'S16 Material Properties'!A7</f>
        <v xml:space="preserve">GFRP </v>
      </c>
      <c r="B6" s="3">
        <f>VLOOKUP(A6, 'S19 Mat. Cost per Strength'!$A$4:$E$85, 5, 0)</f>
        <v>13.33</v>
      </c>
      <c r="C6" s="3">
        <f>ROUND(VLOOKUP(A6, 'S19 Mat. Cost per Strength'!$A$4:$F$8, 6, 0)*100, 2)</f>
        <v>23.99</v>
      </c>
      <c r="D6" s="3">
        <f>VLOOKUP(A6, 'S18 Mat. Perf. Index'!$A$4:$G$8, 7, 0)</f>
        <v>23.273800000000001</v>
      </c>
      <c r="E6" s="3">
        <f t="shared" si="0"/>
        <v>1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1BB0-653C-8F4F-90FA-9BE99B53C0A5}">
  <sheetPr codeName="Sheet21"/>
  <dimension ref="A1:V27"/>
  <sheetViews>
    <sheetView zoomScale="165" workbookViewId="0">
      <selection activeCell="A3" sqref="A3"/>
    </sheetView>
  </sheetViews>
  <sheetFormatPr baseColWidth="10" defaultColWidth="10.83203125" defaultRowHeight="16" x14ac:dyDescent="0.2"/>
  <cols>
    <col min="1" max="1" width="18" style="44" bestFit="1" customWidth="1"/>
    <col min="2" max="2" width="18.83203125" style="44" customWidth="1"/>
    <col min="3" max="3" width="20.6640625" style="44" customWidth="1"/>
    <col min="4" max="4" width="18.33203125" style="44" bestFit="1" customWidth="1"/>
    <col min="5" max="5" width="6.6640625" style="44" customWidth="1"/>
    <col min="6" max="6" width="10.83203125" style="44"/>
    <col min="7" max="7" width="12" style="44" bestFit="1" customWidth="1"/>
    <col min="8" max="8" width="12" style="44" customWidth="1"/>
    <col min="9" max="9" width="17.1640625" style="44" bestFit="1" customWidth="1"/>
    <col min="10" max="11" width="17.1640625" style="44" customWidth="1"/>
    <col min="12" max="14" width="19" style="44" customWidth="1"/>
    <col min="15" max="15" width="8.83203125" style="44" customWidth="1"/>
    <col min="16" max="16" width="7.5" style="44" customWidth="1"/>
    <col min="17" max="17" width="6.6640625" style="44" customWidth="1"/>
    <col min="18" max="18" width="10" style="44" customWidth="1"/>
    <col min="19" max="19" width="16.83203125" style="44" customWidth="1"/>
    <col min="20" max="20" width="18.33203125" style="44" bestFit="1" customWidth="1"/>
    <col min="21" max="21" width="17.5" style="44" bestFit="1" customWidth="1"/>
    <col min="22" max="22" width="8" style="44" customWidth="1"/>
    <col min="23" max="16384" width="10.83203125" style="44"/>
  </cols>
  <sheetData>
    <row r="1" spans="1:22" ht="51" customHeight="1" x14ac:dyDescent="0.2">
      <c r="A1" s="210" t="s">
        <v>872</v>
      </c>
      <c r="B1" s="210" t="s">
        <v>873</v>
      </c>
      <c r="C1" s="210" t="s">
        <v>874</v>
      </c>
      <c r="D1" s="210" t="s">
        <v>875</v>
      </c>
      <c r="F1" s="210" t="s">
        <v>876</v>
      </c>
      <c r="G1" s="210" t="s">
        <v>877</v>
      </c>
      <c r="H1" s="210" t="s">
        <v>923</v>
      </c>
      <c r="I1" s="210" t="s">
        <v>878</v>
      </c>
      <c r="J1" s="210" t="s">
        <v>879</v>
      </c>
      <c r="K1" s="210" t="s">
        <v>924</v>
      </c>
      <c r="L1" s="210" t="s">
        <v>880</v>
      </c>
      <c r="M1" s="210" t="s">
        <v>881</v>
      </c>
      <c r="N1" s="210" t="s">
        <v>925</v>
      </c>
      <c r="O1" s="67"/>
      <c r="P1" s="211" t="s">
        <v>882</v>
      </c>
      <c r="Q1" s="212" t="s">
        <v>883</v>
      </c>
      <c r="R1" s="213" t="s">
        <v>884</v>
      </c>
      <c r="S1" s="210" t="s">
        <v>879</v>
      </c>
      <c r="T1" s="210" t="s">
        <v>881</v>
      </c>
      <c r="U1" s="210" t="s">
        <v>885</v>
      </c>
      <c r="V1" s="210" t="s">
        <v>886</v>
      </c>
    </row>
    <row r="2" spans="1:22" x14ac:dyDescent="0.2">
      <c r="A2" s="214">
        <v>201</v>
      </c>
      <c r="B2" s="214">
        <f>VLOOKUP(A2, R2:S27, 2, 1)</f>
        <v>62</v>
      </c>
      <c r="C2" s="214">
        <f>VLOOKUP(A2, R2:U27, 4, 1)</f>
        <v>56</v>
      </c>
      <c r="D2" s="215" t="str">
        <f>VLOOKUP(A2, R2:V27, 5, 1)</f>
        <v>XXXL</v>
      </c>
      <c r="F2" s="214" t="s">
        <v>887</v>
      </c>
      <c r="G2" s="214" t="s">
        <v>888</v>
      </c>
      <c r="H2" s="214">
        <f>VALUE(LEFT(G2, 3))</f>
        <v>143</v>
      </c>
      <c r="I2" s="214" t="s">
        <v>889</v>
      </c>
      <c r="J2" s="214">
        <f>VALUE(LEFT(I2, 2))</f>
        <v>44</v>
      </c>
      <c r="K2" s="214" t="str">
        <f>MID(I2, 6, 4)</f>
        <v>XXS</v>
      </c>
      <c r="L2" s="214" t="s">
        <v>890</v>
      </c>
      <c r="M2" s="214">
        <f>VALUE(LEFT(L2, 2))</f>
        <v>13</v>
      </c>
      <c r="N2" s="214" t="str">
        <f>MID(L2, 7, 4)</f>
        <v>XXS</v>
      </c>
      <c r="P2" s="216">
        <v>4</v>
      </c>
      <c r="Q2" s="217">
        <v>8</v>
      </c>
      <c r="R2" s="218">
        <f>ROUNDUP(P2*$B$6+Q2*$D$6, 0)</f>
        <v>143</v>
      </c>
      <c r="S2" s="214">
        <f>VLOOKUP(R2, $H$2:$J$9, 3, 1)</f>
        <v>44</v>
      </c>
      <c r="T2" s="214">
        <f>VLOOKUP(R2, $H$2:$M$9, 6, 1)</f>
        <v>13</v>
      </c>
      <c r="U2" s="214">
        <f>ROUNDUP(T2*$D$6, 0)</f>
        <v>34</v>
      </c>
      <c r="V2" s="214" t="str">
        <f>VLOOKUP(T2, $M$2:$N$9, 2, 1)</f>
        <v>XXS</v>
      </c>
    </row>
    <row r="3" spans="1:22" x14ac:dyDescent="0.2">
      <c r="F3" s="214" t="s">
        <v>891</v>
      </c>
      <c r="G3" s="214" t="s">
        <v>892</v>
      </c>
      <c r="H3" s="214">
        <f t="shared" ref="H3:H9" si="0">VALUE(LEFT(G3, 3))</f>
        <v>155</v>
      </c>
      <c r="I3" s="214" t="s">
        <v>893</v>
      </c>
      <c r="J3" s="214">
        <f t="shared" ref="J3:J9" si="1">VALUE(LEFT(I3, 2))</f>
        <v>48</v>
      </c>
      <c r="K3" s="214" t="str">
        <f t="shared" ref="K3:K9" si="2">MID(I3, 6, 4)</f>
        <v>XS</v>
      </c>
      <c r="L3" s="214" t="s">
        <v>894</v>
      </c>
      <c r="M3" s="214">
        <f t="shared" ref="M3:M9" si="3">VALUE(LEFT(L3, 2))</f>
        <v>15</v>
      </c>
      <c r="N3" s="214" t="str">
        <f t="shared" ref="N3:N9" si="4">MID(L3, 7, 4)</f>
        <v>XS</v>
      </c>
      <c r="P3" s="216">
        <v>4</v>
      </c>
      <c r="Q3" s="217">
        <v>9</v>
      </c>
      <c r="R3" s="218">
        <f t="shared" ref="R3:R27" si="5">ROUNDUP(P3*$B$6+Q3*$D$6, 0)</f>
        <v>145</v>
      </c>
      <c r="S3" s="214">
        <f t="shared" ref="S3:S27" si="6">VLOOKUP(R3, $H$2:$J$9, 3, 1)</f>
        <v>44</v>
      </c>
      <c r="T3" s="214">
        <f t="shared" ref="T3:T27" si="7">VLOOKUP(R3, $H$2:$M$9, 6, 1)</f>
        <v>13</v>
      </c>
      <c r="U3" s="214">
        <f t="shared" ref="U3:U27" si="8">ROUNDUP(T3*$D$6, 0)</f>
        <v>34</v>
      </c>
      <c r="V3" s="214" t="str">
        <f t="shared" ref="V3:V27" si="9">VLOOKUP(T3, $M$2:$N$9, 2, 1)</f>
        <v>XXS</v>
      </c>
    </row>
    <row r="4" spans="1:22" x14ac:dyDescent="0.2">
      <c r="A4" s="320" t="s">
        <v>895</v>
      </c>
      <c r="B4" s="320"/>
      <c r="C4" s="320"/>
      <c r="D4" s="320"/>
      <c r="F4" s="214" t="s">
        <v>896</v>
      </c>
      <c r="G4" s="214" t="s">
        <v>897</v>
      </c>
      <c r="H4" s="214">
        <f t="shared" si="0"/>
        <v>163</v>
      </c>
      <c r="I4" s="214" t="s">
        <v>898</v>
      </c>
      <c r="J4" s="214">
        <f t="shared" si="1"/>
        <v>51</v>
      </c>
      <c r="K4" s="214" t="str">
        <f t="shared" si="2"/>
        <v>S</v>
      </c>
      <c r="L4" s="214" t="s">
        <v>899</v>
      </c>
      <c r="M4" s="214">
        <f t="shared" si="3"/>
        <v>16</v>
      </c>
      <c r="N4" s="214" t="str">
        <f t="shared" si="4"/>
        <v>S</v>
      </c>
      <c r="P4" s="216">
        <v>4</v>
      </c>
      <c r="Q4" s="217">
        <v>10</v>
      </c>
      <c r="R4" s="218">
        <f t="shared" si="5"/>
        <v>148</v>
      </c>
      <c r="S4" s="214">
        <f t="shared" si="6"/>
        <v>44</v>
      </c>
      <c r="T4" s="214">
        <f t="shared" si="7"/>
        <v>13</v>
      </c>
      <c r="U4" s="214">
        <f t="shared" si="8"/>
        <v>34</v>
      </c>
      <c r="V4" s="214" t="str">
        <f t="shared" si="9"/>
        <v>XXS</v>
      </c>
    </row>
    <row r="5" spans="1:22" s="67" customFormat="1" x14ac:dyDescent="0.2">
      <c r="A5" s="70" t="s">
        <v>900</v>
      </c>
      <c r="B5" s="5" t="s">
        <v>901</v>
      </c>
      <c r="C5" s="70" t="s">
        <v>902</v>
      </c>
      <c r="D5" s="5" t="s">
        <v>901</v>
      </c>
      <c r="F5" s="214" t="s">
        <v>903</v>
      </c>
      <c r="G5" s="214" t="s">
        <v>904</v>
      </c>
      <c r="H5" s="214">
        <f t="shared" si="0"/>
        <v>170</v>
      </c>
      <c r="I5" s="214" t="s">
        <v>905</v>
      </c>
      <c r="J5" s="214">
        <f t="shared" si="1"/>
        <v>54</v>
      </c>
      <c r="K5" s="214" t="str">
        <f t="shared" si="2"/>
        <v>M</v>
      </c>
      <c r="L5" s="214" t="s">
        <v>906</v>
      </c>
      <c r="M5" s="214">
        <f t="shared" si="3"/>
        <v>18</v>
      </c>
      <c r="N5" s="214" t="str">
        <f t="shared" si="4"/>
        <v>M</v>
      </c>
      <c r="O5" s="44"/>
      <c r="P5" s="216">
        <v>4</v>
      </c>
      <c r="Q5" s="217">
        <v>11</v>
      </c>
      <c r="R5" s="218">
        <f t="shared" si="5"/>
        <v>150</v>
      </c>
      <c r="S5" s="214">
        <f t="shared" si="6"/>
        <v>44</v>
      </c>
      <c r="T5" s="214">
        <f t="shared" si="7"/>
        <v>13</v>
      </c>
      <c r="U5" s="214">
        <f t="shared" si="8"/>
        <v>34</v>
      </c>
      <c r="V5" s="214" t="str">
        <f t="shared" si="9"/>
        <v>XXS</v>
      </c>
    </row>
    <row r="6" spans="1:22" x14ac:dyDescent="0.2">
      <c r="A6" s="214">
        <v>1</v>
      </c>
      <c r="B6" s="221">
        <v>30.48</v>
      </c>
      <c r="C6" s="214">
        <v>1</v>
      </c>
      <c r="D6" s="221">
        <v>2.54</v>
      </c>
      <c r="F6" s="214" t="s">
        <v>907</v>
      </c>
      <c r="G6" s="214" t="s">
        <v>908</v>
      </c>
      <c r="H6" s="214">
        <f t="shared" si="0"/>
        <v>178</v>
      </c>
      <c r="I6" s="214" t="s">
        <v>909</v>
      </c>
      <c r="J6" s="214">
        <f t="shared" si="1"/>
        <v>56</v>
      </c>
      <c r="K6" s="214" t="str">
        <f t="shared" si="2"/>
        <v>L</v>
      </c>
      <c r="L6" s="214" t="s">
        <v>910</v>
      </c>
      <c r="M6" s="214">
        <f t="shared" si="3"/>
        <v>19</v>
      </c>
      <c r="N6" s="214" t="str">
        <f t="shared" si="4"/>
        <v>L</v>
      </c>
      <c r="P6" s="216">
        <v>5</v>
      </c>
      <c r="Q6" s="217">
        <v>0</v>
      </c>
      <c r="R6" s="218">
        <f t="shared" si="5"/>
        <v>153</v>
      </c>
      <c r="S6" s="214">
        <f t="shared" si="6"/>
        <v>44</v>
      </c>
      <c r="T6" s="214">
        <f t="shared" si="7"/>
        <v>13</v>
      </c>
      <c r="U6" s="214">
        <f t="shared" si="8"/>
        <v>34</v>
      </c>
      <c r="V6" s="214" t="str">
        <f t="shared" si="9"/>
        <v>XXS</v>
      </c>
    </row>
    <row r="7" spans="1:22" x14ac:dyDescent="0.2">
      <c r="F7" s="214" t="s">
        <v>911</v>
      </c>
      <c r="G7" s="214" t="s">
        <v>912</v>
      </c>
      <c r="H7" s="214">
        <f t="shared" si="0"/>
        <v>183</v>
      </c>
      <c r="I7" s="214" t="s">
        <v>913</v>
      </c>
      <c r="J7" s="214">
        <f t="shared" si="1"/>
        <v>58</v>
      </c>
      <c r="K7" s="214" t="str">
        <f t="shared" si="2"/>
        <v>XL</v>
      </c>
      <c r="L7" s="214" t="s">
        <v>914</v>
      </c>
      <c r="M7" s="214">
        <f t="shared" si="3"/>
        <v>20</v>
      </c>
      <c r="N7" s="214" t="str">
        <f t="shared" si="4"/>
        <v>XL</v>
      </c>
      <c r="P7" s="216">
        <v>5</v>
      </c>
      <c r="Q7" s="217">
        <v>1</v>
      </c>
      <c r="R7" s="218">
        <f t="shared" si="5"/>
        <v>155</v>
      </c>
      <c r="S7" s="214">
        <f t="shared" si="6"/>
        <v>48</v>
      </c>
      <c r="T7" s="214">
        <f t="shared" si="7"/>
        <v>15</v>
      </c>
      <c r="U7" s="214">
        <f t="shared" si="8"/>
        <v>39</v>
      </c>
      <c r="V7" s="214" t="str">
        <f t="shared" si="9"/>
        <v>XS</v>
      </c>
    </row>
    <row r="8" spans="1:22" x14ac:dyDescent="0.2">
      <c r="F8" s="214" t="s">
        <v>915</v>
      </c>
      <c r="G8" s="214" t="s">
        <v>916</v>
      </c>
      <c r="H8" s="214">
        <f t="shared" si="0"/>
        <v>191</v>
      </c>
      <c r="I8" s="214" t="s">
        <v>917</v>
      </c>
      <c r="J8" s="214">
        <f t="shared" si="1"/>
        <v>60</v>
      </c>
      <c r="K8" s="214" t="str">
        <f t="shared" si="2"/>
        <v>XXL</v>
      </c>
      <c r="L8" s="214" t="s">
        <v>918</v>
      </c>
      <c r="M8" s="214">
        <f t="shared" si="3"/>
        <v>21</v>
      </c>
      <c r="N8" s="214" t="str">
        <f t="shared" si="4"/>
        <v>XXL</v>
      </c>
      <c r="P8" s="216">
        <v>5</v>
      </c>
      <c r="Q8" s="217">
        <v>2</v>
      </c>
      <c r="R8" s="218">
        <f t="shared" si="5"/>
        <v>158</v>
      </c>
      <c r="S8" s="214">
        <f t="shared" si="6"/>
        <v>48</v>
      </c>
      <c r="T8" s="214">
        <f t="shared" si="7"/>
        <v>15</v>
      </c>
      <c r="U8" s="214">
        <f t="shared" si="8"/>
        <v>39</v>
      </c>
      <c r="V8" s="214" t="str">
        <f t="shared" si="9"/>
        <v>XS</v>
      </c>
    </row>
    <row r="9" spans="1:22" x14ac:dyDescent="0.2">
      <c r="F9" s="214" t="s">
        <v>919</v>
      </c>
      <c r="G9" s="214" t="s">
        <v>920</v>
      </c>
      <c r="H9" s="214">
        <f t="shared" si="0"/>
        <v>196</v>
      </c>
      <c r="I9" s="214" t="s">
        <v>921</v>
      </c>
      <c r="J9" s="214">
        <f t="shared" si="1"/>
        <v>62</v>
      </c>
      <c r="K9" s="214" t="str">
        <f t="shared" si="2"/>
        <v>XXXL</v>
      </c>
      <c r="L9" s="214" t="s">
        <v>922</v>
      </c>
      <c r="M9" s="214">
        <f t="shared" si="3"/>
        <v>22</v>
      </c>
      <c r="N9" s="214" t="str">
        <f t="shared" si="4"/>
        <v>XXXL</v>
      </c>
      <c r="P9" s="216">
        <v>5</v>
      </c>
      <c r="Q9" s="217">
        <v>3</v>
      </c>
      <c r="R9" s="218">
        <f t="shared" si="5"/>
        <v>161</v>
      </c>
      <c r="S9" s="214">
        <f t="shared" si="6"/>
        <v>48</v>
      </c>
      <c r="T9" s="214">
        <f t="shared" si="7"/>
        <v>15</v>
      </c>
      <c r="U9" s="214">
        <f t="shared" si="8"/>
        <v>39</v>
      </c>
      <c r="V9" s="214" t="str">
        <f t="shared" si="9"/>
        <v>XS</v>
      </c>
    </row>
    <row r="10" spans="1:22" x14ac:dyDescent="0.2">
      <c r="P10" s="216">
        <v>5</v>
      </c>
      <c r="Q10" s="217">
        <v>4</v>
      </c>
      <c r="R10" s="218">
        <f t="shared" si="5"/>
        <v>163</v>
      </c>
      <c r="S10" s="214">
        <f t="shared" si="6"/>
        <v>51</v>
      </c>
      <c r="T10" s="214">
        <f t="shared" si="7"/>
        <v>16</v>
      </c>
      <c r="U10" s="214">
        <f t="shared" si="8"/>
        <v>41</v>
      </c>
      <c r="V10" s="214" t="str">
        <f t="shared" si="9"/>
        <v>S</v>
      </c>
    </row>
    <row r="11" spans="1:22" x14ac:dyDescent="0.2">
      <c r="P11" s="216">
        <v>5</v>
      </c>
      <c r="Q11" s="217">
        <v>5</v>
      </c>
      <c r="R11" s="218">
        <f t="shared" si="5"/>
        <v>166</v>
      </c>
      <c r="S11" s="214">
        <f t="shared" si="6"/>
        <v>51</v>
      </c>
      <c r="T11" s="214">
        <f t="shared" si="7"/>
        <v>16</v>
      </c>
      <c r="U11" s="214">
        <f t="shared" si="8"/>
        <v>41</v>
      </c>
      <c r="V11" s="214" t="str">
        <f t="shared" si="9"/>
        <v>S</v>
      </c>
    </row>
    <row r="12" spans="1:22" x14ac:dyDescent="0.2">
      <c r="P12" s="216">
        <v>5</v>
      </c>
      <c r="Q12" s="217">
        <v>6</v>
      </c>
      <c r="R12" s="218">
        <f t="shared" si="5"/>
        <v>168</v>
      </c>
      <c r="S12" s="214">
        <f t="shared" si="6"/>
        <v>51</v>
      </c>
      <c r="T12" s="214">
        <f t="shared" si="7"/>
        <v>16</v>
      </c>
      <c r="U12" s="214">
        <f t="shared" si="8"/>
        <v>41</v>
      </c>
      <c r="V12" s="214" t="str">
        <f t="shared" si="9"/>
        <v>S</v>
      </c>
    </row>
    <row r="13" spans="1:22" x14ac:dyDescent="0.2">
      <c r="P13" s="216">
        <v>5</v>
      </c>
      <c r="Q13" s="217">
        <v>7</v>
      </c>
      <c r="R13" s="218">
        <f t="shared" si="5"/>
        <v>171</v>
      </c>
      <c r="S13" s="214">
        <f t="shared" si="6"/>
        <v>54</v>
      </c>
      <c r="T13" s="214">
        <f t="shared" si="7"/>
        <v>18</v>
      </c>
      <c r="U13" s="214">
        <f t="shared" si="8"/>
        <v>46</v>
      </c>
      <c r="V13" s="214" t="str">
        <f t="shared" si="9"/>
        <v>M</v>
      </c>
    </row>
    <row r="14" spans="1:22" x14ac:dyDescent="0.2">
      <c r="P14" s="216">
        <v>5</v>
      </c>
      <c r="Q14" s="217">
        <v>8</v>
      </c>
      <c r="R14" s="218">
        <f t="shared" si="5"/>
        <v>173</v>
      </c>
      <c r="S14" s="214">
        <f t="shared" si="6"/>
        <v>54</v>
      </c>
      <c r="T14" s="214">
        <f t="shared" si="7"/>
        <v>18</v>
      </c>
      <c r="U14" s="214">
        <f t="shared" si="8"/>
        <v>46</v>
      </c>
      <c r="V14" s="214" t="str">
        <f t="shared" si="9"/>
        <v>M</v>
      </c>
    </row>
    <row r="15" spans="1:22" x14ac:dyDescent="0.2">
      <c r="P15" s="216">
        <v>5</v>
      </c>
      <c r="Q15" s="217">
        <v>9</v>
      </c>
      <c r="R15" s="218">
        <f t="shared" si="5"/>
        <v>176</v>
      </c>
      <c r="S15" s="214">
        <f t="shared" si="6"/>
        <v>54</v>
      </c>
      <c r="T15" s="214">
        <f t="shared" si="7"/>
        <v>18</v>
      </c>
      <c r="U15" s="214">
        <f t="shared" si="8"/>
        <v>46</v>
      </c>
      <c r="V15" s="214" t="str">
        <f t="shared" si="9"/>
        <v>M</v>
      </c>
    </row>
    <row r="16" spans="1:22" x14ac:dyDescent="0.2">
      <c r="P16" s="216">
        <v>5</v>
      </c>
      <c r="Q16" s="217">
        <v>10</v>
      </c>
      <c r="R16" s="218">
        <f t="shared" si="5"/>
        <v>178</v>
      </c>
      <c r="S16" s="214">
        <f t="shared" si="6"/>
        <v>56</v>
      </c>
      <c r="T16" s="214">
        <f t="shared" si="7"/>
        <v>19</v>
      </c>
      <c r="U16" s="214">
        <f t="shared" si="8"/>
        <v>49</v>
      </c>
      <c r="V16" s="214" t="str">
        <f t="shared" si="9"/>
        <v>L</v>
      </c>
    </row>
    <row r="17" spans="16:22" x14ac:dyDescent="0.2">
      <c r="P17" s="216">
        <v>5</v>
      </c>
      <c r="Q17" s="217">
        <v>11</v>
      </c>
      <c r="R17" s="218">
        <f t="shared" si="5"/>
        <v>181</v>
      </c>
      <c r="S17" s="214">
        <f t="shared" si="6"/>
        <v>56</v>
      </c>
      <c r="T17" s="214">
        <f t="shared" si="7"/>
        <v>19</v>
      </c>
      <c r="U17" s="214">
        <f t="shared" si="8"/>
        <v>49</v>
      </c>
      <c r="V17" s="214" t="str">
        <f t="shared" si="9"/>
        <v>L</v>
      </c>
    </row>
    <row r="18" spans="16:22" x14ac:dyDescent="0.2">
      <c r="P18" s="216">
        <v>6</v>
      </c>
      <c r="Q18" s="217">
        <v>0</v>
      </c>
      <c r="R18" s="218">
        <f t="shared" si="5"/>
        <v>183</v>
      </c>
      <c r="S18" s="214">
        <f t="shared" si="6"/>
        <v>58</v>
      </c>
      <c r="T18" s="214">
        <f t="shared" si="7"/>
        <v>20</v>
      </c>
      <c r="U18" s="214">
        <f t="shared" si="8"/>
        <v>51</v>
      </c>
      <c r="V18" s="214" t="str">
        <f t="shared" si="9"/>
        <v>XL</v>
      </c>
    </row>
    <row r="19" spans="16:22" x14ac:dyDescent="0.2">
      <c r="P19" s="216">
        <v>6</v>
      </c>
      <c r="Q19" s="217">
        <v>1</v>
      </c>
      <c r="R19" s="218">
        <f t="shared" si="5"/>
        <v>186</v>
      </c>
      <c r="S19" s="214">
        <f t="shared" si="6"/>
        <v>58</v>
      </c>
      <c r="T19" s="214">
        <f t="shared" si="7"/>
        <v>20</v>
      </c>
      <c r="U19" s="214">
        <f t="shared" si="8"/>
        <v>51</v>
      </c>
      <c r="V19" s="214" t="str">
        <f t="shared" si="9"/>
        <v>XL</v>
      </c>
    </row>
    <row r="20" spans="16:22" x14ac:dyDescent="0.2">
      <c r="P20" s="216">
        <v>6</v>
      </c>
      <c r="Q20" s="217">
        <v>2</v>
      </c>
      <c r="R20" s="218">
        <f t="shared" si="5"/>
        <v>188</v>
      </c>
      <c r="S20" s="214">
        <f t="shared" si="6"/>
        <v>58</v>
      </c>
      <c r="T20" s="214">
        <f t="shared" si="7"/>
        <v>20</v>
      </c>
      <c r="U20" s="214">
        <f t="shared" si="8"/>
        <v>51</v>
      </c>
      <c r="V20" s="214" t="str">
        <f t="shared" si="9"/>
        <v>XL</v>
      </c>
    </row>
    <row r="21" spans="16:22" x14ac:dyDescent="0.2">
      <c r="P21" s="216">
        <v>6</v>
      </c>
      <c r="Q21" s="217">
        <v>3</v>
      </c>
      <c r="R21" s="218">
        <f t="shared" si="5"/>
        <v>191</v>
      </c>
      <c r="S21" s="214">
        <f t="shared" si="6"/>
        <v>60</v>
      </c>
      <c r="T21" s="214">
        <f t="shared" si="7"/>
        <v>21</v>
      </c>
      <c r="U21" s="214">
        <f t="shared" si="8"/>
        <v>54</v>
      </c>
      <c r="V21" s="214" t="str">
        <f t="shared" si="9"/>
        <v>XXL</v>
      </c>
    </row>
    <row r="22" spans="16:22" x14ac:dyDescent="0.2">
      <c r="P22" s="216">
        <v>6</v>
      </c>
      <c r="Q22" s="217">
        <v>4</v>
      </c>
      <c r="R22" s="218">
        <f t="shared" si="5"/>
        <v>194</v>
      </c>
      <c r="S22" s="214">
        <f t="shared" si="6"/>
        <v>60</v>
      </c>
      <c r="T22" s="214">
        <f t="shared" si="7"/>
        <v>21</v>
      </c>
      <c r="U22" s="214">
        <f t="shared" si="8"/>
        <v>54</v>
      </c>
      <c r="V22" s="214" t="str">
        <f t="shared" si="9"/>
        <v>XXL</v>
      </c>
    </row>
    <row r="23" spans="16:22" x14ac:dyDescent="0.2">
      <c r="P23" s="216">
        <v>6</v>
      </c>
      <c r="Q23" s="217">
        <v>5</v>
      </c>
      <c r="R23" s="218">
        <f t="shared" si="5"/>
        <v>196</v>
      </c>
      <c r="S23" s="214">
        <f t="shared" si="6"/>
        <v>62</v>
      </c>
      <c r="T23" s="214">
        <f t="shared" si="7"/>
        <v>22</v>
      </c>
      <c r="U23" s="214">
        <f t="shared" si="8"/>
        <v>56</v>
      </c>
      <c r="V23" s="214" t="str">
        <f t="shared" si="9"/>
        <v>XXXL</v>
      </c>
    </row>
    <row r="24" spans="16:22" x14ac:dyDescent="0.2">
      <c r="P24" s="216">
        <v>6</v>
      </c>
      <c r="Q24" s="217">
        <v>6</v>
      </c>
      <c r="R24" s="218">
        <f t="shared" si="5"/>
        <v>199</v>
      </c>
      <c r="S24" s="214">
        <f t="shared" si="6"/>
        <v>62</v>
      </c>
      <c r="T24" s="214">
        <f t="shared" si="7"/>
        <v>22</v>
      </c>
      <c r="U24" s="214">
        <f t="shared" si="8"/>
        <v>56</v>
      </c>
      <c r="V24" s="214" t="str">
        <f t="shared" si="9"/>
        <v>XXXL</v>
      </c>
    </row>
    <row r="25" spans="16:22" x14ac:dyDescent="0.2">
      <c r="P25" s="216">
        <v>6</v>
      </c>
      <c r="Q25" s="217">
        <v>7</v>
      </c>
      <c r="R25" s="218">
        <f t="shared" si="5"/>
        <v>201</v>
      </c>
      <c r="S25" s="214">
        <f t="shared" si="6"/>
        <v>62</v>
      </c>
      <c r="T25" s="214">
        <f t="shared" si="7"/>
        <v>22</v>
      </c>
      <c r="U25" s="214">
        <f t="shared" si="8"/>
        <v>56</v>
      </c>
      <c r="V25" s="214" t="str">
        <f t="shared" si="9"/>
        <v>XXXL</v>
      </c>
    </row>
    <row r="26" spans="16:22" x14ac:dyDescent="0.2">
      <c r="P26" s="216">
        <v>6</v>
      </c>
      <c r="Q26" s="217">
        <v>8</v>
      </c>
      <c r="R26" s="218">
        <f t="shared" si="5"/>
        <v>204</v>
      </c>
      <c r="S26" s="214">
        <f t="shared" si="6"/>
        <v>62</v>
      </c>
      <c r="T26" s="214">
        <f t="shared" si="7"/>
        <v>22</v>
      </c>
      <c r="U26" s="214">
        <f t="shared" si="8"/>
        <v>56</v>
      </c>
      <c r="V26" s="214" t="str">
        <f t="shared" si="9"/>
        <v>XXXL</v>
      </c>
    </row>
    <row r="27" spans="16:22" ht="17" thickBot="1" x14ac:dyDescent="0.25">
      <c r="P27" s="219">
        <v>6</v>
      </c>
      <c r="Q27" s="220">
        <v>9</v>
      </c>
      <c r="R27" s="218">
        <f t="shared" si="5"/>
        <v>206</v>
      </c>
      <c r="S27" s="214">
        <f t="shared" si="6"/>
        <v>62</v>
      </c>
      <c r="T27" s="214">
        <f t="shared" si="7"/>
        <v>22</v>
      </c>
      <c r="U27" s="214">
        <f t="shared" si="8"/>
        <v>56</v>
      </c>
      <c r="V27" s="214" t="str">
        <f t="shared" si="9"/>
        <v>XXXL</v>
      </c>
    </row>
  </sheetData>
  <mergeCells count="1">
    <mergeCell ref="A4:D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2A196-C3AC-7C48-9AB4-CFFAD7F39ADE}">
  <sheetPr codeName="Sheet22"/>
  <dimension ref="A1:AR315"/>
  <sheetViews>
    <sheetView tabSelected="1" topLeftCell="E1" zoomScale="97" zoomScaleNormal="60" workbookViewId="0">
      <selection activeCell="I12" sqref="I12"/>
    </sheetView>
  </sheetViews>
  <sheetFormatPr baseColWidth="10" defaultColWidth="11" defaultRowHeight="16" x14ac:dyDescent="0.2"/>
  <cols>
    <col min="3" max="3" width="21.1640625" bestFit="1" customWidth="1"/>
    <col min="4" max="4" width="28.1640625" bestFit="1" customWidth="1"/>
    <col min="5" max="5" width="32.83203125" bestFit="1" customWidth="1"/>
    <col min="6" max="6" width="24.5" bestFit="1" customWidth="1"/>
    <col min="7" max="7" width="26.6640625" bestFit="1" customWidth="1"/>
    <col min="8" max="8" width="29.1640625" bestFit="1" customWidth="1"/>
    <col min="9" max="9" width="42.33203125" bestFit="1" customWidth="1"/>
    <col min="10" max="10" width="33" bestFit="1" customWidth="1"/>
    <col min="11" max="11" width="24.1640625" customWidth="1"/>
    <col min="12" max="12" width="26.1640625" bestFit="1" customWidth="1"/>
    <col min="13" max="13" width="15.1640625" bestFit="1" customWidth="1"/>
    <col min="14" max="14" width="16.5" bestFit="1" customWidth="1"/>
    <col min="15" max="15" width="13" bestFit="1" customWidth="1"/>
    <col min="16" max="16" width="6" customWidth="1"/>
    <col min="17" max="17" width="36" bestFit="1" customWidth="1"/>
    <col min="18" max="18" width="6.33203125" customWidth="1"/>
    <col min="19" max="28" width="10.83203125" customWidth="1"/>
    <col min="29" max="44" width="11.1640625" customWidth="1"/>
  </cols>
  <sheetData>
    <row r="1" spans="1:44" x14ac:dyDescent="0.2">
      <c r="A1" s="137" t="s">
        <v>926</v>
      </c>
      <c r="B1" s="137" t="s">
        <v>171</v>
      </c>
      <c r="C1" s="137" t="s">
        <v>927</v>
      </c>
      <c r="D1" s="137" t="s">
        <v>928</v>
      </c>
      <c r="E1" s="137" t="s">
        <v>929</v>
      </c>
      <c r="F1" s="137" t="s">
        <v>459</v>
      </c>
      <c r="G1" s="137" t="s">
        <v>505</v>
      </c>
      <c r="H1" s="137" t="s">
        <v>930</v>
      </c>
      <c r="I1" s="137" t="s">
        <v>931</v>
      </c>
      <c r="J1" s="5" t="s">
        <v>932</v>
      </c>
      <c r="K1" s="222"/>
      <c r="L1" t="s">
        <v>933</v>
      </c>
      <c r="M1" t="s">
        <v>934</v>
      </c>
      <c r="N1" t="s">
        <v>945</v>
      </c>
      <c r="O1" t="s">
        <v>935</v>
      </c>
      <c r="P1" s="222"/>
      <c r="Q1" s="138" t="s">
        <v>936</v>
      </c>
      <c r="S1" s="241" t="s">
        <v>937</v>
      </c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  <c r="AI1" s="241"/>
      <c r="AJ1" s="241"/>
      <c r="AK1" s="241"/>
      <c r="AL1" s="241"/>
      <c r="AM1" s="241"/>
      <c r="AN1" s="241"/>
      <c r="AO1" s="241"/>
      <c r="AP1" s="241"/>
      <c r="AQ1" s="241"/>
      <c r="AR1" s="241"/>
    </row>
    <row r="2" spans="1:44" x14ac:dyDescent="0.2">
      <c r="A2" s="45" t="s">
        <v>575</v>
      </c>
      <c r="B2" s="45" t="s">
        <v>176</v>
      </c>
      <c r="C2" s="230">
        <f>VLOOKUP(B2, 'S08 ABC Output'!$A$3:$C$18, 3, 0)</f>
        <v>250356</v>
      </c>
      <c r="D2" s="230">
        <f>VLOOKUP(B2, 'S12 Operations'!$C$2:$H$534, 6, 0)</f>
        <v>200</v>
      </c>
      <c r="E2" s="230">
        <f>ROUNDUP(C2/D2, 0)</f>
        <v>1252</v>
      </c>
      <c r="F2" s="230">
        <f>VLOOKUP(A2, 'S11 Work Stations'!$A$2:$C$45, 3, 0)</f>
        <v>30</v>
      </c>
      <c r="G2" s="230">
        <f>VLOOKUP(B2&amp;"-"&amp;A2, 'S12 Operations'!$A$2:$G$534, 7, 0)</f>
        <v>360</v>
      </c>
      <c r="H2" s="229">
        <f>G2/60</f>
        <v>6</v>
      </c>
      <c r="I2" s="229">
        <f>(C2*H2)+ (IF(O2=1,0,HLOOKUP(A2,$S$19:$AR$35,L2+IF(E2=N2,2,1),0)))*F2</f>
        <v>1506006</v>
      </c>
      <c r="J2" s="230">
        <f>ROUND(I2/60, 0)</f>
        <v>25100</v>
      </c>
      <c r="L2">
        <f t="shared" ref="L2:L33" si="0">RANK(HLOOKUP(A2,$S$19:$AR$36,MATCH(E2,INDEX($S$19:$AR$35, ,HLOOKUP(A2,$S$19:$AR$36,18,0)),0),0),INDEX($S$19:$AR$35, ,HLOOKUP(A2,$S$19:$AR$36,18,0)),0)</f>
        <v>1</v>
      </c>
      <c r="M2">
        <f t="shared" ref="M2:M33" si="1"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129</v>
      </c>
      <c r="N2">
        <f t="shared" ref="N2:N33" si="2"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1252</v>
      </c>
      <c r="O2">
        <f>COUNT(_xlfn.IFS($A2=$S$2,$S$3:$S$18,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3</v>
      </c>
      <c r="Q2" s="214" t="str" cm="1">
        <f t="array" ref="Q2">INDEX($A$2:$A$118,MATCH(0,COUNTIF($Q$1:Q1,$A$2:$A$118),0))</f>
        <v>WS-02</v>
      </c>
      <c r="S2" s="223" t="str">
        <f t="array" ref="S2:AR2">TRANSPOSE(Q2:Q27)</f>
        <v>WS-02</v>
      </c>
      <c r="T2" s="223" t="str">
        <v>WS-03</v>
      </c>
      <c r="U2" s="223" t="str">
        <v>WS-04</v>
      </c>
      <c r="V2" s="223" t="str">
        <v>WS-05</v>
      </c>
      <c r="W2" s="223" t="str">
        <v>WS-07</v>
      </c>
      <c r="X2" s="223" t="str">
        <v>WS-08</v>
      </c>
      <c r="Y2" s="223" t="str">
        <v>WS-18</v>
      </c>
      <c r="Z2" s="223" t="str">
        <v>WS-20</v>
      </c>
      <c r="AA2" s="223" t="str">
        <v>WS-21</v>
      </c>
      <c r="AB2" s="223" t="str">
        <v>WS-23</v>
      </c>
      <c r="AC2" s="223" t="str">
        <v>WS-24</v>
      </c>
      <c r="AD2" s="223" t="str">
        <v>WS-25</v>
      </c>
      <c r="AE2" s="223" t="str">
        <v>WS-26</v>
      </c>
      <c r="AF2" s="223" t="str">
        <v>WS-27</v>
      </c>
      <c r="AG2" s="223" t="str">
        <v>WS-28</v>
      </c>
      <c r="AH2" s="223" t="str">
        <v>WS-29</v>
      </c>
      <c r="AI2" s="223" t="str">
        <v>WS-31</v>
      </c>
      <c r="AJ2" s="223" t="str">
        <v>WS-32</v>
      </c>
      <c r="AK2" s="223" t="str">
        <v>WS-33</v>
      </c>
      <c r="AL2" s="223" t="str">
        <v>WS-34</v>
      </c>
      <c r="AM2" s="223" t="str">
        <v>WS-36</v>
      </c>
      <c r="AN2" s="223" t="str">
        <v>WS-38</v>
      </c>
      <c r="AO2" s="223" t="str">
        <v>WS-40</v>
      </c>
      <c r="AP2" s="223" t="str">
        <v>WS-42</v>
      </c>
      <c r="AQ2" s="223" t="str">
        <v>WS-43</v>
      </c>
      <c r="AR2" s="223" t="str">
        <v>WS-44</v>
      </c>
    </row>
    <row r="3" spans="1:44" x14ac:dyDescent="0.2">
      <c r="A3" s="45" t="s">
        <v>575</v>
      </c>
      <c r="B3" s="45" t="s">
        <v>198</v>
      </c>
      <c r="C3" s="230">
        <f>VLOOKUP(B3, 'S08 ABC Output'!$A$3:$C$18, 3, 0)</f>
        <v>25689</v>
      </c>
      <c r="D3" s="230">
        <f>VLOOKUP(B3, 'S12 Operations'!$C$2:$H$534, 6, 0)</f>
        <v>200</v>
      </c>
      <c r="E3" s="230">
        <f t="shared" ref="E3:E66" si="3">ROUNDUP(C3/D3, 0)</f>
        <v>129</v>
      </c>
      <c r="F3" s="230">
        <f>VLOOKUP(A3, 'S11 Work Stations'!$A$2:$C$45, 3, 0)</f>
        <v>30</v>
      </c>
      <c r="G3" s="230">
        <f>VLOOKUP(B3&amp;"-"&amp;A3, 'S12 Operations'!$A$2:$G$534, 7, 0)</f>
        <v>600</v>
      </c>
      <c r="H3" s="229">
        <f t="shared" ref="H3:H66" si="4">G3/60</f>
        <v>10</v>
      </c>
      <c r="I3" s="229">
        <f t="shared" ref="I3:I66" si="5">(C3*H3)+ (IF(O3=1,0,HLOOKUP(A3,$S$19:$AR$35,L3+IF(E3=N3,2,1),0)))*F3</f>
        <v>260760</v>
      </c>
      <c r="J3" s="230">
        <f t="shared" ref="J3:J66" si="6">ROUND(I3/60, 0)</f>
        <v>4346</v>
      </c>
      <c r="L3">
        <f t="shared" si="0"/>
        <v>2</v>
      </c>
      <c r="M3">
        <f t="shared" si="1"/>
        <v>129</v>
      </c>
      <c r="N3">
        <f t="shared" si="2"/>
        <v>1252</v>
      </c>
      <c r="O3">
        <f t="shared" ref="O3:O66" si="7">COUNT(_xlfn.IFS($A3=$S$2,$S$3:$S$18, $A3=$T$2,$T$3:$T$18, $A3=$U$2,$U$3:$U$18, $A3=$V$2,$V$3:$V$18, $A3=$W$2,$W$3:$W$18, $A3=$X$2, $X$3:$X$18, $A3=$Y$2,$Y$3:$Y$18, $A3=$Z$2,$Z$3:$Z$18, $A3=$AA$2,$AA$3:$AA$18, $A3=$AB$2,$AB$3:$AB$18, $A3=$AC$2,$AC$3:$AC$18, $A3=$AD$2,$AD$3:$AD$18, $A3=$AE$2,$AE$3:$AE$18, $A3=$AF$2,$AF$3:$AF$18, $A3=$AG$2,$AG$3:$AG$18, $A3=$AH$2,$AH$3:$AH$18, $A3=$AI$2,$AI$3:$AI$18, $A3=$AJ$2,$AJ$3:$AJ$18, $A3=$AK$2,$AK$3:$AK$18, $A3=$AL$2,$AL$3:$AL$18, $A3=$AM$2,$AM$3:$AM$18, $A3=$AN$2,$AN$3:$AN$18, $A3=$AO$2,$AO$3:$AO$18, $A3=$AP$2,$AP$3:$AP$18, $A3=$AQ$2,$AQ$3:$AQ$18, $A3=$AR$2,$AR$3:$AR$18))</f>
        <v>3</v>
      </c>
      <c r="Q3" s="214" t="str" cm="1">
        <f t="array" ref="Q3">INDEX($A$2:$A$118,MATCH(0,COUNTIF($Q$1:Q2,$A$2:$A$118),0))</f>
        <v>WS-03</v>
      </c>
      <c r="S3" s="224" cm="1">
        <f t="array" ref="S3">IFERROR(INDEX($E$2:$E$118, SMALL(IF($A$2:$A$118=S$2, ROW($E$2:$E$118)-ROW($E$2)+1), ROWS($S$3:S3))), "")</f>
        <v>1252</v>
      </c>
      <c r="T3" s="224" cm="1">
        <f t="array" ref="T3">IFERROR(INDEX($E$2:$E$118, SMALL(IF($A$2:$A$118=T$2, ROW($E$2:$E$118)-ROW($E$2)+1), ROWS($S$3:T3))), "")</f>
        <v>433</v>
      </c>
      <c r="U3" s="224" cm="1">
        <f t="array" ref="U3">IFERROR(INDEX($E$2:$E$118, SMALL(IF($A$2:$A$118=U$2, ROW($E$2:$E$118)-ROW($E$2)+1), ROWS($S$3:U3))), "")</f>
        <v>433</v>
      </c>
      <c r="V3" s="224" cm="1">
        <f t="array" ref="V3">IFERROR(INDEX($E$2:$E$118, SMALL(IF($A$2:$A$118=V$2, ROW($E$2:$E$118)-ROW($E$2)+1), ROWS($S$3:V3))), "")</f>
        <v>1078</v>
      </c>
      <c r="W3" s="224" cm="1">
        <f t="array" ref="W3">IFERROR(INDEX($E$2:$E$118, SMALL(IF($A$2:$A$118=W$2, ROW($E$2:$E$118)-ROW($E$2)+1), ROWS($S$3:W3))), "")</f>
        <v>626</v>
      </c>
      <c r="X3" s="224" cm="1">
        <f t="array" ref="X3">IFERROR(INDEX($E$2:$E$118, SMALL(IF($A$2:$A$118=X$2, ROW($E$2:$E$118)-ROW($E$2)+1), ROWS($S$3:X3))), "")</f>
        <v>429</v>
      </c>
      <c r="Y3" s="224" cm="1">
        <f t="array" ref="Y3">IFERROR(INDEX($E$2:$E$118, SMALL(IF($A$2:$A$118=Y$2, ROW($E$2:$E$118)-ROW($E$2)+1), ROWS($S$3:Y3))), "")</f>
        <v>1252</v>
      </c>
      <c r="Z3" s="224" cm="1">
        <f t="array" ref="Z3">IFERROR(INDEX($E$2:$E$118, SMALL(IF($A$2:$A$118=Z$2, ROW($E$2:$E$118)-ROW($E$2)+1), ROWS($S$3:Z3))), "")</f>
        <v>429</v>
      </c>
      <c r="AA3" s="224" cm="1">
        <f t="array" ref="AA3">IFERROR(INDEX($E$2:$E$118, SMALL(IF($A$2:$A$118=AA$2, ROW($E$2:$E$118)-ROW($E$2)+1), ROWS($S$3:AA3))), "")</f>
        <v>626</v>
      </c>
      <c r="AB3" s="224" cm="1">
        <f t="array" ref="AB3">IFERROR(INDEX($E$2:$E$118, SMALL(IF($A$2:$A$118=AB$2, ROW($E$2:$E$118)-ROW($E$2)+1), ROWS($S$3:AB3))), "")</f>
        <v>433</v>
      </c>
      <c r="AC3" s="224" cm="1">
        <f t="array" ref="AC3">IFERROR(INDEX($E$2:$E$118, SMALL(IF($A$2:$A$118=AC$2, ROW($E$2:$E$118)-ROW($E$2)+1), ROWS($S$3:AC3))), "")</f>
        <v>1252</v>
      </c>
      <c r="AD3" s="224" cm="1">
        <f t="array" ref="AD3">IFERROR(INDEX($E$2:$E$118, SMALL(IF($A$2:$A$118=AD$2, ROW($E$2:$E$118)-ROW($E$2)+1), ROWS($S$3:AD3))), "")</f>
        <v>1078</v>
      </c>
      <c r="AE3" s="224" cm="1">
        <f t="array" ref="AE3">IFERROR(INDEX($E$2:$E$118, SMALL(IF($A$2:$A$118=AE$2, ROW($E$2:$E$118)-ROW($E$2)+1), ROWS($S$3:AE3))), "")</f>
        <v>429</v>
      </c>
      <c r="AF3" s="224" cm="1">
        <f t="array" ref="AF3">IFERROR(INDEX($E$2:$E$118, SMALL(IF($A$2:$A$118=AF$2, ROW($E$2:$E$118)-ROW($E$2)+1), ROWS($S$3:AF3))), "")</f>
        <v>626</v>
      </c>
      <c r="AG3" s="224" cm="1">
        <f t="array" ref="AG3">IFERROR(INDEX($E$2:$E$118, SMALL(IF($A$2:$A$118=AG$2, ROW($E$2:$E$118)-ROW($E$2)+1), ROWS($S$3:AG3))), "")</f>
        <v>626</v>
      </c>
      <c r="AH3" s="224" cm="1">
        <f t="array" ref="AH3">IFERROR(INDEX($E$2:$E$118, SMALL(IF($A$2:$A$118=AH$2, ROW($E$2:$E$118)-ROW($E$2)+1), ROWS($S$3:AH3))), "")</f>
        <v>1252</v>
      </c>
      <c r="AI3" s="224" cm="1">
        <f t="array" ref="AI3">IFERROR(INDEX($E$2:$E$118, SMALL(IF($A$2:$A$118=AI$2, ROW($E$2:$E$118)-ROW($E$2)+1), ROWS($S$3:AI3))), "")</f>
        <v>433</v>
      </c>
      <c r="AJ3" s="224" cm="1">
        <f t="array" ref="AJ3">IFERROR(INDEX($E$2:$E$118, SMALL(IF($A$2:$A$118=AJ$2, ROW($E$2:$E$118)-ROW($E$2)+1), ROWS($S$3:AJ3))), "")</f>
        <v>626</v>
      </c>
      <c r="AK3" s="224" cm="1">
        <f t="array" ref="AK3">IFERROR(INDEX($E$2:$E$118, SMALL(IF($A$2:$A$118=AK$2, ROW($E$2:$E$118)-ROW($E$2)+1), ROWS($S$3:AK3))), "")</f>
        <v>1252</v>
      </c>
      <c r="AL3" s="224" cm="1">
        <f t="array" ref="AL3">IFERROR(INDEX($E$2:$E$118, SMALL(IF($A$2:$A$118=AL$2, ROW($E$2:$E$118)-ROW($E$2)+1), ROWS($S$3:AL3))), "")</f>
        <v>1078</v>
      </c>
      <c r="AM3" s="224" cm="1">
        <f t="array" ref="AM3">IFERROR(INDEX($E$2:$E$118, SMALL(IF($A$2:$A$118=AM$2, ROW($E$2:$E$118)-ROW($E$2)+1), ROWS($S$3:AM3))), "")</f>
        <v>1078</v>
      </c>
      <c r="AN3" s="224" cm="1">
        <f t="array" ref="AN3">IFERROR(INDEX($E$2:$E$118, SMALL(IF($A$2:$A$118=AN$2, ROW($E$2:$E$118)-ROW($E$2)+1), ROWS($S$3:AN3))), "")</f>
        <v>626</v>
      </c>
      <c r="AO3" s="224" cm="1">
        <f t="array" ref="AO3">IFERROR(INDEX($E$2:$E$118, SMALL(IF($A$2:$A$118=AO$2, ROW($E$2:$E$118)-ROW($E$2)+1), ROWS($S$3:AO3))), "")</f>
        <v>1252</v>
      </c>
      <c r="AP3" s="224" cm="1">
        <f t="array" ref="AP3">IFERROR(INDEX($E$2:$E$118, SMALL(IF($A$2:$A$118=AP$2, ROW($E$2:$E$118)-ROW($E$2)+1), ROWS($S$3:AP3))), "")</f>
        <v>433</v>
      </c>
      <c r="AQ3" s="224" cm="1">
        <f t="array" ref="AQ3">IFERROR(INDEX($E$2:$E$118, SMALL(IF($A$2:$A$118=AQ$2, ROW($E$2:$E$118)-ROW($E$2)+1), ROWS($S$3:AQ3))), "")</f>
        <v>1252</v>
      </c>
      <c r="AR3" s="224" cm="1">
        <f t="array" ref="AR3">IFERROR(INDEX($E$2:$E$118, SMALL(IF($A$2:$A$118=AR$2, ROW($E$2:$E$118)-ROW($E$2)+1), ROWS($S$3:AR3))), "")</f>
        <v>1252</v>
      </c>
    </row>
    <row r="4" spans="1:44" x14ac:dyDescent="0.2">
      <c r="A4" s="45" t="s">
        <v>575</v>
      </c>
      <c r="B4" s="45" t="s">
        <v>203</v>
      </c>
      <c r="C4" s="230">
        <f>VLOOKUP(B4, 'S08 ABC Output'!$A$3:$C$18, 3, 0)</f>
        <v>25639</v>
      </c>
      <c r="D4" s="230">
        <f>VLOOKUP(B4, 'S12 Operations'!$C$2:$H$534, 6, 0)</f>
        <v>200</v>
      </c>
      <c r="E4" s="230">
        <f t="shared" si="3"/>
        <v>129</v>
      </c>
      <c r="F4" s="230">
        <f>VLOOKUP(A4, 'S11 Work Stations'!$A$2:$C$45, 3, 0)</f>
        <v>30</v>
      </c>
      <c r="G4" s="230">
        <f>VLOOKUP(B4&amp;"-"&amp;A4, 'S12 Operations'!$A$2:$G$534, 7, 0)</f>
        <v>360</v>
      </c>
      <c r="H4" s="229">
        <f t="shared" si="4"/>
        <v>6</v>
      </c>
      <c r="I4" s="229">
        <f t="shared" si="5"/>
        <v>157704</v>
      </c>
      <c r="J4" s="230">
        <f t="shared" si="6"/>
        <v>2628</v>
      </c>
      <c r="L4">
        <f t="shared" si="0"/>
        <v>2</v>
      </c>
      <c r="M4">
        <f t="shared" si="1"/>
        <v>129</v>
      </c>
      <c r="N4">
        <f t="shared" si="2"/>
        <v>1252</v>
      </c>
      <c r="O4">
        <f t="shared" si="7"/>
        <v>3</v>
      </c>
      <c r="Q4" s="214" t="str" cm="1">
        <f t="array" ref="Q4">INDEX($A$2:$A$118,MATCH(0,COUNTIF($Q$1:Q3,$A$2:$A$118),0))</f>
        <v>WS-04</v>
      </c>
      <c r="S4" s="224" cm="1">
        <f t="array" ref="S4">IFERROR(INDEX($E$2:$E$118, SMALL(IF($A$2:$A$118=S$2, ROW($E$2:$E$118)-ROW($E$2)+1), ROWS($S$3:S4))), "")</f>
        <v>129</v>
      </c>
      <c r="T4" s="224" cm="1">
        <f t="array" ref="T4">IFERROR(INDEX($E$2:$E$118, SMALL(IF($A$2:$A$118=T$2, ROW($E$2:$E$118)-ROW($E$2)+1), ROWS($S$3:T4))), "")</f>
        <v>274</v>
      </c>
      <c r="U4" s="224" cm="1">
        <f t="array" ref="U4">IFERROR(INDEX($E$2:$E$118, SMALL(IF($A$2:$A$118=U$2, ROW($E$2:$E$118)-ROW($E$2)+1), ROWS($S$3:U4))), "")</f>
        <v>274</v>
      </c>
      <c r="V4" s="224" cm="1">
        <f t="array" ref="V4">IFERROR(INDEX($E$2:$E$118, SMALL(IF($A$2:$A$118=V$2, ROW($E$2:$E$118)-ROW($E$2)+1), ROWS($S$3:V4))), "")</f>
        <v>327</v>
      </c>
      <c r="W4" s="224" cm="1">
        <f t="array" ref="W4">IFERROR(INDEX($E$2:$E$118, SMALL(IF($A$2:$A$118=W$2, ROW($E$2:$E$118)-ROW($E$2)+1), ROWS($S$3:W4))), "")</f>
        <v>429</v>
      </c>
      <c r="X4" s="224" cm="1">
        <f t="array" ref="X4">IFERROR(INDEX($E$2:$E$118, SMALL(IF($A$2:$A$118=X$2, ROW($E$2:$E$118)-ROW($E$2)+1), ROWS($S$3:X4))), "")</f>
        <v>254</v>
      </c>
      <c r="Y4" s="224" cm="1">
        <f t="array" ref="Y4">IFERROR(INDEX($E$2:$E$118, SMALL(IF($A$2:$A$118=Y$2, ROW($E$2:$E$118)-ROW($E$2)+1), ROWS($S$3:Y4))), "")</f>
        <v>129</v>
      </c>
      <c r="Z4" s="224" cm="1">
        <f t="array" ref="Z4">IFERROR(INDEX($E$2:$E$118, SMALL(IF($A$2:$A$118=Z$2, ROW($E$2:$E$118)-ROW($E$2)+1), ROWS($S$3:Z4))), "")</f>
        <v>254</v>
      </c>
      <c r="AA4" s="224" cm="1">
        <f t="array" ref="AA4">IFERROR(INDEX($E$2:$E$118, SMALL(IF($A$2:$A$118=AA$2, ROW($E$2:$E$118)-ROW($E$2)+1), ROWS($S$3:AA4))), "")</f>
        <v>129</v>
      </c>
      <c r="AB4" s="224" cm="1">
        <f t="array" ref="AB4">IFERROR(INDEX($E$2:$E$118, SMALL(IF($A$2:$A$118=AB$2, ROW($E$2:$E$118)-ROW($E$2)+1), ROWS($S$3:AB4))), "")</f>
        <v>274</v>
      </c>
      <c r="AC4" s="224" cm="1">
        <f t="array" ref="AC4">IFERROR(INDEX($E$2:$E$118, SMALL(IF($A$2:$A$118=AC$2, ROW($E$2:$E$118)-ROW($E$2)+1), ROWS($S$3:AC4))), "")</f>
        <v>129</v>
      </c>
      <c r="AD4" s="224" cm="1">
        <f t="array" ref="AD4">IFERROR(INDEX($E$2:$E$118, SMALL(IF($A$2:$A$118=AD$2, ROW($E$2:$E$118)-ROW($E$2)+1), ROWS($S$3:AD4))), "")</f>
        <v>327</v>
      </c>
      <c r="AE4" s="224" cm="1">
        <f t="array" ref="AE4">IFERROR(INDEX($E$2:$E$118, SMALL(IF($A$2:$A$118=AE$2, ROW($E$2:$E$118)-ROW($E$2)+1), ROWS($S$3:AE4))), "")</f>
        <v>254</v>
      </c>
      <c r="AF4" s="224" cm="1">
        <f t="array" ref="AF4">IFERROR(INDEX($E$2:$E$118, SMALL(IF($A$2:$A$118=AF$2, ROW($E$2:$E$118)-ROW($E$2)+1), ROWS($S$3:AF4))), "")</f>
        <v>129</v>
      </c>
      <c r="AG4" s="224" cm="1">
        <f t="array" ref="AG4">IFERROR(INDEX($E$2:$E$118, SMALL(IF($A$2:$A$118=AG$2, ROW($E$2:$E$118)-ROW($E$2)+1), ROWS($S$3:AG4))), "")</f>
        <v>129</v>
      </c>
      <c r="AH4" s="224" cm="1">
        <f t="array" ref="AH4">IFERROR(INDEX($E$2:$E$118, SMALL(IF($A$2:$A$118=AH$2, ROW($E$2:$E$118)-ROW($E$2)+1), ROWS($S$3:AH4))), "")</f>
        <v>129</v>
      </c>
      <c r="AI4" s="224" cm="1">
        <f t="array" ref="AI4">IFERROR(INDEX($E$2:$E$118, SMALL(IF($A$2:$A$118=AI$2, ROW($E$2:$E$118)-ROW($E$2)+1), ROWS($S$3:AI4))), "")</f>
        <v>274</v>
      </c>
      <c r="AJ4" s="224" cm="1">
        <f t="array" ref="AJ4">IFERROR(INDEX($E$2:$E$118, SMALL(IF($A$2:$A$118=AJ$2, ROW($E$2:$E$118)-ROW($E$2)+1), ROWS($S$3:AJ4))), "")</f>
        <v>433</v>
      </c>
      <c r="AK4" s="224" cm="1">
        <f t="array" ref="AK4">IFERROR(INDEX($E$2:$E$118, SMALL(IF($A$2:$A$118=AK$2, ROW($E$2:$E$118)-ROW($E$2)+1), ROWS($S$3:AK4))), "")</f>
        <v>129</v>
      </c>
      <c r="AL4" s="224" cm="1">
        <f t="array" ref="AL4">IFERROR(INDEX($E$2:$E$118, SMALL(IF($A$2:$A$118=AL$2, ROW($E$2:$E$118)-ROW($E$2)+1), ROWS($S$3:AL4))), "")</f>
        <v>327</v>
      </c>
      <c r="AM4" s="224" cm="1">
        <f t="array" ref="AM4">IFERROR(INDEX($E$2:$E$118, SMALL(IF($A$2:$A$118=AM$2, ROW($E$2:$E$118)-ROW($E$2)+1), ROWS($S$3:AM4))), "")</f>
        <v>327</v>
      </c>
      <c r="AN4" s="224" cm="1">
        <f t="array" ref="AN4">IFERROR(INDEX($E$2:$E$118, SMALL(IF($A$2:$A$118=AN$2, ROW($E$2:$E$118)-ROW($E$2)+1), ROWS($S$3:AN4))), "")</f>
        <v>129</v>
      </c>
      <c r="AO4" s="224" cm="1">
        <f t="array" ref="AO4">IFERROR(INDEX($E$2:$E$118, SMALL(IF($A$2:$A$118=AO$2, ROW($E$2:$E$118)-ROW($E$2)+1), ROWS($S$3:AO4))), "")</f>
        <v>433</v>
      </c>
      <c r="AP4" s="224" t="str" cm="1">
        <f t="array" ref="AP4">IFERROR(INDEX($E$2:$E$118, SMALL(IF($A$2:$A$118=AP$2, ROW($E$2:$E$118)-ROW($E$2)+1), ROWS($S$3:AP4))), "")</f>
        <v/>
      </c>
      <c r="AQ4" s="224" cm="1">
        <f t="array" ref="AQ4">IFERROR(INDEX($E$2:$E$118, SMALL(IF($A$2:$A$118=AQ$2, ROW($E$2:$E$118)-ROW($E$2)+1), ROWS($S$3:AQ4))), "")</f>
        <v>1078</v>
      </c>
      <c r="AR4" s="224" cm="1">
        <f t="array" ref="AR4">IFERROR(INDEX($E$2:$E$118, SMALL(IF($A$2:$A$118=AR$2, ROW($E$2:$E$118)-ROW($E$2)+1), ROWS($S$3:AR4))), "")</f>
        <v>1078</v>
      </c>
    </row>
    <row r="5" spans="1:44" x14ac:dyDescent="0.2">
      <c r="A5" s="45" t="s">
        <v>576</v>
      </c>
      <c r="B5" s="45" t="s">
        <v>182</v>
      </c>
      <c r="C5" s="230">
        <f>VLOOKUP(B5, 'S08 ABC Output'!$A$3:$C$18, 3, 0)</f>
        <v>86542</v>
      </c>
      <c r="D5" s="230">
        <f>VLOOKUP(B5, 'S12 Operations'!$C$2:$H$534, 6, 0)</f>
        <v>200</v>
      </c>
      <c r="E5" s="230">
        <f t="shared" si="3"/>
        <v>433</v>
      </c>
      <c r="F5" s="230">
        <f>VLOOKUP(A5, 'S11 Work Stations'!$A$2:$C$45, 3, 0)</f>
        <v>30</v>
      </c>
      <c r="G5" s="230">
        <f>VLOOKUP(B5&amp;"-"&amp;A5, 'S12 Operations'!$A$2:$G$534, 7, 0)</f>
        <v>120</v>
      </c>
      <c r="H5" s="229">
        <f t="shared" si="4"/>
        <v>2</v>
      </c>
      <c r="I5" s="229">
        <f t="shared" si="5"/>
        <v>181304</v>
      </c>
      <c r="J5" s="230">
        <f t="shared" si="6"/>
        <v>3022</v>
      </c>
      <c r="L5">
        <f t="shared" si="0"/>
        <v>1</v>
      </c>
      <c r="M5">
        <f t="shared" si="1"/>
        <v>274</v>
      </c>
      <c r="N5">
        <f t="shared" si="2"/>
        <v>433</v>
      </c>
      <c r="O5">
        <f t="shared" si="7"/>
        <v>2</v>
      </c>
      <c r="Q5" s="214" t="str" cm="1">
        <f t="array" ref="Q5">INDEX($A$2:$A$118,MATCH(0,COUNTIF($Q$1:Q4,$A$2:$A$118),0))</f>
        <v>WS-05</v>
      </c>
      <c r="S5" s="224" cm="1">
        <f t="array" ref="S5">IFERROR(INDEX($E$2:$E$118, SMALL(IF($A$2:$A$118=S$2, ROW($E$2:$E$118)-ROW($E$2)+1), ROWS($S$3:S5))), "")</f>
        <v>129</v>
      </c>
      <c r="T5" s="224" t="str" cm="1">
        <f t="array" ref="T5">IFERROR(INDEX($E$2:$E$118, SMALL(IF($A$2:$A$118=T$2, ROW($E$2:$E$118)-ROW($E$2)+1), ROWS($S$3:T5))), "")</f>
        <v/>
      </c>
      <c r="U5" s="224" t="str" cm="1">
        <f t="array" ref="U5">IFERROR(INDEX($E$2:$E$118, SMALL(IF($A$2:$A$118=U$2, ROW($E$2:$E$118)-ROW($E$2)+1), ROWS($S$3:U5))), "")</f>
        <v/>
      </c>
      <c r="V5" s="224" cm="1">
        <f t="array" ref="V5">IFERROR(INDEX($E$2:$E$118, SMALL(IF($A$2:$A$118=V$2, ROW($E$2:$E$118)-ROW($E$2)+1), ROWS($S$3:V5))), "")</f>
        <v>230</v>
      </c>
      <c r="W5" s="224" cm="1">
        <f t="array" ref="W5">IFERROR(INDEX($E$2:$E$118, SMALL(IF($A$2:$A$118=W$2, ROW($E$2:$E$118)-ROW($E$2)+1), ROWS($S$3:W5))), "")</f>
        <v>254</v>
      </c>
      <c r="X5" s="224" t="str" cm="1">
        <f t="array" ref="X5">IFERROR(INDEX($E$2:$E$118, SMALL(IF($A$2:$A$118=X$2, ROW($E$2:$E$118)-ROW($E$2)+1), ROWS($S$3:X5))), "")</f>
        <v/>
      </c>
      <c r="Y5" s="224" cm="1">
        <f t="array" ref="Y5">IFERROR(INDEX($E$2:$E$118, SMALL(IF($A$2:$A$118=Y$2, ROW($E$2:$E$118)-ROW($E$2)+1), ROWS($S$3:Y5))), "")</f>
        <v>129</v>
      </c>
      <c r="Z5" s="224" t="str" cm="1">
        <f t="array" ref="Z5">IFERROR(INDEX($E$2:$E$118, SMALL(IF($A$2:$A$118=Z$2, ROW($E$2:$E$118)-ROW($E$2)+1), ROWS($S$3:Z5))), "")</f>
        <v/>
      </c>
      <c r="AA5" s="224" cm="1">
        <f t="array" ref="AA5">IFERROR(INDEX($E$2:$E$118, SMALL(IF($A$2:$A$118=AA$2, ROW($E$2:$E$118)-ROW($E$2)+1), ROWS($S$3:AA5))), "")</f>
        <v>510</v>
      </c>
      <c r="AB5" s="224" t="str" cm="1">
        <f t="array" ref="AB5">IFERROR(INDEX($E$2:$E$118, SMALL(IF($A$2:$A$118=AB$2, ROW($E$2:$E$118)-ROW($E$2)+1), ROWS($S$3:AB5))), "")</f>
        <v/>
      </c>
      <c r="AC5" s="224" cm="1">
        <f t="array" ref="AC5">IFERROR(INDEX($E$2:$E$118, SMALL(IF($A$2:$A$118=AC$2, ROW($E$2:$E$118)-ROW($E$2)+1), ROWS($S$3:AC5))), "")</f>
        <v>129</v>
      </c>
      <c r="AD5" s="224" cm="1">
        <f t="array" ref="AD5">IFERROR(INDEX($E$2:$E$118, SMALL(IF($A$2:$A$118=AD$2, ROW($E$2:$E$118)-ROW($E$2)+1), ROWS($S$3:AD5))), "")</f>
        <v>230</v>
      </c>
      <c r="AE5" s="224" t="str" cm="1">
        <f t="array" ref="AE5">IFERROR(INDEX($E$2:$E$118, SMALL(IF($A$2:$A$118=AE$2, ROW($E$2:$E$118)-ROW($E$2)+1), ROWS($S$3:AE5))), "")</f>
        <v/>
      </c>
      <c r="AF5" s="224" cm="1">
        <f t="array" ref="AF5">IFERROR(INDEX($E$2:$E$118, SMALL(IF($A$2:$A$118=AF$2, ROW($E$2:$E$118)-ROW($E$2)+1), ROWS($S$3:AF5))), "")</f>
        <v>510</v>
      </c>
      <c r="AG5" s="224" cm="1">
        <f t="array" ref="AG5">IFERROR(INDEX($E$2:$E$118, SMALL(IF($A$2:$A$118=AG$2, ROW($E$2:$E$118)-ROW($E$2)+1), ROWS($S$3:AG5))), "")</f>
        <v>510</v>
      </c>
      <c r="AH5" s="224" cm="1">
        <f t="array" ref="AH5">IFERROR(INDEX($E$2:$E$118, SMALL(IF($A$2:$A$118=AH$2, ROW($E$2:$E$118)-ROW($E$2)+1), ROWS($S$3:AH5))), "")</f>
        <v>129</v>
      </c>
      <c r="AI5" s="224" t="str" cm="1">
        <f t="array" ref="AI5">IFERROR(INDEX($E$2:$E$118, SMALL(IF($A$2:$A$118=AI$2, ROW($E$2:$E$118)-ROW($E$2)+1), ROWS($S$3:AI5))), "")</f>
        <v/>
      </c>
      <c r="AJ5" s="224" cm="1">
        <f t="array" ref="AJ5">IFERROR(INDEX($E$2:$E$118, SMALL(IF($A$2:$A$118=AJ$2, ROW($E$2:$E$118)-ROW($E$2)+1), ROWS($S$3:AJ5))), "")</f>
        <v>429</v>
      </c>
      <c r="AK5" s="224" cm="1">
        <f t="array" ref="AK5">IFERROR(INDEX($E$2:$E$118, SMALL(IF($A$2:$A$118=AK$2, ROW($E$2:$E$118)-ROW($E$2)+1), ROWS($S$3:AK5))), "")</f>
        <v>129</v>
      </c>
      <c r="AL5" s="224" cm="1">
        <f t="array" ref="AL5">IFERROR(INDEX($E$2:$E$118, SMALL(IF($A$2:$A$118=AL$2, ROW($E$2:$E$118)-ROW($E$2)+1), ROWS($S$3:AL5))), "")</f>
        <v>230</v>
      </c>
      <c r="AM5" s="224" cm="1">
        <f t="array" ref="AM5">IFERROR(INDEX($E$2:$E$118, SMALL(IF($A$2:$A$118=AM$2, ROW($E$2:$E$118)-ROW($E$2)+1), ROWS($S$3:AM5))), "")</f>
        <v>230</v>
      </c>
      <c r="AN5" s="224" cm="1">
        <f t="array" ref="AN5">IFERROR(INDEX($E$2:$E$118, SMALL(IF($A$2:$A$118=AN$2, ROW($E$2:$E$118)-ROW($E$2)+1), ROWS($S$3:AN5))), "")</f>
        <v>510</v>
      </c>
      <c r="AO5" s="224" cm="1">
        <f t="array" ref="AO5">IFERROR(INDEX($E$2:$E$118, SMALL(IF($A$2:$A$118=AO$2, ROW($E$2:$E$118)-ROW($E$2)+1), ROWS($S$3:AO5))), "")</f>
        <v>429</v>
      </c>
      <c r="AP5" s="224" t="str" cm="1">
        <f t="array" ref="AP5">IFERROR(INDEX($E$2:$E$118, SMALL(IF($A$2:$A$118=AP$2, ROW($E$2:$E$118)-ROW($E$2)+1), ROWS($S$3:AP5))), "")</f>
        <v/>
      </c>
      <c r="AQ5" s="224" cm="1">
        <f t="array" ref="AQ5">IFERROR(INDEX($E$2:$E$118, SMALL(IF($A$2:$A$118=AQ$2, ROW($E$2:$E$118)-ROW($E$2)+1), ROWS($S$3:AQ5))), "")</f>
        <v>626</v>
      </c>
      <c r="AR5" s="224" cm="1">
        <f t="array" ref="AR5">IFERROR(INDEX($E$2:$E$118, SMALL(IF($A$2:$A$118=AR$2, ROW($E$2:$E$118)-ROW($E$2)+1), ROWS($S$3:AR5))), "")</f>
        <v>626</v>
      </c>
    </row>
    <row r="6" spans="1:44" x14ac:dyDescent="0.2">
      <c r="A6" s="45" t="s">
        <v>576</v>
      </c>
      <c r="B6" s="45" t="s">
        <v>188</v>
      </c>
      <c r="C6" s="230">
        <f>VLOOKUP(B6, 'S08 ABC Output'!$A$3:$C$18, 3, 0)</f>
        <v>54682</v>
      </c>
      <c r="D6" s="230">
        <f>VLOOKUP(B6, 'S12 Operations'!$C$2:$H$534, 6, 0)</f>
        <v>200</v>
      </c>
      <c r="E6" s="230">
        <f t="shared" si="3"/>
        <v>274</v>
      </c>
      <c r="F6" s="230">
        <f>VLOOKUP(A6, 'S11 Work Stations'!$A$2:$C$45, 3, 0)</f>
        <v>30</v>
      </c>
      <c r="G6" s="230">
        <f>VLOOKUP(B6&amp;"-"&amp;A6, 'S12 Operations'!$A$2:$G$534, 7, 0)</f>
        <v>420</v>
      </c>
      <c r="H6" s="229">
        <f t="shared" si="4"/>
        <v>7</v>
      </c>
      <c r="I6" s="229">
        <f t="shared" si="5"/>
        <v>390994</v>
      </c>
      <c r="J6" s="230">
        <f t="shared" si="6"/>
        <v>6517</v>
      </c>
      <c r="L6">
        <f t="shared" si="0"/>
        <v>2</v>
      </c>
      <c r="M6">
        <f t="shared" si="1"/>
        <v>274</v>
      </c>
      <c r="N6">
        <f t="shared" si="2"/>
        <v>433</v>
      </c>
      <c r="O6">
        <f t="shared" si="7"/>
        <v>2</v>
      </c>
      <c r="Q6" s="214" t="str" cm="1">
        <f t="array" ref="Q6">INDEX($A$2:$A$118,MATCH(0,COUNTIF($Q$1:Q5,$A$2:$A$118),0))</f>
        <v>WS-07</v>
      </c>
      <c r="S6" s="224" t="str" cm="1">
        <f t="array" ref="S6">IFERROR(INDEX($E$2:$E$118, SMALL(IF($A$2:$A$118=S$2, ROW($E$2:$E$118)-ROW($E$2)+1), ROWS($S$3:S6))), "")</f>
        <v/>
      </c>
      <c r="T6" s="224" t="str" cm="1">
        <f t="array" ref="T6">IFERROR(INDEX($E$2:$E$118, SMALL(IF($A$2:$A$118=T$2, ROW($E$2:$E$118)-ROW($E$2)+1), ROWS($S$3:T6))), "")</f>
        <v/>
      </c>
      <c r="U6" s="224" t="str" cm="1">
        <f t="array" ref="U6">IFERROR(INDEX($E$2:$E$118, SMALL(IF($A$2:$A$118=U$2, ROW($E$2:$E$118)-ROW($E$2)+1), ROWS($S$3:U6))), "")</f>
        <v/>
      </c>
      <c r="V6" s="224" cm="1">
        <f t="array" ref="V6">IFERROR(INDEX($E$2:$E$118, SMALL(IF($A$2:$A$118=V$2, ROW($E$2:$E$118)-ROW($E$2)+1), ROWS($S$3:V6))), "")</f>
        <v>183</v>
      </c>
      <c r="W6" s="224" cm="1">
        <f t="array" ref="W6">IFERROR(INDEX($E$2:$E$118, SMALL(IF($A$2:$A$118=W$2, ROW($E$2:$E$118)-ROW($E$2)+1), ROWS($S$3:W6))), "")</f>
        <v>129</v>
      </c>
      <c r="X6" s="224" t="str" cm="1">
        <f t="array" ref="X6">IFERROR(INDEX($E$2:$E$118, SMALL(IF($A$2:$A$118=X$2, ROW($E$2:$E$118)-ROW($E$2)+1), ROWS($S$3:X6))), "")</f>
        <v/>
      </c>
      <c r="Y6" s="224" t="str" cm="1">
        <f t="array" ref="Y6">IFERROR(INDEX($E$2:$E$118, SMALL(IF($A$2:$A$118=Y$2, ROW($E$2:$E$118)-ROW($E$2)+1), ROWS($S$3:Y6))), "")</f>
        <v/>
      </c>
      <c r="Z6" s="224" t="str" cm="1">
        <f t="array" ref="Z6">IFERROR(INDEX($E$2:$E$118, SMALL(IF($A$2:$A$118=Z$2, ROW($E$2:$E$118)-ROW($E$2)+1), ROWS($S$3:Z6))), "")</f>
        <v/>
      </c>
      <c r="AA6" s="224" t="str" cm="1">
        <f t="array" ref="AA6">IFERROR(INDEX($E$2:$E$118, SMALL(IF($A$2:$A$118=AA$2, ROW($E$2:$E$118)-ROW($E$2)+1), ROWS($S$3:AA6))), "")</f>
        <v/>
      </c>
      <c r="AB6" s="224" t="str" cm="1">
        <f t="array" ref="AB6">IFERROR(INDEX($E$2:$E$118, SMALL(IF($A$2:$A$118=AB$2, ROW($E$2:$E$118)-ROW($E$2)+1), ROWS($S$3:AB6))), "")</f>
        <v/>
      </c>
      <c r="AC6" s="224" t="str" cm="1">
        <f t="array" ref="AC6">IFERROR(INDEX($E$2:$E$118, SMALL(IF($A$2:$A$118=AC$2, ROW($E$2:$E$118)-ROW($E$2)+1), ROWS($S$3:AC6))), "")</f>
        <v/>
      </c>
      <c r="AD6" s="224" cm="1">
        <f t="array" ref="AD6">IFERROR(INDEX($E$2:$E$118, SMALL(IF($A$2:$A$118=AD$2, ROW($E$2:$E$118)-ROW($E$2)+1), ROWS($S$3:AD6))), "")</f>
        <v>183</v>
      </c>
      <c r="AE6" s="224" t="str" cm="1">
        <f t="array" ref="AE6">IFERROR(INDEX($E$2:$E$118, SMALL(IF($A$2:$A$118=AE$2, ROW($E$2:$E$118)-ROW($E$2)+1), ROWS($S$3:AE6))), "")</f>
        <v/>
      </c>
      <c r="AF6" s="224" t="str" cm="1">
        <f t="array" ref="AF6">IFERROR(INDEX($E$2:$E$118, SMALL(IF($A$2:$A$118=AF$2, ROW($E$2:$E$118)-ROW($E$2)+1), ROWS($S$3:AF6))), "")</f>
        <v/>
      </c>
      <c r="AG6" s="224" t="str" cm="1">
        <f t="array" ref="AG6">IFERROR(INDEX($E$2:$E$118, SMALL(IF($A$2:$A$118=AG$2, ROW($E$2:$E$118)-ROW($E$2)+1), ROWS($S$3:AG6))), "")</f>
        <v/>
      </c>
      <c r="AH6" s="224" t="str" cm="1">
        <f t="array" ref="AH6">IFERROR(INDEX($E$2:$E$118, SMALL(IF($A$2:$A$118=AH$2, ROW($E$2:$E$118)-ROW($E$2)+1), ROWS($S$3:AH6))), "")</f>
        <v/>
      </c>
      <c r="AI6" s="224" t="str" cm="1">
        <f t="array" ref="AI6">IFERROR(INDEX($E$2:$E$118, SMALL(IF($A$2:$A$118=AI$2, ROW($E$2:$E$118)-ROW($E$2)+1), ROWS($S$3:AI6))), "")</f>
        <v/>
      </c>
      <c r="AJ6" s="224" cm="1">
        <f t="array" ref="AJ6">IFERROR(INDEX($E$2:$E$118, SMALL(IF($A$2:$A$118=AJ$2, ROW($E$2:$E$118)-ROW($E$2)+1), ROWS($S$3:AJ6))), "")</f>
        <v>274</v>
      </c>
      <c r="AK6" s="224" t="str" cm="1">
        <f t="array" ref="AK6">IFERROR(INDEX($E$2:$E$118, SMALL(IF($A$2:$A$118=AK$2, ROW($E$2:$E$118)-ROW($E$2)+1), ROWS($S$3:AK6))), "")</f>
        <v/>
      </c>
      <c r="AL6" s="224" cm="1">
        <f t="array" ref="AL6">IFERROR(INDEX($E$2:$E$118, SMALL(IF($A$2:$A$118=AL$2, ROW($E$2:$E$118)-ROW($E$2)+1), ROWS($S$3:AL6))), "")</f>
        <v>183</v>
      </c>
      <c r="AM6" s="224" cm="1">
        <f t="array" ref="AM6">IFERROR(INDEX($E$2:$E$118, SMALL(IF($A$2:$A$118=AM$2, ROW($E$2:$E$118)-ROW($E$2)+1), ROWS($S$3:AM6))), "")</f>
        <v>183</v>
      </c>
      <c r="AN6" s="224" t="str" cm="1">
        <f t="array" ref="AN6">IFERROR(INDEX($E$2:$E$118, SMALL(IF($A$2:$A$118=AN$2, ROW($E$2:$E$118)-ROW($E$2)+1), ROWS($S$3:AN6))), "")</f>
        <v/>
      </c>
      <c r="AO6" s="224" cm="1">
        <f t="array" ref="AO6">IFERROR(INDEX($E$2:$E$118, SMALL(IF($A$2:$A$118=AO$2, ROW($E$2:$E$118)-ROW($E$2)+1), ROWS($S$3:AO6))), "")</f>
        <v>274</v>
      </c>
      <c r="AP6" s="224" t="str" cm="1">
        <f t="array" ref="AP6">IFERROR(INDEX($E$2:$E$118, SMALL(IF($A$2:$A$118=AP$2, ROW($E$2:$E$118)-ROW($E$2)+1), ROWS($S$3:AP6))), "")</f>
        <v/>
      </c>
      <c r="AQ6" s="224" cm="1">
        <f t="array" ref="AQ6">IFERROR(INDEX($E$2:$E$118, SMALL(IF($A$2:$A$118=AQ$2, ROW($E$2:$E$118)-ROW($E$2)+1), ROWS($S$3:AQ6))), "")</f>
        <v>433</v>
      </c>
      <c r="AR6" s="224" cm="1">
        <f t="array" ref="AR6">IFERROR(INDEX($E$2:$E$118, SMALL(IF($A$2:$A$118=AR$2, ROW($E$2:$E$118)-ROW($E$2)+1), ROWS($S$3:AR6))), "")</f>
        <v>433</v>
      </c>
    </row>
    <row r="7" spans="1:44" x14ac:dyDescent="0.2">
      <c r="A7" s="45" t="s">
        <v>577</v>
      </c>
      <c r="B7" s="45" t="s">
        <v>182</v>
      </c>
      <c r="C7" s="230">
        <f>VLOOKUP(B7, 'S08 ABC Output'!$A$3:$C$18, 3, 0)</f>
        <v>86542</v>
      </c>
      <c r="D7" s="230">
        <f>VLOOKUP(B7, 'S12 Operations'!$C$2:$H$534, 6, 0)</f>
        <v>200</v>
      </c>
      <c r="E7" s="230">
        <f t="shared" si="3"/>
        <v>433</v>
      </c>
      <c r="F7" s="230">
        <f>VLOOKUP(A7, 'S11 Work Stations'!$A$2:$C$45, 3, 0)</f>
        <v>40</v>
      </c>
      <c r="G7" s="230">
        <f>VLOOKUP(B7&amp;"-"&amp;A7, 'S12 Operations'!$A$2:$G$534, 7, 0)</f>
        <v>120</v>
      </c>
      <c r="H7" s="229">
        <f t="shared" si="4"/>
        <v>2</v>
      </c>
      <c r="I7" s="229">
        <f t="shared" si="5"/>
        <v>184044</v>
      </c>
      <c r="J7" s="230">
        <f t="shared" si="6"/>
        <v>3067</v>
      </c>
      <c r="L7">
        <f t="shared" si="0"/>
        <v>1</v>
      </c>
      <c r="M7">
        <f t="shared" si="1"/>
        <v>274</v>
      </c>
      <c r="N7">
        <f t="shared" si="2"/>
        <v>433</v>
      </c>
      <c r="O7">
        <f t="shared" si="7"/>
        <v>2</v>
      </c>
      <c r="Q7" s="214" t="str" cm="1">
        <f t="array" ref="Q7">INDEX($A$2:$A$118,MATCH(0,COUNTIF($Q$1:Q6,$A$2:$A$118),0))</f>
        <v>WS-08</v>
      </c>
      <c r="S7" s="224" t="str" cm="1">
        <f t="array" ref="S7">IFERROR(INDEX($E$2:$E$118, SMALL(IF($A$2:$A$118=S$2, ROW($E$2:$E$118)-ROW($E$2)+1), ROWS($S$3:S7))), "")</f>
        <v/>
      </c>
      <c r="T7" s="224" t="str" cm="1">
        <f t="array" ref="T7">IFERROR(INDEX($E$2:$E$118, SMALL(IF($A$2:$A$118=T$2, ROW($E$2:$E$118)-ROW($E$2)+1), ROWS($S$3:T7))), "")</f>
        <v/>
      </c>
      <c r="U7" s="224" t="str" cm="1">
        <f t="array" ref="U7">IFERROR(INDEX($E$2:$E$118, SMALL(IF($A$2:$A$118=U$2, ROW($E$2:$E$118)-ROW($E$2)+1), ROWS($S$3:U7))), "")</f>
        <v/>
      </c>
      <c r="V7" s="224" cm="1">
        <f t="array" ref="V7">IFERROR(INDEX($E$2:$E$118, SMALL(IF($A$2:$A$118=V$2, ROW($E$2:$E$118)-ROW($E$2)+1), ROWS($S$3:V7))), "")</f>
        <v>183</v>
      </c>
      <c r="W7" s="224" cm="1">
        <f t="array" ref="W7">IFERROR(INDEX($E$2:$E$118, SMALL(IF($A$2:$A$118=W$2, ROW($E$2:$E$118)-ROW($E$2)+1), ROWS($S$3:W7))), "")</f>
        <v>510</v>
      </c>
      <c r="X7" s="224" t="str" cm="1">
        <f t="array" ref="X7">IFERROR(INDEX($E$2:$E$118, SMALL(IF($A$2:$A$118=X$2, ROW($E$2:$E$118)-ROW($E$2)+1), ROWS($S$3:X7))), "")</f>
        <v/>
      </c>
      <c r="Y7" s="224" t="str" cm="1">
        <f t="array" ref="Y7">IFERROR(INDEX($E$2:$E$118, SMALL(IF($A$2:$A$118=Y$2, ROW($E$2:$E$118)-ROW($E$2)+1), ROWS($S$3:Y7))), "")</f>
        <v/>
      </c>
      <c r="Z7" s="224" t="str" cm="1">
        <f t="array" ref="Z7">IFERROR(INDEX($E$2:$E$118, SMALL(IF($A$2:$A$118=Z$2, ROW($E$2:$E$118)-ROW($E$2)+1), ROWS($S$3:Z7))), "")</f>
        <v/>
      </c>
      <c r="AA7" s="224" t="str" cm="1">
        <f t="array" ref="AA7">IFERROR(INDEX($E$2:$E$118, SMALL(IF($A$2:$A$118=AA$2, ROW($E$2:$E$118)-ROW($E$2)+1), ROWS($S$3:AA7))), "")</f>
        <v/>
      </c>
      <c r="AB7" s="224" t="str" cm="1">
        <f t="array" ref="AB7">IFERROR(INDEX($E$2:$E$118, SMALL(IF($A$2:$A$118=AB$2, ROW($E$2:$E$118)-ROW($E$2)+1), ROWS($S$3:AB7))), "")</f>
        <v/>
      </c>
      <c r="AC7" s="224" t="str" cm="1">
        <f t="array" ref="AC7">IFERROR(INDEX($E$2:$E$118, SMALL(IF($A$2:$A$118=AC$2, ROW($E$2:$E$118)-ROW($E$2)+1), ROWS($S$3:AC7))), "")</f>
        <v/>
      </c>
      <c r="AD7" s="224" cm="1">
        <f t="array" ref="AD7">IFERROR(INDEX($E$2:$E$118, SMALL(IF($A$2:$A$118=AD$2, ROW($E$2:$E$118)-ROW($E$2)+1), ROWS($S$3:AD7))), "")</f>
        <v>183</v>
      </c>
      <c r="AE7" s="224" t="str" cm="1">
        <f t="array" ref="AE7">IFERROR(INDEX($E$2:$E$118, SMALL(IF($A$2:$A$118=AE$2, ROW($E$2:$E$118)-ROW($E$2)+1), ROWS($S$3:AE7))), "")</f>
        <v/>
      </c>
      <c r="AF7" s="224" t="str" cm="1">
        <f t="array" ref="AF7">IFERROR(INDEX($E$2:$E$118, SMALL(IF($A$2:$A$118=AF$2, ROW($E$2:$E$118)-ROW($E$2)+1), ROWS($S$3:AF7))), "")</f>
        <v/>
      </c>
      <c r="AG7" s="224" t="str" cm="1">
        <f t="array" ref="AG7">IFERROR(INDEX($E$2:$E$118, SMALL(IF($A$2:$A$118=AG$2, ROW($E$2:$E$118)-ROW($E$2)+1), ROWS($S$3:AG7))), "")</f>
        <v/>
      </c>
      <c r="AH7" s="224" t="str" cm="1">
        <f t="array" ref="AH7">IFERROR(INDEX($E$2:$E$118, SMALL(IF($A$2:$A$118=AH$2, ROW($E$2:$E$118)-ROW($E$2)+1), ROWS($S$3:AH7))), "")</f>
        <v/>
      </c>
      <c r="AI7" s="224" t="str" cm="1">
        <f t="array" ref="AI7">IFERROR(INDEX($E$2:$E$118, SMALL(IF($A$2:$A$118=AI$2, ROW($E$2:$E$118)-ROW($E$2)+1), ROWS($S$3:AI7))), "")</f>
        <v/>
      </c>
      <c r="AJ7" s="224" cm="1">
        <f t="array" ref="AJ7">IFERROR(INDEX($E$2:$E$118, SMALL(IF($A$2:$A$118=AJ$2, ROW($E$2:$E$118)-ROW($E$2)+1), ROWS($S$3:AJ7))), "")</f>
        <v>254</v>
      </c>
      <c r="AK7" s="224" t="str" cm="1">
        <f t="array" ref="AK7">IFERROR(INDEX($E$2:$E$118, SMALL(IF($A$2:$A$118=AK$2, ROW($E$2:$E$118)-ROW($E$2)+1), ROWS($S$3:AK7))), "")</f>
        <v/>
      </c>
      <c r="AL7" s="224" cm="1">
        <f t="array" ref="AL7">IFERROR(INDEX($E$2:$E$118, SMALL(IF($A$2:$A$118=AL$2, ROW($E$2:$E$118)-ROW($E$2)+1), ROWS($S$3:AL7))), "")</f>
        <v>183</v>
      </c>
      <c r="AM7" s="224" cm="1">
        <f t="array" ref="AM7">IFERROR(INDEX($E$2:$E$118, SMALL(IF($A$2:$A$118=AM$2, ROW($E$2:$E$118)-ROW($E$2)+1), ROWS($S$3:AM7))), "")</f>
        <v>183</v>
      </c>
      <c r="AN7" s="224" t="str" cm="1">
        <f t="array" ref="AN7">IFERROR(INDEX($E$2:$E$118, SMALL(IF($A$2:$A$118=AN$2, ROW($E$2:$E$118)-ROW($E$2)+1), ROWS($S$3:AN7))), "")</f>
        <v/>
      </c>
      <c r="AO7" s="224" cm="1">
        <f t="array" ref="AO7">IFERROR(INDEX($E$2:$E$118, SMALL(IF($A$2:$A$118=AO$2, ROW($E$2:$E$118)-ROW($E$2)+1), ROWS($S$3:AO7))), "")</f>
        <v>254</v>
      </c>
      <c r="AP7" s="224" t="str" cm="1">
        <f t="array" ref="AP7">IFERROR(INDEX($E$2:$E$118, SMALL(IF($A$2:$A$118=AP$2, ROW($E$2:$E$118)-ROW($E$2)+1), ROWS($S$3:AP7))), "")</f>
        <v/>
      </c>
      <c r="AQ7" s="224" cm="1">
        <f t="array" ref="AQ7">IFERROR(INDEX($E$2:$E$118, SMALL(IF($A$2:$A$118=AQ$2, ROW($E$2:$E$118)-ROW($E$2)+1), ROWS($S$3:AQ7))), "")</f>
        <v>429</v>
      </c>
      <c r="AR7" s="224" cm="1">
        <f t="array" ref="AR7">IFERROR(INDEX($E$2:$E$118, SMALL(IF($A$2:$A$118=AR$2, ROW($E$2:$E$118)-ROW($E$2)+1), ROWS($S$3:AR7))), "")</f>
        <v>429</v>
      </c>
    </row>
    <row r="8" spans="1:44" x14ac:dyDescent="0.2">
      <c r="A8" s="45" t="s">
        <v>577</v>
      </c>
      <c r="B8" s="45" t="s">
        <v>188</v>
      </c>
      <c r="C8" s="230">
        <f>VLOOKUP(B8, 'S08 ABC Output'!$A$3:$C$18, 3, 0)</f>
        <v>54682</v>
      </c>
      <c r="D8" s="230">
        <f>VLOOKUP(B8, 'S12 Operations'!$C$2:$H$534, 6, 0)</f>
        <v>200</v>
      </c>
      <c r="E8" s="230">
        <f t="shared" si="3"/>
        <v>274</v>
      </c>
      <c r="F8" s="230">
        <f>VLOOKUP(A8, 'S11 Work Stations'!$A$2:$C$45, 3, 0)</f>
        <v>40</v>
      </c>
      <c r="G8" s="230">
        <f>VLOOKUP(B8&amp;"-"&amp;A8, 'S12 Operations'!$A$2:$G$534, 7, 0)</f>
        <v>180</v>
      </c>
      <c r="H8" s="229">
        <f t="shared" si="4"/>
        <v>3</v>
      </c>
      <c r="I8" s="229">
        <f t="shared" si="5"/>
        <v>175006</v>
      </c>
      <c r="J8" s="230">
        <f t="shared" si="6"/>
        <v>2917</v>
      </c>
      <c r="L8">
        <f t="shared" si="0"/>
        <v>2</v>
      </c>
      <c r="M8">
        <f t="shared" si="1"/>
        <v>274</v>
      </c>
      <c r="N8">
        <f t="shared" si="2"/>
        <v>433</v>
      </c>
      <c r="O8">
        <f t="shared" si="7"/>
        <v>2</v>
      </c>
      <c r="Q8" s="214" t="str" cm="1">
        <f t="array" ref="Q8">INDEX($A$2:$A$118,MATCH(0,COUNTIF($Q$1:Q7,$A$2:$A$118),0))</f>
        <v>WS-18</v>
      </c>
      <c r="S8" s="224" t="str" cm="1">
        <f t="array" ref="S8">IFERROR(INDEX($E$2:$E$118, SMALL(IF($A$2:$A$118=S$2, ROW($E$2:$E$118)-ROW($E$2)+1), ROWS($S$3:S8))), "")</f>
        <v/>
      </c>
      <c r="T8" s="224" t="str" cm="1">
        <f t="array" ref="T8">IFERROR(INDEX($E$2:$E$118, SMALL(IF($A$2:$A$118=T$2, ROW($E$2:$E$118)-ROW($E$2)+1), ROWS($S$3:T8))), "")</f>
        <v/>
      </c>
      <c r="U8" s="224" t="str" cm="1">
        <f t="array" ref="U8">IFERROR(INDEX($E$2:$E$118, SMALL(IF($A$2:$A$118=U$2, ROW($E$2:$E$118)-ROW($E$2)+1), ROWS($S$3:U8))), "")</f>
        <v/>
      </c>
      <c r="V8" s="224" cm="1">
        <f t="array" ref="V8">IFERROR(INDEX($E$2:$E$118, SMALL(IF($A$2:$A$118=V$2, ROW($E$2:$E$118)-ROW($E$2)+1), ROWS($S$3:V8))), "")</f>
        <v>129</v>
      </c>
      <c r="W8" s="224" t="str" cm="1">
        <f t="array" ref="W8">IFERROR(INDEX($E$2:$E$118, SMALL(IF($A$2:$A$118=W$2, ROW($E$2:$E$118)-ROW($E$2)+1), ROWS($S$3:W8))), "")</f>
        <v/>
      </c>
      <c r="X8" s="224" t="str" cm="1">
        <f t="array" ref="X8">IFERROR(INDEX($E$2:$E$118, SMALL(IF($A$2:$A$118=X$2, ROW($E$2:$E$118)-ROW($E$2)+1), ROWS($S$3:X8))), "")</f>
        <v/>
      </c>
      <c r="Y8" s="224" t="str" cm="1">
        <f t="array" ref="Y8">IFERROR(INDEX($E$2:$E$118, SMALL(IF($A$2:$A$118=Y$2, ROW($E$2:$E$118)-ROW($E$2)+1), ROWS($S$3:Y8))), "")</f>
        <v/>
      </c>
      <c r="Z8" s="224" t="str" cm="1">
        <f t="array" ref="Z8">IFERROR(INDEX($E$2:$E$118, SMALL(IF($A$2:$A$118=Z$2, ROW($E$2:$E$118)-ROW($E$2)+1), ROWS($S$3:Z8))), "")</f>
        <v/>
      </c>
      <c r="AA8" s="224" t="str" cm="1">
        <f t="array" ref="AA8">IFERROR(INDEX($E$2:$E$118, SMALL(IF($A$2:$A$118=AA$2, ROW($E$2:$E$118)-ROW($E$2)+1), ROWS($S$3:AA8))), "")</f>
        <v/>
      </c>
      <c r="AB8" s="224" t="str" cm="1">
        <f t="array" ref="AB8">IFERROR(INDEX($E$2:$E$118, SMALL(IF($A$2:$A$118=AB$2, ROW($E$2:$E$118)-ROW($E$2)+1), ROWS($S$3:AB8))), "")</f>
        <v/>
      </c>
      <c r="AC8" s="224" t="str" cm="1">
        <f t="array" ref="AC8">IFERROR(INDEX($E$2:$E$118, SMALL(IF($A$2:$A$118=AC$2, ROW($E$2:$E$118)-ROW($E$2)+1), ROWS($S$3:AC8))), "")</f>
        <v/>
      </c>
      <c r="AD8" s="224" cm="1">
        <f t="array" ref="AD8">IFERROR(INDEX($E$2:$E$118, SMALL(IF($A$2:$A$118=AD$2, ROW($E$2:$E$118)-ROW($E$2)+1), ROWS($S$3:AD8))), "")</f>
        <v>129</v>
      </c>
      <c r="AE8" s="224" t="str" cm="1">
        <f t="array" ref="AE8">IFERROR(INDEX($E$2:$E$118, SMALL(IF($A$2:$A$118=AE$2, ROW($E$2:$E$118)-ROW($E$2)+1), ROWS($S$3:AE8))), "")</f>
        <v/>
      </c>
      <c r="AF8" s="224" t="str" cm="1">
        <f t="array" ref="AF8">IFERROR(INDEX($E$2:$E$118, SMALL(IF($A$2:$A$118=AF$2, ROW($E$2:$E$118)-ROW($E$2)+1), ROWS($S$3:AF8))), "")</f>
        <v/>
      </c>
      <c r="AG8" s="224" t="str" cm="1">
        <f t="array" ref="AG8">IFERROR(INDEX($E$2:$E$118, SMALL(IF($A$2:$A$118=AG$2, ROW($E$2:$E$118)-ROW($E$2)+1), ROWS($S$3:AG8))), "")</f>
        <v/>
      </c>
      <c r="AH8" s="224" t="str" cm="1">
        <f t="array" ref="AH8">IFERROR(INDEX($E$2:$E$118, SMALL(IF($A$2:$A$118=AH$2, ROW($E$2:$E$118)-ROW($E$2)+1), ROWS($S$3:AH8))), "")</f>
        <v/>
      </c>
      <c r="AI8" s="224" t="str" cm="1">
        <f t="array" ref="AI8">IFERROR(INDEX($E$2:$E$118, SMALL(IF($A$2:$A$118=AI$2, ROW($E$2:$E$118)-ROW($E$2)+1), ROWS($S$3:AI8))), "")</f>
        <v/>
      </c>
      <c r="AJ8" s="224" cm="1">
        <f t="array" ref="AJ8">IFERROR(INDEX($E$2:$E$118, SMALL(IF($A$2:$A$118=AJ$2, ROW($E$2:$E$118)-ROW($E$2)+1), ROWS($S$3:AJ8))), "")</f>
        <v>129</v>
      </c>
      <c r="AK8" s="224" t="str" cm="1">
        <f t="array" ref="AK8">IFERROR(INDEX($E$2:$E$118, SMALL(IF($A$2:$A$118=AK$2, ROW($E$2:$E$118)-ROW($E$2)+1), ROWS($S$3:AK8))), "")</f>
        <v/>
      </c>
      <c r="AL8" s="224" cm="1">
        <f t="array" ref="AL8">IFERROR(INDEX($E$2:$E$118, SMALL(IF($A$2:$A$118=AL$2, ROW($E$2:$E$118)-ROW($E$2)+1), ROWS($S$3:AL8))), "")</f>
        <v>129</v>
      </c>
      <c r="AM8" s="224" cm="1">
        <f t="array" ref="AM8">IFERROR(INDEX($E$2:$E$118, SMALL(IF($A$2:$A$118=AM$2, ROW($E$2:$E$118)-ROW($E$2)+1), ROWS($S$3:AM8))), "")</f>
        <v>129</v>
      </c>
      <c r="AN8" s="224" t="str" cm="1">
        <f t="array" ref="AN8">IFERROR(INDEX($E$2:$E$118, SMALL(IF($A$2:$A$118=AN$2, ROW($E$2:$E$118)-ROW($E$2)+1), ROWS($S$3:AN8))), "")</f>
        <v/>
      </c>
      <c r="AO8" s="224" cm="1">
        <f t="array" ref="AO8">IFERROR(INDEX($E$2:$E$118, SMALL(IF($A$2:$A$118=AO$2, ROW($E$2:$E$118)-ROW($E$2)+1), ROWS($S$3:AO8))), "")</f>
        <v>129</v>
      </c>
      <c r="AP8" s="224" t="str" cm="1">
        <f t="array" ref="AP8">IFERROR(INDEX($E$2:$E$118, SMALL(IF($A$2:$A$118=AP$2, ROW($E$2:$E$118)-ROW($E$2)+1), ROWS($S$3:AP8))), "")</f>
        <v/>
      </c>
      <c r="AQ8" s="224" cm="1">
        <f t="array" ref="AQ8">IFERROR(INDEX($E$2:$E$118, SMALL(IF($A$2:$A$118=AQ$2, ROW($E$2:$E$118)-ROW($E$2)+1), ROWS($S$3:AQ8))), "")</f>
        <v>327</v>
      </c>
      <c r="AR8" s="224" cm="1">
        <f t="array" ref="AR8">IFERROR(INDEX($E$2:$E$118, SMALL(IF($A$2:$A$118=AR$2, ROW($E$2:$E$118)-ROW($E$2)+1), ROWS($S$3:AR8))), "")</f>
        <v>327</v>
      </c>
    </row>
    <row r="9" spans="1:44" x14ac:dyDescent="0.2">
      <c r="A9" s="45" t="s">
        <v>578</v>
      </c>
      <c r="B9" s="45" t="s">
        <v>178</v>
      </c>
      <c r="C9" s="230">
        <f>VLOOKUP(B9, 'S08 ABC Output'!$A$3:$C$18, 3, 0)</f>
        <v>215425</v>
      </c>
      <c r="D9" s="230">
        <f>VLOOKUP(B9, 'S12 Operations'!$C$2:$H$534, 6, 0)</f>
        <v>200</v>
      </c>
      <c r="E9" s="230">
        <f t="shared" si="3"/>
        <v>1078</v>
      </c>
      <c r="F9" s="230">
        <f>VLOOKUP(A9, 'S11 Work Stations'!$A$2:$C$45, 3, 0)</f>
        <v>30</v>
      </c>
      <c r="G9" s="230">
        <f>VLOOKUP(B9&amp;"-"&amp;A9, 'S12 Operations'!$A$2:$G$534, 7, 0)</f>
        <v>480</v>
      </c>
      <c r="H9" s="229">
        <f t="shared" si="4"/>
        <v>8</v>
      </c>
      <c r="I9" s="229">
        <f t="shared" si="5"/>
        <v>1733210</v>
      </c>
      <c r="J9" s="230">
        <f t="shared" si="6"/>
        <v>28887</v>
      </c>
      <c r="L9">
        <f t="shared" si="0"/>
        <v>1</v>
      </c>
      <c r="M9">
        <f t="shared" si="1"/>
        <v>129</v>
      </c>
      <c r="N9">
        <f t="shared" si="2"/>
        <v>1078</v>
      </c>
      <c r="O9">
        <f t="shared" si="7"/>
        <v>6</v>
      </c>
      <c r="Q9" s="214" t="str" cm="1">
        <f t="array" ref="Q9">INDEX($A$2:$A$118,MATCH(0,COUNTIF($Q$1:Q8,$A$2:$A$118),0))</f>
        <v>WS-20</v>
      </c>
      <c r="S9" s="224" t="str" cm="1">
        <f t="array" ref="S9">IFERROR(INDEX($E$2:$E$118, SMALL(IF($A$2:$A$118=S$2, ROW($E$2:$E$118)-ROW($E$2)+1), ROWS($S$3:S9))), "")</f>
        <v/>
      </c>
      <c r="T9" s="224" t="str" cm="1">
        <f t="array" ref="T9">IFERROR(INDEX($E$2:$E$118, SMALL(IF($A$2:$A$118=T$2, ROW($E$2:$E$118)-ROW($E$2)+1), ROWS($S$3:T9))), "")</f>
        <v/>
      </c>
      <c r="U9" s="224" t="str" cm="1">
        <f t="array" ref="U9">IFERROR(INDEX($E$2:$E$118, SMALL(IF($A$2:$A$118=U$2, ROW($E$2:$E$118)-ROW($E$2)+1), ROWS($S$3:U9))), "")</f>
        <v/>
      </c>
      <c r="V9" s="224" t="str" cm="1">
        <f t="array" ref="V9">IFERROR(INDEX($E$2:$E$118, SMALL(IF($A$2:$A$118=V$2, ROW($E$2:$E$118)-ROW($E$2)+1), ROWS($S$3:V9))), "")</f>
        <v/>
      </c>
      <c r="W9" s="224" t="str" cm="1">
        <f t="array" ref="W9">IFERROR(INDEX($E$2:$E$118, SMALL(IF($A$2:$A$118=W$2, ROW($E$2:$E$118)-ROW($E$2)+1), ROWS($S$3:W9))), "")</f>
        <v/>
      </c>
      <c r="X9" s="224" t="str" cm="1">
        <f t="array" ref="X9">IFERROR(INDEX($E$2:$E$118, SMALL(IF($A$2:$A$118=X$2, ROW($E$2:$E$118)-ROW($E$2)+1), ROWS($S$3:X9))), "")</f>
        <v/>
      </c>
      <c r="Y9" s="224" t="str" cm="1">
        <f t="array" ref="Y9">IFERROR(INDEX($E$2:$E$118, SMALL(IF($A$2:$A$118=Y$2, ROW($E$2:$E$118)-ROW($E$2)+1), ROWS($S$3:Y9))), "")</f>
        <v/>
      </c>
      <c r="Z9" s="224" t="str" cm="1">
        <f t="array" ref="Z9">IFERROR(INDEX($E$2:$E$118, SMALL(IF($A$2:$A$118=Z$2, ROW($E$2:$E$118)-ROW($E$2)+1), ROWS($S$3:Z9))), "")</f>
        <v/>
      </c>
      <c r="AA9" s="224" t="str" cm="1">
        <f t="array" ref="AA9">IFERROR(INDEX($E$2:$E$118, SMALL(IF($A$2:$A$118=AA$2, ROW($E$2:$E$118)-ROW($E$2)+1), ROWS($S$3:AA9))), "")</f>
        <v/>
      </c>
      <c r="AB9" s="224" t="str" cm="1">
        <f t="array" ref="AB9">IFERROR(INDEX($E$2:$E$118, SMALL(IF($A$2:$A$118=AB$2, ROW($E$2:$E$118)-ROW($E$2)+1), ROWS($S$3:AB9))), "")</f>
        <v/>
      </c>
      <c r="AC9" s="224" t="str" cm="1">
        <f t="array" ref="AC9">IFERROR(INDEX($E$2:$E$118, SMALL(IF($A$2:$A$118=AC$2, ROW($E$2:$E$118)-ROW($E$2)+1), ROWS($S$3:AC9))), "")</f>
        <v/>
      </c>
      <c r="AD9" s="224" t="str" cm="1">
        <f t="array" ref="AD9">IFERROR(INDEX($E$2:$E$118, SMALL(IF($A$2:$A$118=AD$2, ROW($E$2:$E$118)-ROW($E$2)+1), ROWS($S$3:AD9))), "")</f>
        <v/>
      </c>
      <c r="AE9" s="224" t="str" cm="1">
        <f t="array" ref="AE9">IFERROR(INDEX($E$2:$E$118, SMALL(IF($A$2:$A$118=AE$2, ROW($E$2:$E$118)-ROW($E$2)+1), ROWS($S$3:AE9))), "")</f>
        <v/>
      </c>
      <c r="AF9" s="224" t="str" cm="1">
        <f t="array" ref="AF9">IFERROR(INDEX($E$2:$E$118, SMALL(IF($A$2:$A$118=AF$2, ROW($E$2:$E$118)-ROW($E$2)+1), ROWS($S$3:AF9))), "")</f>
        <v/>
      </c>
      <c r="AG9" s="224" t="str" cm="1">
        <f t="array" ref="AG9">IFERROR(INDEX($E$2:$E$118, SMALL(IF($A$2:$A$118=AG$2, ROW($E$2:$E$118)-ROW($E$2)+1), ROWS($S$3:AG9))), "")</f>
        <v/>
      </c>
      <c r="AH9" s="224" t="str" cm="1">
        <f t="array" ref="AH9">IFERROR(INDEX($E$2:$E$118, SMALL(IF($A$2:$A$118=AH$2, ROW($E$2:$E$118)-ROW($E$2)+1), ROWS($S$3:AH9))), "")</f>
        <v/>
      </c>
      <c r="AI9" s="224" t="str" cm="1">
        <f t="array" ref="AI9">IFERROR(INDEX($E$2:$E$118, SMALL(IF($A$2:$A$118=AI$2, ROW($E$2:$E$118)-ROW($E$2)+1), ROWS($S$3:AI9))), "")</f>
        <v/>
      </c>
      <c r="AJ9" s="224" cm="1">
        <f t="array" ref="AJ9">IFERROR(INDEX($E$2:$E$118, SMALL(IF($A$2:$A$118=AJ$2, ROW($E$2:$E$118)-ROW($E$2)+1), ROWS($S$3:AJ9))), "")</f>
        <v>510</v>
      </c>
      <c r="AK9" s="224" t="str" cm="1">
        <f t="array" ref="AK9">IFERROR(INDEX($E$2:$E$118, SMALL(IF($A$2:$A$118=AK$2, ROW($E$2:$E$118)-ROW($E$2)+1), ROWS($S$3:AK9))), "")</f>
        <v/>
      </c>
      <c r="AL9" s="224" t="str" cm="1">
        <f t="array" ref="AL9">IFERROR(INDEX($E$2:$E$118, SMALL(IF($A$2:$A$118=AL$2, ROW($E$2:$E$118)-ROW($E$2)+1), ROWS($S$3:AL9))), "")</f>
        <v/>
      </c>
      <c r="AM9" s="224" t="str" cm="1">
        <f t="array" ref="AM9">IFERROR(INDEX($E$2:$E$118, SMALL(IF($A$2:$A$118=AM$2, ROW($E$2:$E$118)-ROW($E$2)+1), ROWS($S$3:AM9))), "")</f>
        <v/>
      </c>
      <c r="AN9" s="224" t="str" cm="1">
        <f t="array" ref="AN9">IFERROR(INDEX($E$2:$E$118, SMALL(IF($A$2:$A$118=AN$2, ROW($E$2:$E$118)-ROW($E$2)+1), ROWS($S$3:AN9))), "")</f>
        <v/>
      </c>
      <c r="AO9" s="224" cm="1">
        <f t="array" ref="AO9">IFERROR(INDEX($E$2:$E$118, SMALL(IF($A$2:$A$118=AO$2, ROW($E$2:$E$118)-ROW($E$2)+1), ROWS($S$3:AO9))), "")</f>
        <v>129</v>
      </c>
      <c r="AP9" s="224" t="str" cm="1">
        <f t="array" ref="AP9">IFERROR(INDEX($E$2:$E$118, SMALL(IF($A$2:$A$118=AP$2, ROW($E$2:$E$118)-ROW($E$2)+1), ROWS($S$3:AP9))), "")</f>
        <v/>
      </c>
      <c r="AQ9" s="224" cm="1">
        <f t="array" ref="AQ9">IFERROR(INDEX($E$2:$E$118, SMALL(IF($A$2:$A$118=AQ$2, ROW($E$2:$E$118)-ROW($E$2)+1), ROWS($S$3:AQ9))), "")</f>
        <v>274</v>
      </c>
      <c r="AR9" s="224" cm="1">
        <f t="array" ref="AR9">IFERROR(INDEX($E$2:$E$118, SMALL(IF($A$2:$A$118=AR$2, ROW($E$2:$E$118)-ROW($E$2)+1), ROWS($S$3:AR9))), "")</f>
        <v>274</v>
      </c>
    </row>
    <row r="10" spans="1:44" x14ac:dyDescent="0.2">
      <c r="A10" s="45" t="s">
        <v>578</v>
      </c>
      <c r="B10" s="45" t="s">
        <v>186</v>
      </c>
      <c r="C10" s="230">
        <f>VLOOKUP(B10, 'S08 ABC Output'!$A$3:$C$18, 3, 0)</f>
        <v>65248</v>
      </c>
      <c r="D10" s="230">
        <f>VLOOKUP(B10, 'S12 Operations'!$C$2:$H$534, 6, 0)</f>
        <v>200</v>
      </c>
      <c r="E10" s="230">
        <f t="shared" si="3"/>
        <v>327</v>
      </c>
      <c r="F10" s="230">
        <f>VLOOKUP(A10, 'S11 Work Stations'!$A$2:$C$45, 3, 0)</f>
        <v>30</v>
      </c>
      <c r="G10" s="230">
        <f>VLOOKUP(B10&amp;"-"&amp;A10, 'S12 Operations'!$A$2:$G$534, 7, 0)</f>
        <v>720</v>
      </c>
      <c r="H10" s="229">
        <f t="shared" si="4"/>
        <v>12</v>
      </c>
      <c r="I10" s="229">
        <f t="shared" si="5"/>
        <v>792786</v>
      </c>
      <c r="J10" s="230">
        <f t="shared" si="6"/>
        <v>13213</v>
      </c>
      <c r="L10">
        <f t="shared" si="0"/>
        <v>2</v>
      </c>
      <c r="M10">
        <f t="shared" si="1"/>
        <v>129</v>
      </c>
      <c r="N10">
        <f t="shared" si="2"/>
        <v>1078</v>
      </c>
      <c r="O10">
        <f t="shared" si="7"/>
        <v>6</v>
      </c>
      <c r="Q10" s="214" t="str" cm="1">
        <f t="array" ref="Q10">INDEX($A$2:$A$118,MATCH(0,COUNTIF($Q$1:Q9,$A$2:$A$118),0))</f>
        <v>WS-21</v>
      </c>
      <c r="S10" s="224" t="str" cm="1">
        <f t="array" ref="S10">IFERROR(INDEX($E$2:$E$118, SMALL(IF($A$2:$A$118=S$2, ROW($E$2:$E$118)-ROW($E$2)+1), ROWS($S$3:S10))), "")</f>
        <v/>
      </c>
      <c r="T10" s="224" t="str" cm="1">
        <f t="array" ref="T10">IFERROR(INDEX($E$2:$E$118, SMALL(IF($A$2:$A$118=T$2, ROW($E$2:$E$118)-ROW($E$2)+1), ROWS($S$3:T10))), "")</f>
        <v/>
      </c>
      <c r="U10" s="224" t="str" cm="1">
        <f t="array" ref="U10">IFERROR(INDEX($E$2:$E$118, SMALL(IF($A$2:$A$118=U$2, ROW($E$2:$E$118)-ROW($E$2)+1), ROWS($S$3:U10))), "")</f>
        <v/>
      </c>
      <c r="V10" s="224" t="str" cm="1">
        <f t="array" ref="V10">IFERROR(INDEX($E$2:$E$118, SMALL(IF($A$2:$A$118=V$2, ROW($E$2:$E$118)-ROW($E$2)+1), ROWS($S$3:V10))), "")</f>
        <v/>
      </c>
      <c r="W10" s="224" t="str" cm="1">
        <f t="array" ref="W10">IFERROR(INDEX($E$2:$E$118, SMALL(IF($A$2:$A$118=W$2, ROW($E$2:$E$118)-ROW($E$2)+1), ROWS($S$3:W10))), "")</f>
        <v/>
      </c>
      <c r="X10" s="224" t="str" cm="1">
        <f t="array" ref="X10">IFERROR(INDEX($E$2:$E$118, SMALL(IF($A$2:$A$118=X$2, ROW($E$2:$E$118)-ROW($E$2)+1), ROWS($S$3:X10))), "")</f>
        <v/>
      </c>
      <c r="Y10" s="224" t="str" cm="1">
        <f t="array" ref="Y10">IFERROR(INDEX($E$2:$E$118, SMALL(IF($A$2:$A$118=Y$2, ROW($E$2:$E$118)-ROW($E$2)+1), ROWS($S$3:Y10))), "")</f>
        <v/>
      </c>
      <c r="Z10" s="224" t="str" cm="1">
        <f t="array" ref="Z10">IFERROR(INDEX($E$2:$E$118, SMALL(IF($A$2:$A$118=Z$2, ROW($E$2:$E$118)-ROW($E$2)+1), ROWS($S$3:Z10))), "")</f>
        <v/>
      </c>
      <c r="AA10" s="224" t="str" cm="1">
        <f t="array" ref="AA10">IFERROR(INDEX($E$2:$E$118, SMALL(IF($A$2:$A$118=AA$2, ROW($E$2:$E$118)-ROW($E$2)+1), ROWS($S$3:AA10))), "")</f>
        <v/>
      </c>
      <c r="AB10" s="224" t="str" cm="1">
        <f t="array" ref="AB10">IFERROR(INDEX($E$2:$E$118, SMALL(IF($A$2:$A$118=AB$2, ROW($E$2:$E$118)-ROW($E$2)+1), ROWS($S$3:AB10))), "")</f>
        <v/>
      </c>
      <c r="AC10" s="224" t="str" cm="1">
        <f t="array" ref="AC10">IFERROR(INDEX($E$2:$E$118, SMALL(IF($A$2:$A$118=AC$2, ROW($E$2:$E$118)-ROW($E$2)+1), ROWS($S$3:AC10))), "")</f>
        <v/>
      </c>
      <c r="AD10" s="224" t="str" cm="1">
        <f t="array" ref="AD10">IFERROR(INDEX($E$2:$E$118, SMALL(IF($A$2:$A$118=AD$2, ROW($E$2:$E$118)-ROW($E$2)+1), ROWS($S$3:AD10))), "")</f>
        <v/>
      </c>
      <c r="AE10" s="224" t="str" cm="1">
        <f t="array" ref="AE10">IFERROR(INDEX($E$2:$E$118, SMALL(IF($A$2:$A$118=AE$2, ROW($E$2:$E$118)-ROW($E$2)+1), ROWS($S$3:AE10))), "")</f>
        <v/>
      </c>
      <c r="AF10" s="224" t="str" cm="1">
        <f t="array" ref="AF10">IFERROR(INDEX($E$2:$E$118, SMALL(IF($A$2:$A$118=AF$2, ROW($E$2:$E$118)-ROW($E$2)+1), ROWS($S$3:AF10))), "")</f>
        <v/>
      </c>
      <c r="AG10" s="224" t="str" cm="1">
        <f t="array" ref="AG10">IFERROR(INDEX($E$2:$E$118, SMALL(IF($A$2:$A$118=AG$2, ROW($E$2:$E$118)-ROW($E$2)+1), ROWS($S$3:AG10))), "")</f>
        <v/>
      </c>
      <c r="AH10" s="224" t="str" cm="1">
        <f t="array" ref="AH10">IFERROR(INDEX($E$2:$E$118, SMALL(IF($A$2:$A$118=AH$2, ROW($E$2:$E$118)-ROW($E$2)+1), ROWS($S$3:AH10))), "")</f>
        <v/>
      </c>
      <c r="AI10" s="224" t="str" cm="1">
        <f t="array" ref="AI10">IFERROR(INDEX($E$2:$E$118, SMALL(IF($A$2:$A$118=AI$2, ROW($E$2:$E$118)-ROW($E$2)+1), ROWS($S$3:AI10))), "")</f>
        <v/>
      </c>
      <c r="AJ10" s="224" t="str" cm="1">
        <f t="array" ref="AJ10">IFERROR(INDEX($E$2:$E$118, SMALL(IF($A$2:$A$118=AJ$2, ROW($E$2:$E$118)-ROW($E$2)+1), ROWS($S$3:AJ10))), "")</f>
        <v/>
      </c>
      <c r="AK10" s="224" t="str" cm="1">
        <f t="array" ref="AK10">IFERROR(INDEX($E$2:$E$118, SMALL(IF($A$2:$A$118=AK$2, ROW($E$2:$E$118)-ROW($E$2)+1), ROWS($S$3:AK10))), "")</f>
        <v/>
      </c>
      <c r="AL10" s="224" t="str" cm="1">
        <f t="array" ref="AL10">IFERROR(INDEX($E$2:$E$118, SMALL(IF($A$2:$A$118=AL$2, ROW($E$2:$E$118)-ROW($E$2)+1), ROWS($S$3:AL10))), "")</f>
        <v/>
      </c>
      <c r="AM10" s="224" t="str" cm="1">
        <f t="array" ref="AM10">IFERROR(INDEX($E$2:$E$118, SMALL(IF($A$2:$A$118=AM$2, ROW($E$2:$E$118)-ROW($E$2)+1), ROWS($S$3:AM10))), "")</f>
        <v/>
      </c>
      <c r="AN10" s="224" t="str" cm="1">
        <f t="array" ref="AN10">IFERROR(INDEX($E$2:$E$118, SMALL(IF($A$2:$A$118=AN$2, ROW($E$2:$E$118)-ROW($E$2)+1), ROWS($S$3:AN10))), "")</f>
        <v/>
      </c>
      <c r="AO10" s="224" t="str" cm="1">
        <f t="array" ref="AO10">IFERROR(INDEX($E$2:$E$118, SMALL(IF($A$2:$A$118=AO$2, ROW($E$2:$E$118)-ROW($E$2)+1), ROWS($S$3:AO10))), "")</f>
        <v/>
      </c>
      <c r="AP10" s="224" t="str" cm="1">
        <f t="array" ref="AP10">IFERROR(INDEX($E$2:$E$118, SMALL(IF($A$2:$A$118=AP$2, ROW($E$2:$E$118)-ROW($E$2)+1), ROWS($S$3:AP10))), "")</f>
        <v/>
      </c>
      <c r="AQ10" s="224" cm="1">
        <f t="array" ref="AQ10">IFERROR(INDEX($E$2:$E$118, SMALL(IF($A$2:$A$118=AQ$2, ROW($E$2:$E$118)-ROW($E$2)+1), ROWS($S$3:AQ10))), "")</f>
        <v>254</v>
      </c>
      <c r="AR10" s="224" cm="1">
        <f t="array" ref="AR10">IFERROR(INDEX($E$2:$E$118, SMALL(IF($A$2:$A$118=AR$2, ROW($E$2:$E$118)-ROW($E$2)+1), ROWS($S$3:AR10))), "")</f>
        <v>254</v>
      </c>
    </row>
    <row r="11" spans="1:44" x14ac:dyDescent="0.2">
      <c r="A11" s="45" t="s">
        <v>578</v>
      </c>
      <c r="B11" s="45" t="s">
        <v>192</v>
      </c>
      <c r="C11" s="230">
        <f>VLOOKUP(B11, 'S08 ABC Output'!$A$3:$C$18, 3, 0)</f>
        <v>45896</v>
      </c>
      <c r="D11" s="230">
        <f>VLOOKUP(B11, 'S12 Operations'!$C$2:$H$534, 6, 0)</f>
        <v>200</v>
      </c>
      <c r="E11" s="230">
        <f t="shared" si="3"/>
        <v>230</v>
      </c>
      <c r="F11" s="230">
        <f>VLOOKUP(A11, 'S11 Work Stations'!$A$2:$C$45, 3, 0)</f>
        <v>30</v>
      </c>
      <c r="G11" s="230">
        <f>VLOOKUP(B11&amp;"-"&amp;A11, 'S12 Operations'!$A$2:$G$534, 7, 0)</f>
        <v>720</v>
      </c>
      <c r="H11" s="229">
        <f t="shared" si="4"/>
        <v>12</v>
      </c>
      <c r="I11" s="229">
        <f t="shared" si="5"/>
        <v>557652</v>
      </c>
      <c r="J11" s="230">
        <f t="shared" si="6"/>
        <v>9294</v>
      </c>
      <c r="L11">
        <f t="shared" si="0"/>
        <v>3</v>
      </c>
      <c r="M11">
        <f t="shared" si="1"/>
        <v>129</v>
      </c>
      <c r="N11">
        <f t="shared" si="2"/>
        <v>1078</v>
      </c>
      <c r="O11">
        <f t="shared" si="7"/>
        <v>6</v>
      </c>
      <c r="Q11" s="214" t="str" cm="1">
        <f t="array" ref="Q11">INDEX($A$2:$A$118,MATCH(0,COUNTIF($Q$1:Q10,$A$2:$A$118),0))</f>
        <v>WS-23</v>
      </c>
      <c r="S11" s="224" t="str" cm="1">
        <f t="array" ref="S11">IFERROR(INDEX($E$2:$E$118, SMALL(IF($A$2:$A$118=S$2, ROW($E$2:$E$118)-ROW($E$2)+1), ROWS($S$3:S11))), "")</f>
        <v/>
      </c>
      <c r="T11" s="224" t="str" cm="1">
        <f t="array" ref="T11">IFERROR(INDEX($E$2:$E$118, SMALL(IF($A$2:$A$118=T$2, ROW($E$2:$E$118)-ROW($E$2)+1), ROWS($S$3:T11))), "")</f>
        <v/>
      </c>
      <c r="U11" s="224" t="str" cm="1">
        <f t="array" ref="U11">IFERROR(INDEX($E$2:$E$118, SMALL(IF($A$2:$A$118=U$2, ROW($E$2:$E$118)-ROW($E$2)+1), ROWS($S$3:U11))), "")</f>
        <v/>
      </c>
      <c r="V11" s="224" t="str" cm="1">
        <f t="array" ref="V11">IFERROR(INDEX($E$2:$E$118, SMALL(IF($A$2:$A$118=V$2, ROW($E$2:$E$118)-ROW($E$2)+1), ROWS($S$3:V11))), "")</f>
        <v/>
      </c>
      <c r="W11" s="224" t="str" cm="1">
        <f t="array" ref="W11">IFERROR(INDEX($E$2:$E$118, SMALL(IF($A$2:$A$118=W$2, ROW($E$2:$E$118)-ROW($E$2)+1), ROWS($S$3:W11))), "")</f>
        <v/>
      </c>
      <c r="X11" s="224" t="str" cm="1">
        <f t="array" ref="X11">IFERROR(INDEX($E$2:$E$118, SMALL(IF($A$2:$A$118=X$2, ROW($E$2:$E$118)-ROW($E$2)+1), ROWS($S$3:X11))), "")</f>
        <v/>
      </c>
      <c r="Y11" s="224" t="str" cm="1">
        <f t="array" ref="Y11">IFERROR(INDEX($E$2:$E$118, SMALL(IF($A$2:$A$118=Y$2, ROW($E$2:$E$118)-ROW($E$2)+1), ROWS($S$3:Y11))), "")</f>
        <v/>
      </c>
      <c r="Z11" s="224" t="str" cm="1">
        <f t="array" ref="Z11">IFERROR(INDEX($E$2:$E$118, SMALL(IF($A$2:$A$118=Z$2, ROW($E$2:$E$118)-ROW($E$2)+1), ROWS($S$3:Z11))), "")</f>
        <v/>
      </c>
      <c r="AA11" s="224" t="str" cm="1">
        <f t="array" ref="AA11">IFERROR(INDEX($E$2:$E$118, SMALL(IF($A$2:$A$118=AA$2, ROW($E$2:$E$118)-ROW($E$2)+1), ROWS($S$3:AA11))), "")</f>
        <v/>
      </c>
      <c r="AB11" s="224" t="str" cm="1">
        <f t="array" ref="AB11">IFERROR(INDEX($E$2:$E$118, SMALL(IF($A$2:$A$118=AB$2, ROW($E$2:$E$118)-ROW($E$2)+1), ROWS($S$3:AB11))), "")</f>
        <v/>
      </c>
      <c r="AC11" s="224" t="str" cm="1">
        <f t="array" ref="AC11">IFERROR(INDEX($E$2:$E$118, SMALL(IF($A$2:$A$118=AC$2, ROW($E$2:$E$118)-ROW($E$2)+1), ROWS($S$3:AC11))), "")</f>
        <v/>
      </c>
      <c r="AD11" s="224" t="str" cm="1">
        <f t="array" ref="AD11">IFERROR(INDEX($E$2:$E$118, SMALL(IF($A$2:$A$118=AD$2, ROW($E$2:$E$118)-ROW($E$2)+1), ROWS($S$3:AD11))), "")</f>
        <v/>
      </c>
      <c r="AE11" s="224" t="str" cm="1">
        <f t="array" ref="AE11">IFERROR(INDEX($E$2:$E$118, SMALL(IF($A$2:$A$118=AE$2, ROW($E$2:$E$118)-ROW($E$2)+1), ROWS($S$3:AE11))), "")</f>
        <v/>
      </c>
      <c r="AF11" s="224" t="str" cm="1">
        <f t="array" ref="AF11">IFERROR(INDEX($E$2:$E$118, SMALL(IF($A$2:$A$118=AF$2, ROW($E$2:$E$118)-ROW($E$2)+1), ROWS($S$3:AF11))), "")</f>
        <v/>
      </c>
      <c r="AG11" s="224" t="str" cm="1">
        <f t="array" ref="AG11">IFERROR(INDEX($E$2:$E$118, SMALL(IF($A$2:$A$118=AG$2, ROW($E$2:$E$118)-ROW($E$2)+1), ROWS($S$3:AG11))), "")</f>
        <v/>
      </c>
      <c r="AH11" s="224" t="str" cm="1">
        <f t="array" ref="AH11">IFERROR(INDEX($E$2:$E$118, SMALL(IF($A$2:$A$118=AH$2, ROW($E$2:$E$118)-ROW($E$2)+1), ROWS($S$3:AH11))), "")</f>
        <v/>
      </c>
      <c r="AI11" s="224" t="str" cm="1">
        <f t="array" ref="AI11">IFERROR(INDEX($E$2:$E$118, SMALL(IF($A$2:$A$118=AI$2, ROW($E$2:$E$118)-ROW($E$2)+1), ROWS($S$3:AI11))), "")</f>
        <v/>
      </c>
      <c r="AJ11" s="224" t="str" cm="1">
        <f t="array" ref="AJ11">IFERROR(INDEX($E$2:$E$118, SMALL(IF($A$2:$A$118=AJ$2, ROW($E$2:$E$118)-ROW($E$2)+1), ROWS($S$3:AJ11))), "")</f>
        <v/>
      </c>
      <c r="AK11" s="224" t="str" cm="1">
        <f t="array" ref="AK11">IFERROR(INDEX($E$2:$E$118, SMALL(IF($A$2:$A$118=AK$2, ROW($E$2:$E$118)-ROW($E$2)+1), ROWS($S$3:AK11))), "")</f>
        <v/>
      </c>
      <c r="AL11" s="224" t="str" cm="1">
        <f t="array" ref="AL11">IFERROR(INDEX($E$2:$E$118, SMALL(IF($A$2:$A$118=AL$2, ROW($E$2:$E$118)-ROW($E$2)+1), ROWS($S$3:AL11))), "")</f>
        <v/>
      </c>
      <c r="AM11" s="224" t="str" cm="1">
        <f t="array" ref="AM11">IFERROR(INDEX($E$2:$E$118, SMALL(IF($A$2:$A$118=AM$2, ROW($E$2:$E$118)-ROW($E$2)+1), ROWS($S$3:AM11))), "")</f>
        <v/>
      </c>
      <c r="AN11" s="224" t="str" cm="1">
        <f t="array" ref="AN11">IFERROR(INDEX($E$2:$E$118, SMALL(IF($A$2:$A$118=AN$2, ROW($E$2:$E$118)-ROW($E$2)+1), ROWS($S$3:AN11))), "")</f>
        <v/>
      </c>
      <c r="AO11" s="224" t="str" cm="1">
        <f t="array" ref="AO11">IFERROR(INDEX($E$2:$E$118, SMALL(IF($A$2:$A$118=AO$2, ROW($E$2:$E$118)-ROW($E$2)+1), ROWS($S$3:AO11))), "")</f>
        <v/>
      </c>
      <c r="AP11" s="224" t="str" cm="1">
        <f t="array" ref="AP11">IFERROR(INDEX($E$2:$E$118, SMALL(IF($A$2:$A$118=AP$2, ROW($E$2:$E$118)-ROW($E$2)+1), ROWS($S$3:AP11))), "")</f>
        <v/>
      </c>
      <c r="AQ11" s="224" cm="1">
        <f t="array" ref="AQ11">IFERROR(INDEX($E$2:$E$118, SMALL(IF($A$2:$A$118=AQ$2, ROW($E$2:$E$118)-ROW($E$2)+1), ROWS($S$3:AQ11))), "")</f>
        <v>230</v>
      </c>
      <c r="AR11" s="224" cm="1">
        <f t="array" ref="AR11">IFERROR(INDEX($E$2:$E$118, SMALL(IF($A$2:$A$118=AR$2, ROW($E$2:$E$118)-ROW($E$2)+1), ROWS($S$3:AR11))), "")</f>
        <v>230</v>
      </c>
    </row>
    <row r="12" spans="1:44" x14ac:dyDescent="0.2">
      <c r="A12" s="45" t="s">
        <v>578</v>
      </c>
      <c r="B12" s="45" t="s">
        <v>194</v>
      </c>
      <c r="C12" s="230">
        <f>VLOOKUP(B12, 'S08 ABC Output'!$A$3:$C$18, 3, 0)</f>
        <v>36524</v>
      </c>
      <c r="D12" s="230">
        <f>VLOOKUP(B12, 'S12 Operations'!$C$2:$H$534, 6, 0)</f>
        <v>200</v>
      </c>
      <c r="E12" s="230">
        <f t="shared" si="3"/>
        <v>183</v>
      </c>
      <c r="F12" s="230">
        <f>VLOOKUP(A12, 'S11 Work Stations'!$A$2:$C$45, 3, 0)</f>
        <v>30</v>
      </c>
      <c r="G12" s="230">
        <f>VLOOKUP(B12&amp;"-"&amp;A12, 'S12 Operations'!$A$2:$G$534, 7, 0)</f>
        <v>360</v>
      </c>
      <c r="H12" s="229">
        <f t="shared" si="4"/>
        <v>6</v>
      </c>
      <c r="I12" s="229">
        <f t="shared" si="5"/>
        <v>224634</v>
      </c>
      <c r="J12" s="230">
        <f t="shared" si="6"/>
        <v>3744</v>
      </c>
      <c r="L12">
        <f t="shared" si="0"/>
        <v>4</v>
      </c>
      <c r="M12">
        <f t="shared" si="1"/>
        <v>129</v>
      </c>
      <c r="N12">
        <f t="shared" si="2"/>
        <v>1078</v>
      </c>
      <c r="O12">
        <f t="shared" si="7"/>
        <v>6</v>
      </c>
      <c r="Q12" s="214" t="str" cm="1">
        <f t="array" ref="Q12">INDEX($A$2:$A$118,MATCH(0,COUNTIF($Q$1:Q11,$A$2:$A$118),0))</f>
        <v>WS-24</v>
      </c>
      <c r="S12" s="224" t="str" cm="1">
        <f t="array" ref="S12">IFERROR(INDEX($E$2:$E$118, SMALL(IF($A$2:$A$118=S$2, ROW($E$2:$E$118)-ROW($E$2)+1), ROWS($S$3:S12))), "")</f>
        <v/>
      </c>
      <c r="T12" s="224" t="str" cm="1">
        <f t="array" ref="T12">IFERROR(INDEX($E$2:$E$118, SMALL(IF($A$2:$A$118=T$2, ROW($E$2:$E$118)-ROW($E$2)+1), ROWS($S$3:T12))), "")</f>
        <v/>
      </c>
      <c r="U12" s="224" t="str" cm="1">
        <f t="array" ref="U12">IFERROR(INDEX($E$2:$E$118, SMALL(IF($A$2:$A$118=U$2, ROW($E$2:$E$118)-ROW($E$2)+1), ROWS($S$3:U12))), "")</f>
        <v/>
      </c>
      <c r="V12" s="224" t="str" cm="1">
        <f t="array" ref="V12">IFERROR(INDEX($E$2:$E$118, SMALL(IF($A$2:$A$118=V$2, ROW($E$2:$E$118)-ROW($E$2)+1), ROWS($S$3:V12))), "")</f>
        <v/>
      </c>
      <c r="W12" s="224" t="str" cm="1">
        <f t="array" ref="W12">IFERROR(INDEX($E$2:$E$118, SMALL(IF($A$2:$A$118=W$2, ROW($E$2:$E$118)-ROW($E$2)+1), ROWS($S$3:W12))), "")</f>
        <v/>
      </c>
      <c r="X12" s="224" t="str" cm="1">
        <f t="array" ref="X12">IFERROR(INDEX($E$2:$E$118, SMALL(IF($A$2:$A$118=X$2, ROW($E$2:$E$118)-ROW($E$2)+1), ROWS($S$3:X12))), "")</f>
        <v/>
      </c>
      <c r="Y12" s="224" t="str" cm="1">
        <f t="array" ref="Y12">IFERROR(INDEX($E$2:$E$118, SMALL(IF($A$2:$A$118=Y$2, ROW($E$2:$E$118)-ROW($E$2)+1), ROWS($S$3:Y12))), "")</f>
        <v/>
      </c>
      <c r="Z12" s="224" t="str" cm="1">
        <f t="array" ref="Z12">IFERROR(INDEX($E$2:$E$118, SMALL(IF($A$2:$A$118=Z$2, ROW($E$2:$E$118)-ROW($E$2)+1), ROWS($S$3:Z12))), "")</f>
        <v/>
      </c>
      <c r="AA12" s="224" t="str" cm="1">
        <f t="array" ref="AA12">IFERROR(INDEX($E$2:$E$118, SMALL(IF($A$2:$A$118=AA$2, ROW($E$2:$E$118)-ROW($E$2)+1), ROWS($S$3:AA12))), "")</f>
        <v/>
      </c>
      <c r="AB12" s="224" t="str" cm="1">
        <f t="array" ref="AB12">IFERROR(INDEX($E$2:$E$118, SMALL(IF($A$2:$A$118=AB$2, ROW($E$2:$E$118)-ROW($E$2)+1), ROWS($S$3:AB12))), "")</f>
        <v/>
      </c>
      <c r="AC12" s="224" t="str" cm="1">
        <f t="array" ref="AC12">IFERROR(INDEX($E$2:$E$118, SMALL(IF($A$2:$A$118=AC$2, ROW($E$2:$E$118)-ROW($E$2)+1), ROWS($S$3:AC12))), "")</f>
        <v/>
      </c>
      <c r="AD12" s="224" t="str" cm="1">
        <f t="array" ref="AD12">IFERROR(INDEX($E$2:$E$118, SMALL(IF($A$2:$A$118=AD$2, ROW($E$2:$E$118)-ROW($E$2)+1), ROWS($S$3:AD12))), "")</f>
        <v/>
      </c>
      <c r="AE12" s="224" t="str" cm="1">
        <f t="array" ref="AE12">IFERROR(INDEX($E$2:$E$118, SMALL(IF($A$2:$A$118=AE$2, ROW($E$2:$E$118)-ROW($E$2)+1), ROWS($S$3:AE12))), "")</f>
        <v/>
      </c>
      <c r="AF12" s="224" t="str" cm="1">
        <f t="array" ref="AF12">IFERROR(INDEX($E$2:$E$118, SMALL(IF($A$2:$A$118=AF$2, ROW($E$2:$E$118)-ROW($E$2)+1), ROWS($S$3:AF12))), "")</f>
        <v/>
      </c>
      <c r="AG12" s="224" t="str" cm="1">
        <f t="array" ref="AG12">IFERROR(INDEX($E$2:$E$118, SMALL(IF($A$2:$A$118=AG$2, ROW($E$2:$E$118)-ROW($E$2)+1), ROWS($S$3:AG12))), "")</f>
        <v/>
      </c>
      <c r="AH12" s="224" t="str" cm="1">
        <f t="array" ref="AH12">IFERROR(INDEX($E$2:$E$118, SMALL(IF($A$2:$A$118=AH$2, ROW($E$2:$E$118)-ROW($E$2)+1), ROWS($S$3:AH12))), "")</f>
        <v/>
      </c>
      <c r="AI12" s="224" t="str" cm="1">
        <f t="array" ref="AI12">IFERROR(INDEX($E$2:$E$118, SMALL(IF($A$2:$A$118=AI$2, ROW($E$2:$E$118)-ROW($E$2)+1), ROWS($S$3:AI12))), "")</f>
        <v/>
      </c>
      <c r="AJ12" s="224" t="str" cm="1">
        <f t="array" ref="AJ12">IFERROR(INDEX($E$2:$E$118, SMALL(IF($A$2:$A$118=AJ$2, ROW($E$2:$E$118)-ROW($E$2)+1), ROWS($S$3:AJ12))), "")</f>
        <v/>
      </c>
      <c r="AK12" s="224" t="str" cm="1">
        <f t="array" ref="AK12">IFERROR(INDEX($E$2:$E$118, SMALL(IF($A$2:$A$118=AK$2, ROW($E$2:$E$118)-ROW($E$2)+1), ROWS($S$3:AK12))), "")</f>
        <v/>
      </c>
      <c r="AL12" s="224" t="str" cm="1">
        <f t="array" ref="AL12">IFERROR(INDEX($E$2:$E$118, SMALL(IF($A$2:$A$118=AL$2, ROW($E$2:$E$118)-ROW($E$2)+1), ROWS($S$3:AL12))), "")</f>
        <v/>
      </c>
      <c r="AM12" s="224" t="str" cm="1">
        <f t="array" ref="AM12">IFERROR(INDEX($E$2:$E$118, SMALL(IF($A$2:$A$118=AM$2, ROW($E$2:$E$118)-ROW($E$2)+1), ROWS($S$3:AM12))), "")</f>
        <v/>
      </c>
      <c r="AN12" s="224" t="str" cm="1">
        <f t="array" ref="AN12">IFERROR(INDEX($E$2:$E$118, SMALL(IF($A$2:$A$118=AN$2, ROW($E$2:$E$118)-ROW($E$2)+1), ROWS($S$3:AN12))), "")</f>
        <v/>
      </c>
      <c r="AO12" s="224" t="str" cm="1">
        <f t="array" ref="AO12">IFERROR(INDEX($E$2:$E$118, SMALL(IF($A$2:$A$118=AO$2, ROW($E$2:$E$118)-ROW($E$2)+1), ROWS($S$3:AO12))), "")</f>
        <v/>
      </c>
      <c r="AP12" s="224" t="str" cm="1">
        <f t="array" ref="AP12">IFERROR(INDEX($E$2:$E$118, SMALL(IF($A$2:$A$118=AP$2, ROW($E$2:$E$118)-ROW($E$2)+1), ROWS($S$3:AP12))), "")</f>
        <v/>
      </c>
      <c r="AQ12" s="224" cm="1">
        <f t="array" ref="AQ12">IFERROR(INDEX($E$2:$E$118, SMALL(IF($A$2:$A$118=AQ$2, ROW($E$2:$E$118)-ROW($E$2)+1), ROWS($S$3:AQ12))), "")</f>
        <v>183</v>
      </c>
      <c r="AR12" s="224" cm="1">
        <f t="array" ref="AR12">IFERROR(INDEX($E$2:$E$118, SMALL(IF($A$2:$A$118=AR$2, ROW($E$2:$E$118)-ROW($E$2)+1), ROWS($S$3:AR12))), "")</f>
        <v>183</v>
      </c>
    </row>
    <row r="13" spans="1:44" x14ac:dyDescent="0.2">
      <c r="A13" s="45" t="s">
        <v>578</v>
      </c>
      <c r="B13" s="45" t="s">
        <v>196</v>
      </c>
      <c r="C13" s="230">
        <f>VLOOKUP(B13, 'S08 ABC Output'!$A$3:$C$18, 3, 0)</f>
        <v>36502</v>
      </c>
      <c r="D13" s="230">
        <f>VLOOKUP(B13, 'S12 Operations'!$C$2:$H$534, 6, 0)</f>
        <v>200</v>
      </c>
      <c r="E13" s="230">
        <f t="shared" si="3"/>
        <v>183</v>
      </c>
      <c r="F13" s="230">
        <f>VLOOKUP(A13, 'S11 Work Stations'!$A$2:$C$45, 3, 0)</f>
        <v>30</v>
      </c>
      <c r="G13" s="230">
        <f>VLOOKUP(B13&amp;"-"&amp;A13, 'S12 Operations'!$A$2:$G$534, 7, 0)</f>
        <v>540</v>
      </c>
      <c r="H13" s="229">
        <f t="shared" si="4"/>
        <v>9</v>
      </c>
      <c r="I13" s="229">
        <f t="shared" si="5"/>
        <v>334008</v>
      </c>
      <c r="J13" s="230">
        <f t="shared" si="6"/>
        <v>5567</v>
      </c>
      <c r="L13">
        <f t="shared" si="0"/>
        <v>4</v>
      </c>
      <c r="M13">
        <f t="shared" si="1"/>
        <v>129</v>
      </c>
      <c r="N13">
        <f t="shared" si="2"/>
        <v>1078</v>
      </c>
      <c r="O13">
        <f t="shared" si="7"/>
        <v>6</v>
      </c>
      <c r="Q13" s="214" t="str" cm="1">
        <f t="array" ref="Q13">INDEX($A$2:$A$118,MATCH(0,COUNTIF($Q$1:Q12,$A$2:$A$118),0))</f>
        <v>WS-25</v>
      </c>
      <c r="S13" s="224" t="str" cm="1">
        <f t="array" ref="S13">IFERROR(INDEX($E$2:$E$118, SMALL(IF($A$2:$A$118=S$2, ROW($E$2:$E$118)-ROW($E$2)+1), ROWS($S$3:S13))), "")</f>
        <v/>
      </c>
      <c r="T13" s="224" t="str" cm="1">
        <f t="array" ref="T13">IFERROR(INDEX($E$2:$E$118, SMALL(IF($A$2:$A$118=T$2, ROW($E$2:$E$118)-ROW($E$2)+1), ROWS($S$3:T13))), "")</f>
        <v/>
      </c>
      <c r="U13" s="224" t="str" cm="1">
        <f t="array" ref="U13">IFERROR(INDEX($E$2:$E$118, SMALL(IF($A$2:$A$118=U$2, ROW($E$2:$E$118)-ROW($E$2)+1), ROWS($S$3:U13))), "")</f>
        <v/>
      </c>
      <c r="V13" s="224" t="str" cm="1">
        <f t="array" ref="V13">IFERROR(INDEX($E$2:$E$118, SMALL(IF($A$2:$A$118=V$2, ROW($E$2:$E$118)-ROW($E$2)+1), ROWS($S$3:V13))), "")</f>
        <v/>
      </c>
      <c r="W13" s="224" t="str" cm="1">
        <f t="array" ref="W13">IFERROR(INDEX($E$2:$E$118, SMALL(IF($A$2:$A$118=W$2, ROW($E$2:$E$118)-ROW($E$2)+1), ROWS($S$3:W13))), "")</f>
        <v/>
      </c>
      <c r="X13" s="224" t="str" cm="1">
        <f t="array" ref="X13">IFERROR(INDEX($E$2:$E$118, SMALL(IF($A$2:$A$118=X$2, ROW($E$2:$E$118)-ROW($E$2)+1), ROWS($S$3:X13))), "")</f>
        <v/>
      </c>
      <c r="Y13" s="224" t="str" cm="1">
        <f t="array" ref="Y13">IFERROR(INDEX($E$2:$E$118, SMALL(IF($A$2:$A$118=Y$2, ROW($E$2:$E$118)-ROW($E$2)+1), ROWS($S$3:Y13))), "")</f>
        <v/>
      </c>
      <c r="Z13" s="224" t="str" cm="1">
        <f t="array" ref="Z13">IFERROR(INDEX($E$2:$E$118, SMALL(IF($A$2:$A$118=Z$2, ROW($E$2:$E$118)-ROW($E$2)+1), ROWS($S$3:Z13))), "")</f>
        <v/>
      </c>
      <c r="AA13" s="224" t="str" cm="1">
        <f t="array" ref="AA13">IFERROR(INDEX($E$2:$E$118, SMALL(IF($A$2:$A$118=AA$2, ROW($E$2:$E$118)-ROW($E$2)+1), ROWS($S$3:AA13))), "")</f>
        <v/>
      </c>
      <c r="AB13" s="224" t="str" cm="1">
        <f t="array" ref="AB13">IFERROR(INDEX($E$2:$E$118, SMALL(IF($A$2:$A$118=AB$2, ROW($E$2:$E$118)-ROW($E$2)+1), ROWS($S$3:AB13))), "")</f>
        <v/>
      </c>
      <c r="AC13" s="224" t="str" cm="1">
        <f t="array" ref="AC13">IFERROR(INDEX($E$2:$E$118, SMALL(IF($A$2:$A$118=AC$2, ROW($E$2:$E$118)-ROW($E$2)+1), ROWS($S$3:AC13))), "")</f>
        <v/>
      </c>
      <c r="AD13" s="224" t="str" cm="1">
        <f t="array" ref="AD13">IFERROR(INDEX($E$2:$E$118, SMALL(IF($A$2:$A$118=AD$2, ROW($E$2:$E$118)-ROW($E$2)+1), ROWS($S$3:AD13))), "")</f>
        <v/>
      </c>
      <c r="AE13" s="224" t="str" cm="1">
        <f t="array" ref="AE13">IFERROR(INDEX($E$2:$E$118, SMALL(IF($A$2:$A$118=AE$2, ROW($E$2:$E$118)-ROW($E$2)+1), ROWS($S$3:AE13))), "")</f>
        <v/>
      </c>
      <c r="AF13" s="224" t="str" cm="1">
        <f t="array" ref="AF13">IFERROR(INDEX($E$2:$E$118, SMALL(IF($A$2:$A$118=AF$2, ROW($E$2:$E$118)-ROW($E$2)+1), ROWS($S$3:AF13))), "")</f>
        <v/>
      </c>
      <c r="AG13" s="224" t="str" cm="1">
        <f t="array" ref="AG13">IFERROR(INDEX($E$2:$E$118, SMALL(IF($A$2:$A$118=AG$2, ROW($E$2:$E$118)-ROW($E$2)+1), ROWS($S$3:AG13))), "")</f>
        <v/>
      </c>
      <c r="AH13" s="224" t="str" cm="1">
        <f t="array" ref="AH13">IFERROR(INDEX($E$2:$E$118, SMALL(IF($A$2:$A$118=AH$2, ROW($E$2:$E$118)-ROW($E$2)+1), ROWS($S$3:AH13))), "")</f>
        <v/>
      </c>
      <c r="AI13" s="224" t="str" cm="1">
        <f t="array" ref="AI13">IFERROR(INDEX($E$2:$E$118, SMALL(IF($A$2:$A$118=AI$2, ROW($E$2:$E$118)-ROW($E$2)+1), ROWS($S$3:AI13))), "")</f>
        <v/>
      </c>
      <c r="AJ13" s="224" t="str" cm="1">
        <f t="array" ref="AJ13">IFERROR(INDEX($E$2:$E$118, SMALL(IF($A$2:$A$118=AJ$2, ROW($E$2:$E$118)-ROW($E$2)+1), ROWS($S$3:AJ13))), "")</f>
        <v/>
      </c>
      <c r="AK13" s="224" t="str" cm="1">
        <f t="array" ref="AK13">IFERROR(INDEX($E$2:$E$118, SMALL(IF($A$2:$A$118=AK$2, ROW($E$2:$E$118)-ROW($E$2)+1), ROWS($S$3:AK13))), "")</f>
        <v/>
      </c>
      <c r="AL13" s="224" t="str" cm="1">
        <f t="array" ref="AL13">IFERROR(INDEX($E$2:$E$118, SMALL(IF($A$2:$A$118=AL$2, ROW($E$2:$E$118)-ROW($E$2)+1), ROWS($S$3:AL13))), "")</f>
        <v/>
      </c>
      <c r="AM13" s="224" t="str" cm="1">
        <f t="array" ref="AM13">IFERROR(INDEX($E$2:$E$118, SMALL(IF($A$2:$A$118=AM$2, ROW($E$2:$E$118)-ROW($E$2)+1), ROWS($S$3:AM13))), "")</f>
        <v/>
      </c>
      <c r="AN13" s="224" t="str" cm="1">
        <f t="array" ref="AN13">IFERROR(INDEX($E$2:$E$118, SMALL(IF($A$2:$A$118=AN$2, ROW($E$2:$E$118)-ROW($E$2)+1), ROWS($S$3:AN13))), "")</f>
        <v/>
      </c>
      <c r="AO13" s="224" t="str" cm="1">
        <f t="array" ref="AO13">IFERROR(INDEX($E$2:$E$118, SMALL(IF($A$2:$A$118=AO$2, ROW($E$2:$E$118)-ROW($E$2)+1), ROWS($S$3:AO13))), "")</f>
        <v/>
      </c>
      <c r="AP13" s="224" t="str" cm="1">
        <f t="array" ref="AP13">IFERROR(INDEX($E$2:$E$118, SMALL(IF($A$2:$A$118=AP$2, ROW($E$2:$E$118)-ROW($E$2)+1), ROWS($S$3:AP13))), "")</f>
        <v/>
      </c>
      <c r="AQ13" s="224" cm="1">
        <f t="array" ref="AQ13">IFERROR(INDEX($E$2:$E$118, SMALL(IF($A$2:$A$118=AQ$2, ROW($E$2:$E$118)-ROW($E$2)+1), ROWS($S$3:AQ13))), "")</f>
        <v>183</v>
      </c>
      <c r="AR13" s="224" cm="1">
        <f t="array" ref="AR13">IFERROR(INDEX($E$2:$E$118, SMALL(IF($A$2:$A$118=AR$2, ROW($E$2:$E$118)-ROW($E$2)+1), ROWS($S$3:AR13))), "")</f>
        <v>183</v>
      </c>
    </row>
    <row r="14" spans="1:44" x14ac:dyDescent="0.2">
      <c r="A14" s="45" t="s">
        <v>578</v>
      </c>
      <c r="B14" s="45" t="s">
        <v>202</v>
      </c>
      <c r="C14" s="230">
        <f>VLOOKUP(B14, 'S08 ABC Output'!$A$3:$C$18, 3, 0)</f>
        <v>25649</v>
      </c>
      <c r="D14" s="230">
        <f>VLOOKUP(B14, 'S12 Operations'!$C$2:$H$534, 6, 0)</f>
        <v>200</v>
      </c>
      <c r="E14" s="230">
        <f t="shared" si="3"/>
        <v>129</v>
      </c>
      <c r="F14" s="230">
        <f>VLOOKUP(A14, 'S11 Work Stations'!$A$2:$C$45, 3, 0)</f>
        <v>30</v>
      </c>
      <c r="G14" s="230">
        <f>VLOOKUP(B14&amp;"-"&amp;A14, 'S12 Operations'!$A$2:$G$534, 7, 0)</f>
        <v>840</v>
      </c>
      <c r="H14" s="229">
        <f t="shared" si="4"/>
        <v>14</v>
      </c>
      <c r="I14" s="229">
        <f t="shared" si="5"/>
        <v>362956</v>
      </c>
      <c r="J14" s="230">
        <f t="shared" si="6"/>
        <v>6049</v>
      </c>
      <c r="L14">
        <f t="shared" si="0"/>
        <v>6</v>
      </c>
      <c r="M14">
        <f t="shared" si="1"/>
        <v>129</v>
      </c>
      <c r="N14">
        <f t="shared" si="2"/>
        <v>1078</v>
      </c>
      <c r="O14">
        <f t="shared" si="7"/>
        <v>6</v>
      </c>
      <c r="Q14" s="214" t="str" cm="1">
        <f t="array" ref="Q14">INDEX($A$2:$A$118,MATCH(0,COUNTIF($Q$1:Q13,$A$2:$A$118),0))</f>
        <v>WS-26</v>
      </c>
      <c r="S14" s="224" t="str" cm="1">
        <f t="array" ref="S14">IFERROR(INDEX($E$2:$E$118, SMALL(IF($A$2:$A$118=S$2, ROW($E$2:$E$118)-ROW($E$2)+1), ROWS($S$3:S14))), "")</f>
        <v/>
      </c>
      <c r="T14" s="224" t="str" cm="1">
        <f t="array" ref="T14">IFERROR(INDEX($E$2:$E$118, SMALL(IF($A$2:$A$118=T$2, ROW($E$2:$E$118)-ROW($E$2)+1), ROWS($S$3:T14))), "")</f>
        <v/>
      </c>
      <c r="U14" s="224" t="str" cm="1">
        <f t="array" ref="U14">IFERROR(INDEX($E$2:$E$118, SMALL(IF($A$2:$A$118=U$2, ROW($E$2:$E$118)-ROW($E$2)+1), ROWS($S$3:U14))), "")</f>
        <v/>
      </c>
      <c r="V14" s="224" t="str" cm="1">
        <f t="array" ref="V14">IFERROR(INDEX($E$2:$E$118, SMALL(IF($A$2:$A$118=V$2, ROW($E$2:$E$118)-ROW($E$2)+1), ROWS($S$3:V14))), "")</f>
        <v/>
      </c>
      <c r="W14" s="224" t="str" cm="1">
        <f t="array" ref="W14">IFERROR(INDEX($E$2:$E$118, SMALL(IF($A$2:$A$118=W$2, ROW($E$2:$E$118)-ROW($E$2)+1), ROWS($S$3:W14))), "")</f>
        <v/>
      </c>
      <c r="X14" s="224" t="str" cm="1">
        <f t="array" ref="X14">IFERROR(INDEX($E$2:$E$118, SMALL(IF($A$2:$A$118=X$2, ROW($E$2:$E$118)-ROW($E$2)+1), ROWS($S$3:X14))), "")</f>
        <v/>
      </c>
      <c r="Y14" s="224" t="str" cm="1">
        <f t="array" ref="Y14">IFERROR(INDEX($E$2:$E$118, SMALL(IF($A$2:$A$118=Y$2, ROW($E$2:$E$118)-ROW($E$2)+1), ROWS($S$3:Y14))), "")</f>
        <v/>
      </c>
      <c r="Z14" s="224" t="str" cm="1">
        <f t="array" ref="Z14">IFERROR(INDEX($E$2:$E$118, SMALL(IF($A$2:$A$118=Z$2, ROW($E$2:$E$118)-ROW($E$2)+1), ROWS($S$3:Z14))), "")</f>
        <v/>
      </c>
      <c r="AA14" s="224" t="str" cm="1">
        <f t="array" ref="AA14">IFERROR(INDEX($E$2:$E$118, SMALL(IF($A$2:$A$118=AA$2, ROW($E$2:$E$118)-ROW($E$2)+1), ROWS($S$3:AA14))), "")</f>
        <v/>
      </c>
      <c r="AB14" s="224" t="str" cm="1">
        <f t="array" ref="AB14">IFERROR(INDEX($E$2:$E$118, SMALL(IF($A$2:$A$118=AB$2, ROW($E$2:$E$118)-ROW($E$2)+1), ROWS($S$3:AB14))), "")</f>
        <v/>
      </c>
      <c r="AC14" s="224" t="str" cm="1">
        <f t="array" ref="AC14">IFERROR(INDEX($E$2:$E$118, SMALL(IF($A$2:$A$118=AC$2, ROW($E$2:$E$118)-ROW($E$2)+1), ROWS($S$3:AC14))), "")</f>
        <v/>
      </c>
      <c r="AD14" s="224" t="str" cm="1">
        <f t="array" ref="AD14">IFERROR(INDEX($E$2:$E$118, SMALL(IF($A$2:$A$118=AD$2, ROW($E$2:$E$118)-ROW($E$2)+1), ROWS($S$3:AD14))), "")</f>
        <v/>
      </c>
      <c r="AE14" s="224" t="str" cm="1">
        <f t="array" ref="AE14">IFERROR(INDEX($E$2:$E$118, SMALL(IF($A$2:$A$118=AE$2, ROW($E$2:$E$118)-ROW($E$2)+1), ROWS($S$3:AE14))), "")</f>
        <v/>
      </c>
      <c r="AF14" s="224" t="str" cm="1">
        <f t="array" ref="AF14">IFERROR(INDEX($E$2:$E$118, SMALL(IF($A$2:$A$118=AF$2, ROW($E$2:$E$118)-ROW($E$2)+1), ROWS($S$3:AF14))), "")</f>
        <v/>
      </c>
      <c r="AG14" s="224" t="str" cm="1">
        <f t="array" ref="AG14">IFERROR(INDEX($E$2:$E$118, SMALL(IF($A$2:$A$118=AG$2, ROW($E$2:$E$118)-ROW($E$2)+1), ROWS($S$3:AG14))), "")</f>
        <v/>
      </c>
      <c r="AH14" s="224" t="str" cm="1">
        <f t="array" ref="AH14">IFERROR(INDEX($E$2:$E$118, SMALL(IF($A$2:$A$118=AH$2, ROW($E$2:$E$118)-ROW($E$2)+1), ROWS($S$3:AH14))), "")</f>
        <v/>
      </c>
      <c r="AI14" s="224" t="str" cm="1">
        <f t="array" ref="AI14">IFERROR(INDEX($E$2:$E$118, SMALL(IF($A$2:$A$118=AI$2, ROW($E$2:$E$118)-ROW($E$2)+1), ROWS($S$3:AI14))), "")</f>
        <v/>
      </c>
      <c r="AJ14" s="224" t="str" cm="1">
        <f t="array" ref="AJ14">IFERROR(INDEX($E$2:$E$118, SMALL(IF($A$2:$A$118=AJ$2, ROW($E$2:$E$118)-ROW($E$2)+1), ROWS($S$3:AJ14))), "")</f>
        <v/>
      </c>
      <c r="AK14" s="224" t="str" cm="1">
        <f t="array" ref="AK14">IFERROR(INDEX($E$2:$E$118, SMALL(IF($A$2:$A$118=AK$2, ROW($E$2:$E$118)-ROW($E$2)+1), ROWS($S$3:AK14))), "")</f>
        <v/>
      </c>
      <c r="AL14" s="224" t="str" cm="1">
        <f t="array" ref="AL14">IFERROR(INDEX($E$2:$E$118, SMALL(IF($A$2:$A$118=AL$2, ROW($E$2:$E$118)-ROW($E$2)+1), ROWS($S$3:AL14))), "")</f>
        <v/>
      </c>
      <c r="AM14" s="224" t="str" cm="1">
        <f t="array" ref="AM14">IFERROR(INDEX($E$2:$E$118, SMALL(IF($A$2:$A$118=AM$2, ROW($E$2:$E$118)-ROW($E$2)+1), ROWS($S$3:AM14))), "")</f>
        <v/>
      </c>
      <c r="AN14" s="224" t="str" cm="1">
        <f t="array" ref="AN14">IFERROR(INDEX($E$2:$E$118, SMALL(IF($A$2:$A$118=AN$2, ROW($E$2:$E$118)-ROW($E$2)+1), ROWS($S$3:AN14))), "")</f>
        <v/>
      </c>
      <c r="AO14" s="224" t="str" cm="1">
        <f t="array" ref="AO14">IFERROR(INDEX($E$2:$E$118, SMALL(IF($A$2:$A$118=AO$2, ROW($E$2:$E$118)-ROW($E$2)+1), ROWS($S$3:AO14))), "")</f>
        <v/>
      </c>
      <c r="AP14" s="224" t="str" cm="1">
        <f t="array" ref="AP14">IFERROR(INDEX($E$2:$E$118, SMALL(IF($A$2:$A$118=AP$2, ROW($E$2:$E$118)-ROW($E$2)+1), ROWS($S$3:AP14))), "")</f>
        <v/>
      </c>
      <c r="AQ14" s="224" cm="1">
        <f t="array" ref="AQ14">IFERROR(INDEX($E$2:$E$118, SMALL(IF($A$2:$A$118=AQ$2, ROW($E$2:$E$118)-ROW($E$2)+1), ROWS($S$3:AQ14))), "")</f>
        <v>129</v>
      </c>
      <c r="AR14" s="224" cm="1">
        <f t="array" ref="AR14">IFERROR(INDEX($E$2:$E$118, SMALL(IF($A$2:$A$118=AR$2, ROW($E$2:$E$118)-ROW($E$2)+1), ROWS($S$3:AR14))), "")</f>
        <v>129</v>
      </c>
    </row>
    <row r="15" spans="1:44" x14ac:dyDescent="0.2">
      <c r="A15" s="45" t="s">
        <v>580</v>
      </c>
      <c r="B15" s="45" t="s">
        <v>180</v>
      </c>
      <c r="C15" s="230">
        <f>VLOOKUP(B15, 'S08 ABC Output'!$A$3:$C$18, 3, 0)</f>
        <v>125036</v>
      </c>
      <c r="D15" s="230">
        <f>VLOOKUP(B15, 'S12 Operations'!$C$2:$H$534, 6, 0)</f>
        <v>200</v>
      </c>
      <c r="E15" s="230">
        <f t="shared" si="3"/>
        <v>626</v>
      </c>
      <c r="F15" s="230">
        <f>VLOOKUP(A15, 'S11 Work Stations'!$A$2:$C$45, 3, 0)</f>
        <v>35</v>
      </c>
      <c r="G15" s="230">
        <f>VLOOKUP(B15&amp;"-"&amp;A15, 'S12 Operations'!$A$2:$G$534, 7, 0)</f>
        <v>300</v>
      </c>
      <c r="H15" s="229">
        <f t="shared" si="4"/>
        <v>5</v>
      </c>
      <c r="I15" s="229">
        <f t="shared" si="5"/>
        <v>643030</v>
      </c>
      <c r="J15" s="230">
        <f t="shared" si="6"/>
        <v>10717</v>
      </c>
      <c r="L15">
        <f t="shared" si="0"/>
        <v>1</v>
      </c>
      <c r="M15">
        <f t="shared" si="1"/>
        <v>129</v>
      </c>
      <c r="N15">
        <f t="shared" si="2"/>
        <v>626</v>
      </c>
      <c r="O15">
        <f t="shared" si="7"/>
        <v>5</v>
      </c>
      <c r="Q15" s="214" t="str" cm="1">
        <f t="array" ref="Q15">INDEX($A$2:$A$118,MATCH(0,COUNTIF($Q$1:Q14,$A$2:$A$118),0))</f>
        <v>WS-27</v>
      </c>
      <c r="S15" s="224" t="str" cm="1">
        <f t="array" ref="S15">IFERROR(INDEX($E$2:$E$118, SMALL(IF($A$2:$A$118=S$2, ROW($E$2:$E$118)-ROW($E$2)+1), ROWS($S$3:S15))), "")</f>
        <v/>
      </c>
      <c r="T15" s="224" t="str" cm="1">
        <f t="array" ref="T15">IFERROR(INDEX($E$2:$E$118, SMALL(IF($A$2:$A$118=T$2, ROW($E$2:$E$118)-ROW($E$2)+1), ROWS($S$3:T15))), "")</f>
        <v/>
      </c>
      <c r="U15" s="224" t="str" cm="1">
        <f t="array" ref="U15">IFERROR(INDEX($E$2:$E$118, SMALL(IF($A$2:$A$118=U$2, ROW($E$2:$E$118)-ROW($E$2)+1), ROWS($S$3:U15))), "")</f>
        <v/>
      </c>
      <c r="V15" s="224" t="str" cm="1">
        <f t="array" ref="V15">IFERROR(INDEX($E$2:$E$118, SMALL(IF($A$2:$A$118=V$2, ROW($E$2:$E$118)-ROW($E$2)+1), ROWS($S$3:V15))), "")</f>
        <v/>
      </c>
      <c r="W15" s="224" t="str" cm="1">
        <f t="array" ref="W15">IFERROR(INDEX($E$2:$E$118, SMALL(IF($A$2:$A$118=W$2, ROW($E$2:$E$118)-ROW($E$2)+1), ROWS($S$3:W15))), "")</f>
        <v/>
      </c>
      <c r="X15" s="224" t="str" cm="1">
        <f t="array" ref="X15">IFERROR(INDEX($E$2:$E$118, SMALL(IF($A$2:$A$118=X$2, ROW($E$2:$E$118)-ROW($E$2)+1), ROWS($S$3:X15))), "")</f>
        <v/>
      </c>
      <c r="Y15" s="224" t="str" cm="1">
        <f t="array" ref="Y15">IFERROR(INDEX($E$2:$E$118, SMALL(IF($A$2:$A$118=Y$2, ROW($E$2:$E$118)-ROW($E$2)+1), ROWS($S$3:Y15))), "")</f>
        <v/>
      </c>
      <c r="Z15" s="224" t="str" cm="1">
        <f t="array" ref="Z15">IFERROR(INDEX($E$2:$E$118, SMALL(IF($A$2:$A$118=Z$2, ROW($E$2:$E$118)-ROW($E$2)+1), ROWS($S$3:Z15))), "")</f>
        <v/>
      </c>
      <c r="AA15" s="224" t="str" cm="1">
        <f t="array" ref="AA15">IFERROR(INDEX($E$2:$E$118, SMALL(IF($A$2:$A$118=AA$2, ROW($E$2:$E$118)-ROW($E$2)+1), ROWS($S$3:AA15))), "")</f>
        <v/>
      </c>
      <c r="AB15" s="224" t="str" cm="1">
        <f t="array" ref="AB15">IFERROR(INDEX($E$2:$E$118, SMALL(IF($A$2:$A$118=AB$2, ROW($E$2:$E$118)-ROW($E$2)+1), ROWS($S$3:AB15))), "")</f>
        <v/>
      </c>
      <c r="AC15" s="224" t="str" cm="1">
        <f t="array" ref="AC15">IFERROR(INDEX($E$2:$E$118, SMALL(IF($A$2:$A$118=AC$2, ROW($E$2:$E$118)-ROW($E$2)+1), ROWS($S$3:AC15))), "")</f>
        <v/>
      </c>
      <c r="AD15" s="224" t="str" cm="1">
        <f t="array" ref="AD15">IFERROR(INDEX($E$2:$E$118, SMALL(IF($A$2:$A$118=AD$2, ROW($E$2:$E$118)-ROW($E$2)+1), ROWS($S$3:AD15))), "")</f>
        <v/>
      </c>
      <c r="AE15" s="224" t="str" cm="1">
        <f t="array" ref="AE15">IFERROR(INDEX($E$2:$E$118, SMALL(IF($A$2:$A$118=AE$2, ROW($E$2:$E$118)-ROW($E$2)+1), ROWS($S$3:AE15))), "")</f>
        <v/>
      </c>
      <c r="AF15" s="224" t="str" cm="1">
        <f t="array" ref="AF15">IFERROR(INDEX($E$2:$E$118, SMALL(IF($A$2:$A$118=AF$2, ROW($E$2:$E$118)-ROW($E$2)+1), ROWS($S$3:AF15))), "")</f>
        <v/>
      </c>
      <c r="AG15" s="224" t="str" cm="1">
        <f t="array" ref="AG15">IFERROR(INDEX($E$2:$E$118, SMALL(IF($A$2:$A$118=AG$2, ROW($E$2:$E$118)-ROW($E$2)+1), ROWS($S$3:AG15))), "")</f>
        <v/>
      </c>
      <c r="AH15" s="224" t="str" cm="1">
        <f t="array" ref="AH15">IFERROR(INDEX($E$2:$E$118, SMALL(IF($A$2:$A$118=AH$2, ROW($E$2:$E$118)-ROW($E$2)+1), ROWS($S$3:AH15))), "")</f>
        <v/>
      </c>
      <c r="AI15" s="224" t="str" cm="1">
        <f t="array" ref="AI15">IFERROR(INDEX($E$2:$E$118, SMALL(IF($A$2:$A$118=AI$2, ROW($E$2:$E$118)-ROW($E$2)+1), ROWS($S$3:AI15))), "")</f>
        <v/>
      </c>
      <c r="AJ15" s="224" t="str" cm="1">
        <f t="array" ref="AJ15">IFERROR(INDEX($E$2:$E$118, SMALL(IF($A$2:$A$118=AJ$2, ROW($E$2:$E$118)-ROW($E$2)+1), ROWS($S$3:AJ15))), "")</f>
        <v/>
      </c>
      <c r="AK15" s="224" t="str" cm="1">
        <f t="array" ref="AK15">IFERROR(INDEX($E$2:$E$118, SMALL(IF($A$2:$A$118=AK$2, ROW($E$2:$E$118)-ROW($E$2)+1), ROWS($S$3:AK15))), "")</f>
        <v/>
      </c>
      <c r="AL15" s="224" t="str" cm="1">
        <f t="array" ref="AL15">IFERROR(INDEX($E$2:$E$118, SMALL(IF($A$2:$A$118=AL$2, ROW($E$2:$E$118)-ROW($E$2)+1), ROWS($S$3:AL15))), "")</f>
        <v/>
      </c>
      <c r="AM15" s="224" t="str" cm="1">
        <f t="array" ref="AM15">IFERROR(INDEX($E$2:$E$118, SMALL(IF($A$2:$A$118=AM$2, ROW($E$2:$E$118)-ROW($E$2)+1), ROWS($S$3:AM15))), "")</f>
        <v/>
      </c>
      <c r="AN15" s="224" t="str" cm="1">
        <f t="array" ref="AN15">IFERROR(INDEX($E$2:$E$118, SMALL(IF($A$2:$A$118=AN$2, ROW($E$2:$E$118)-ROW($E$2)+1), ROWS($S$3:AN15))), "")</f>
        <v/>
      </c>
      <c r="AO15" s="224" t="str" cm="1">
        <f t="array" ref="AO15">IFERROR(INDEX($E$2:$E$118, SMALL(IF($A$2:$A$118=AO$2, ROW($E$2:$E$118)-ROW($E$2)+1), ROWS($S$3:AO15))), "")</f>
        <v/>
      </c>
      <c r="AP15" s="224" t="str" cm="1">
        <f t="array" ref="AP15">IFERROR(INDEX($E$2:$E$118, SMALL(IF($A$2:$A$118=AP$2, ROW($E$2:$E$118)-ROW($E$2)+1), ROWS($S$3:AP15))), "")</f>
        <v/>
      </c>
      <c r="AQ15" s="224" cm="1">
        <f t="array" ref="AQ15">IFERROR(INDEX($E$2:$E$118, SMALL(IF($A$2:$A$118=AQ$2, ROW($E$2:$E$118)-ROW($E$2)+1), ROWS($S$3:AQ15))), "")</f>
        <v>129</v>
      </c>
      <c r="AR15" s="224" cm="1">
        <f t="array" ref="AR15">IFERROR(INDEX($E$2:$E$118, SMALL(IF($A$2:$A$118=AR$2, ROW($E$2:$E$118)-ROW($E$2)+1), ROWS($S$3:AR15))), "")</f>
        <v>129</v>
      </c>
    </row>
    <row r="16" spans="1:44" x14ac:dyDescent="0.2">
      <c r="A16" s="45" t="s">
        <v>580</v>
      </c>
      <c r="B16" s="45" t="s">
        <v>184</v>
      </c>
      <c r="C16" s="230">
        <f>VLOOKUP(B16, 'S08 ABC Output'!$A$3:$C$18, 3, 0)</f>
        <v>85612</v>
      </c>
      <c r="D16" s="230">
        <f>VLOOKUP(B16, 'S12 Operations'!$C$2:$H$534, 6, 0)</f>
        <v>200</v>
      </c>
      <c r="E16" s="230">
        <f t="shared" si="3"/>
        <v>429</v>
      </c>
      <c r="F16" s="230">
        <f>VLOOKUP(A16, 'S11 Work Stations'!$A$2:$C$45, 3, 0)</f>
        <v>35</v>
      </c>
      <c r="G16" s="230">
        <f>VLOOKUP(B16&amp;"-"&amp;A16, 'S12 Operations'!$A$2:$G$534, 7, 0)</f>
        <v>420</v>
      </c>
      <c r="H16" s="229">
        <f t="shared" si="4"/>
        <v>7</v>
      </c>
      <c r="I16" s="229">
        <f t="shared" si="5"/>
        <v>614299</v>
      </c>
      <c r="J16" s="230">
        <f t="shared" si="6"/>
        <v>10238</v>
      </c>
      <c r="L16">
        <f t="shared" si="0"/>
        <v>3</v>
      </c>
      <c r="M16">
        <f t="shared" si="1"/>
        <v>129</v>
      </c>
      <c r="N16">
        <f t="shared" si="2"/>
        <v>626</v>
      </c>
      <c r="O16">
        <f t="shared" si="7"/>
        <v>5</v>
      </c>
      <c r="Q16" s="214" t="str" cm="1">
        <f t="array" ref="Q16">INDEX($A$2:$A$118,MATCH(0,COUNTIF($Q$1:Q15,$A$2:$A$118),0))</f>
        <v>WS-28</v>
      </c>
      <c r="S16" s="224" t="str" cm="1">
        <f t="array" ref="S16">IFERROR(INDEX($E$2:$E$118, SMALL(IF($A$2:$A$118=S$2, ROW($E$2:$E$118)-ROW($E$2)+1), ROWS($S$3:S16))), "")</f>
        <v/>
      </c>
      <c r="T16" s="224" t="str" cm="1">
        <f t="array" ref="T16">IFERROR(INDEX($E$2:$E$118, SMALL(IF($A$2:$A$118=T$2, ROW($E$2:$E$118)-ROW($E$2)+1), ROWS($S$3:T16))), "")</f>
        <v/>
      </c>
      <c r="U16" s="224" t="str" cm="1">
        <f t="array" ref="U16">IFERROR(INDEX($E$2:$E$118, SMALL(IF($A$2:$A$118=U$2, ROW($E$2:$E$118)-ROW($E$2)+1), ROWS($S$3:U16))), "")</f>
        <v/>
      </c>
      <c r="V16" s="224" t="str" cm="1">
        <f t="array" ref="V16">IFERROR(INDEX($E$2:$E$118, SMALL(IF($A$2:$A$118=V$2, ROW($E$2:$E$118)-ROW($E$2)+1), ROWS($S$3:V16))), "")</f>
        <v/>
      </c>
      <c r="W16" s="224" t="str" cm="1">
        <f t="array" ref="W16">IFERROR(INDEX($E$2:$E$118, SMALL(IF($A$2:$A$118=W$2, ROW($E$2:$E$118)-ROW($E$2)+1), ROWS($S$3:W16))), "")</f>
        <v/>
      </c>
      <c r="X16" s="224" t="str" cm="1">
        <f t="array" ref="X16">IFERROR(INDEX($E$2:$E$118, SMALL(IF($A$2:$A$118=X$2, ROW($E$2:$E$118)-ROW($E$2)+1), ROWS($S$3:X16))), "")</f>
        <v/>
      </c>
      <c r="Y16" s="224" t="str" cm="1">
        <f t="array" ref="Y16">IFERROR(INDEX($E$2:$E$118, SMALL(IF($A$2:$A$118=Y$2, ROW($E$2:$E$118)-ROW($E$2)+1), ROWS($S$3:Y16))), "")</f>
        <v/>
      </c>
      <c r="Z16" s="224" t="str" cm="1">
        <f t="array" ref="Z16">IFERROR(INDEX($E$2:$E$118, SMALL(IF($A$2:$A$118=Z$2, ROW($E$2:$E$118)-ROW($E$2)+1), ROWS($S$3:Z16))), "")</f>
        <v/>
      </c>
      <c r="AA16" s="224" t="str" cm="1">
        <f t="array" ref="AA16">IFERROR(INDEX($E$2:$E$118, SMALL(IF($A$2:$A$118=AA$2, ROW($E$2:$E$118)-ROW($E$2)+1), ROWS($S$3:AA16))), "")</f>
        <v/>
      </c>
      <c r="AB16" s="224" t="str" cm="1">
        <f t="array" ref="AB16">IFERROR(INDEX($E$2:$E$118, SMALL(IF($A$2:$A$118=AB$2, ROW($E$2:$E$118)-ROW($E$2)+1), ROWS($S$3:AB16))), "")</f>
        <v/>
      </c>
      <c r="AC16" s="224" t="str" cm="1">
        <f t="array" ref="AC16">IFERROR(INDEX($E$2:$E$118, SMALL(IF($A$2:$A$118=AC$2, ROW($E$2:$E$118)-ROW($E$2)+1), ROWS($S$3:AC16))), "")</f>
        <v/>
      </c>
      <c r="AD16" s="224" t="str" cm="1">
        <f t="array" ref="AD16">IFERROR(INDEX($E$2:$E$118, SMALL(IF($A$2:$A$118=AD$2, ROW($E$2:$E$118)-ROW($E$2)+1), ROWS($S$3:AD16))), "")</f>
        <v/>
      </c>
      <c r="AE16" s="224" t="str" cm="1">
        <f t="array" ref="AE16">IFERROR(INDEX($E$2:$E$118, SMALL(IF($A$2:$A$118=AE$2, ROW($E$2:$E$118)-ROW($E$2)+1), ROWS($S$3:AE16))), "")</f>
        <v/>
      </c>
      <c r="AF16" s="224" t="str" cm="1">
        <f t="array" ref="AF16">IFERROR(INDEX($E$2:$E$118, SMALL(IF($A$2:$A$118=AF$2, ROW($E$2:$E$118)-ROW($E$2)+1), ROWS($S$3:AF16))), "")</f>
        <v/>
      </c>
      <c r="AG16" s="224" t="str" cm="1">
        <f t="array" ref="AG16">IFERROR(INDEX($E$2:$E$118, SMALL(IF($A$2:$A$118=AG$2, ROW($E$2:$E$118)-ROW($E$2)+1), ROWS($S$3:AG16))), "")</f>
        <v/>
      </c>
      <c r="AH16" s="224" t="str" cm="1">
        <f t="array" ref="AH16">IFERROR(INDEX($E$2:$E$118, SMALL(IF($A$2:$A$118=AH$2, ROW($E$2:$E$118)-ROW($E$2)+1), ROWS($S$3:AH16))), "")</f>
        <v/>
      </c>
      <c r="AI16" s="224" t="str" cm="1">
        <f t="array" ref="AI16">IFERROR(INDEX($E$2:$E$118, SMALL(IF($A$2:$A$118=AI$2, ROW($E$2:$E$118)-ROW($E$2)+1), ROWS($S$3:AI16))), "")</f>
        <v/>
      </c>
      <c r="AJ16" s="224" t="str" cm="1">
        <f t="array" ref="AJ16">IFERROR(INDEX($E$2:$E$118, SMALL(IF($A$2:$A$118=AJ$2, ROW($E$2:$E$118)-ROW($E$2)+1), ROWS($S$3:AJ16))), "")</f>
        <v/>
      </c>
      <c r="AK16" s="224" t="str" cm="1">
        <f t="array" ref="AK16">IFERROR(INDEX($E$2:$E$118, SMALL(IF($A$2:$A$118=AK$2, ROW($E$2:$E$118)-ROW($E$2)+1), ROWS($S$3:AK16))), "")</f>
        <v/>
      </c>
      <c r="AL16" s="224" t="str" cm="1">
        <f t="array" ref="AL16">IFERROR(INDEX($E$2:$E$118, SMALL(IF($A$2:$A$118=AL$2, ROW($E$2:$E$118)-ROW($E$2)+1), ROWS($S$3:AL16))), "")</f>
        <v/>
      </c>
      <c r="AM16" s="224" t="str" cm="1">
        <f t="array" ref="AM16">IFERROR(INDEX($E$2:$E$118, SMALL(IF($A$2:$A$118=AM$2, ROW($E$2:$E$118)-ROW($E$2)+1), ROWS($S$3:AM16))), "")</f>
        <v/>
      </c>
      <c r="AN16" s="224" t="str" cm="1">
        <f t="array" ref="AN16">IFERROR(INDEX($E$2:$E$118, SMALL(IF($A$2:$A$118=AN$2, ROW($E$2:$E$118)-ROW($E$2)+1), ROWS($S$3:AN16))), "")</f>
        <v/>
      </c>
      <c r="AO16" s="224" t="str" cm="1">
        <f t="array" ref="AO16">IFERROR(INDEX($E$2:$E$118, SMALL(IF($A$2:$A$118=AO$2, ROW($E$2:$E$118)-ROW($E$2)+1), ROWS($S$3:AO16))), "")</f>
        <v/>
      </c>
      <c r="AP16" s="224" t="str" cm="1">
        <f t="array" ref="AP16">IFERROR(INDEX($E$2:$E$118, SMALL(IF($A$2:$A$118=AP$2, ROW($E$2:$E$118)-ROW($E$2)+1), ROWS($S$3:AP16))), "")</f>
        <v/>
      </c>
      <c r="AQ16" s="224" cm="1">
        <f t="array" ref="AQ16">IFERROR(INDEX($E$2:$E$118, SMALL(IF($A$2:$A$118=AQ$2, ROW($E$2:$E$118)-ROW($E$2)+1), ROWS($S$3:AQ16))), "")</f>
        <v>129</v>
      </c>
      <c r="AR16" s="224" cm="1">
        <f t="array" ref="AR16">IFERROR(INDEX($E$2:$E$118, SMALL(IF($A$2:$A$118=AR$2, ROW($E$2:$E$118)-ROW($E$2)+1), ROWS($S$3:AR16))), "")</f>
        <v>129</v>
      </c>
    </row>
    <row r="17" spans="1:44" x14ac:dyDescent="0.2">
      <c r="A17" s="45" t="s">
        <v>580</v>
      </c>
      <c r="B17" s="45" t="s">
        <v>190</v>
      </c>
      <c r="C17" s="230">
        <f>VLOOKUP(B17, 'S08 ABC Output'!$A$3:$C$18, 3, 0)</f>
        <v>50689</v>
      </c>
      <c r="D17" s="230">
        <f>VLOOKUP(B17, 'S12 Operations'!$C$2:$H$534, 6, 0)</f>
        <v>200</v>
      </c>
      <c r="E17" s="230">
        <f t="shared" si="3"/>
        <v>254</v>
      </c>
      <c r="F17" s="230">
        <f>VLOOKUP(A17, 'S11 Work Stations'!$A$2:$C$45, 3, 0)</f>
        <v>35</v>
      </c>
      <c r="G17" s="230">
        <f>VLOOKUP(B17&amp;"-"&amp;A17, 'S12 Operations'!$A$2:$G$534, 7, 0)</f>
        <v>600</v>
      </c>
      <c r="H17" s="229">
        <f t="shared" si="4"/>
        <v>10</v>
      </c>
      <c r="I17" s="229">
        <f t="shared" si="5"/>
        <v>515780</v>
      </c>
      <c r="J17" s="230">
        <f t="shared" si="6"/>
        <v>8596</v>
      </c>
      <c r="L17">
        <f t="shared" si="0"/>
        <v>4</v>
      </c>
      <c r="M17">
        <f t="shared" si="1"/>
        <v>129</v>
      </c>
      <c r="N17">
        <f t="shared" si="2"/>
        <v>626</v>
      </c>
      <c r="O17">
        <f t="shared" si="7"/>
        <v>5</v>
      </c>
      <c r="Q17" s="214" t="str" cm="1">
        <f t="array" ref="Q17">INDEX($A$2:$A$118,MATCH(0,COUNTIF($Q$1:Q16,$A$2:$A$118),0))</f>
        <v>WS-29</v>
      </c>
      <c r="S17" s="224" t="str" cm="1">
        <f t="array" ref="S17">IFERROR(INDEX($E$2:$E$118, SMALL(IF($A$2:$A$118=S$2, ROW($E$2:$E$118)-ROW($E$2)+1), ROWS($S$3:S17))), "")</f>
        <v/>
      </c>
      <c r="T17" s="224" t="str" cm="1">
        <f t="array" ref="T17">IFERROR(INDEX($E$2:$E$118, SMALL(IF($A$2:$A$118=T$2, ROW($E$2:$E$118)-ROW($E$2)+1), ROWS($S$3:T17))), "")</f>
        <v/>
      </c>
      <c r="U17" s="224" t="str" cm="1">
        <f t="array" ref="U17">IFERROR(INDEX($E$2:$E$118, SMALL(IF($A$2:$A$118=U$2, ROW($E$2:$E$118)-ROW($E$2)+1), ROWS($S$3:U17))), "")</f>
        <v/>
      </c>
      <c r="V17" s="224" t="str" cm="1">
        <f t="array" ref="V17">IFERROR(INDEX($E$2:$E$118, SMALL(IF($A$2:$A$118=V$2, ROW($E$2:$E$118)-ROW($E$2)+1), ROWS($S$3:V17))), "")</f>
        <v/>
      </c>
      <c r="W17" s="224" t="str" cm="1">
        <f t="array" ref="W17">IFERROR(INDEX($E$2:$E$118, SMALL(IF($A$2:$A$118=W$2, ROW($E$2:$E$118)-ROW($E$2)+1), ROWS($S$3:W17))), "")</f>
        <v/>
      </c>
      <c r="X17" s="224" t="str" cm="1">
        <f t="array" ref="X17">IFERROR(INDEX($E$2:$E$118, SMALL(IF($A$2:$A$118=X$2, ROW($E$2:$E$118)-ROW($E$2)+1), ROWS($S$3:X17))), "")</f>
        <v/>
      </c>
      <c r="Y17" s="224" t="str" cm="1">
        <f t="array" ref="Y17">IFERROR(INDEX($E$2:$E$118, SMALL(IF($A$2:$A$118=Y$2, ROW($E$2:$E$118)-ROW($E$2)+1), ROWS($S$3:Y17))), "")</f>
        <v/>
      </c>
      <c r="Z17" s="224" t="str" cm="1">
        <f t="array" ref="Z17">IFERROR(INDEX($E$2:$E$118, SMALL(IF($A$2:$A$118=Z$2, ROW($E$2:$E$118)-ROW($E$2)+1), ROWS($S$3:Z17))), "")</f>
        <v/>
      </c>
      <c r="AA17" s="224" t="str" cm="1">
        <f t="array" ref="AA17">IFERROR(INDEX($E$2:$E$118, SMALL(IF($A$2:$A$118=AA$2, ROW($E$2:$E$118)-ROW($E$2)+1), ROWS($S$3:AA17))), "")</f>
        <v/>
      </c>
      <c r="AB17" s="224" t="str" cm="1">
        <f t="array" ref="AB17">IFERROR(INDEX($E$2:$E$118, SMALL(IF($A$2:$A$118=AB$2, ROW($E$2:$E$118)-ROW($E$2)+1), ROWS($S$3:AB17))), "")</f>
        <v/>
      </c>
      <c r="AC17" s="224" t="str" cm="1">
        <f t="array" ref="AC17">IFERROR(INDEX($E$2:$E$118, SMALL(IF($A$2:$A$118=AC$2, ROW($E$2:$E$118)-ROW($E$2)+1), ROWS($S$3:AC17))), "")</f>
        <v/>
      </c>
      <c r="AD17" s="224" t="str" cm="1">
        <f t="array" ref="AD17">IFERROR(INDEX($E$2:$E$118, SMALL(IF($A$2:$A$118=AD$2, ROW($E$2:$E$118)-ROW($E$2)+1), ROWS($S$3:AD17))), "")</f>
        <v/>
      </c>
      <c r="AE17" s="224" t="str" cm="1">
        <f t="array" ref="AE17">IFERROR(INDEX($E$2:$E$118, SMALL(IF($A$2:$A$118=AE$2, ROW($E$2:$E$118)-ROW($E$2)+1), ROWS($S$3:AE17))), "")</f>
        <v/>
      </c>
      <c r="AF17" s="224" t="str" cm="1">
        <f t="array" ref="AF17">IFERROR(INDEX($E$2:$E$118, SMALL(IF($A$2:$A$118=AF$2, ROW($E$2:$E$118)-ROW($E$2)+1), ROWS($S$3:AF17))), "")</f>
        <v/>
      </c>
      <c r="AG17" s="224" t="str" cm="1">
        <f t="array" ref="AG17">IFERROR(INDEX($E$2:$E$118, SMALL(IF($A$2:$A$118=AG$2, ROW($E$2:$E$118)-ROW($E$2)+1), ROWS($S$3:AG17))), "")</f>
        <v/>
      </c>
      <c r="AH17" s="224" t="str" cm="1">
        <f t="array" ref="AH17">IFERROR(INDEX($E$2:$E$118, SMALL(IF($A$2:$A$118=AH$2, ROW($E$2:$E$118)-ROW($E$2)+1), ROWS($S$3:AH17))), "")</f>
        <v/>
      </c>
      <c r="AI17" s="224" t="str" cm="1">
        <f t="array" ref="AI17">IFERROR(INDEX($E$2:$E$118, SMALL(IF($A$2:$A$118=AI$2, ROW($E$2:$E$118)-ROW($E$2)+1), ROWS($S$3:AI17))), "")</f>
        <v/>
      </c>
      <c r="AJ17" s="224" t="str" cm="1">
        <f t="array" ref="AJ17">IFERROR(INDEX($E$2:$E$118, SMALL(IF($A$2:$A$118=AJ$2, ROW($E$2:$E$118)-ROW($E$2)+1), ROWS($S$3:AJ17))), "")</f>
        <v/>
      </c>
      <c r="AK17" s="224" t="str" cm="1">
        <f t="array" ref="AK17">IFERROR(INDEX($E$2:$E$118, SMALL(IF($A$2:$A$118=AK$2, ROW($E$2:$E$118)-ROW($E$2)+1), ROWS($S$3:AK17))), "")</f>
        <v/>
      </c>
      <c r="AL17" s="224" t="str" cm="1">
        <f t="array" ref="AL17">IFERROR(INDEX($E$2:$E$118, SMALL(IF($A$2:$A$118=AL$2, ROW($E$2:$E$118)-ROW($E$2)+1), ROWS($S$3:AL17))), "")</f>
        <v/>
      </c>
      <c r="AM17" s="224" t="str" cm="1">
        <f t="array" ref="AM17">IFERROR(INDEX($E$2:$E$118, SMALL(IF($A$2:$A$118=AM$2, ROW($E$2:$E$118)-ROW($E$2)+1), ROWS($S$3:AM17))), "")</f>
        <v/>
      </c>
      <c r="AN17" s="224" t="str" cm="1">
        <f t="array" ref="AN17">IFERROR(INDEX($E$2:$E$118, SMALL(IF($A$2:$A$118=AN$2, ROW($E$2:$E$118)-ROW($E$2)+1), ROWS($S$3:AN17))), "")</f>
        <v/>
      </c>
      <c r="AO17" s="224" t="str" cm="1">
        <f t="array" ref="AO17">IFERROR(INDEX($E$2:$E$118, SMALL(IF($A$2:$A$118=AO$2, ROW($E$2:$E$118)-ROW($E$2)+1), ROWS($S$3:AO17))), "")</f>
        <v/>
      </c>
      <c r="AP17" s="224" t="str" cm="1">
        <f t="array" ref="AP17">IFERROR(INDEX($E$2:$E$118, SMALL(IF($A$2:$A$118=AP$2, ROW($E$2:$E$118)-ROW($E$2)+1), ROWS($S$3:AP17))), "")</f>
        <v/>
      </c>
      <c r="AQ17" s="224" cm="1">
        <f t="array" ref="AQ17">IFERROR(INDEX($E$2:$E$118, SMALL(IF($A$2:$A$118=AQ$2, ROW($E$2:$E$118)-ROW($E$2)+1), ROWS($S$3:AQ17))), "")</f>
        <v>129</v>
      </c>
      <c r="AR17" s="224" cm="1">
        <f t="array" ref="AR17">IFERROR(INDEX($E$2:$E$118, SMALL(IF($A$2:$A$118=AR$2, ROW($E$2:$E$118)-ROW($E$2)+1), ROWS($S$3:AR17))), "")</f>
        <v>129</v>
      </c>
    </row>
    <row r="18" spans="1:44" x14ac:dyDescent="0.2">
      <c r="A18" s="45" t="s">
        <v>580</v>
      </c>
      <c r="B18" s="45" t="s">
        <v>200</v>
      </c>
      <c r="C18" s="230">
        <f>VLOOKUP(B18, 'S08 ABC Output'!$A$3:$C$18, 3, 0)</f>
        <v>25689</v>
      </c>
      <c r="D18" s="230">
        <f>VLOOKUP(B18, 'S12 Operations'!$C$2:$H$534, 6, 0)</f>
        <v>200</v>
      </c>
      <c r="E18" s="230">
        <f t="shared" si="3"/>
        <v>129</v>
      </c>
      <c r="F18" s="230">
        <f>VLOOKUP(A18, 'S11 Work Stations'!$A$2:$C$45, 3, 0)</f>
        <v>35</v>
      </c>
      <c r="G18" s="230">
        <f>VLOOKUP(B18&amp;"-"&amp;A18, 'S12 Operations'!$A$2:$G$534, 7, 0)</f>
        <v>540</v>
      </c>
      <c r="H18" s="229">
        <f t="shared" si="4"/>
        <v>9</v>
      </c>
      <c r="I18" s="229">
        <f t="shared" si="5"/>
        <v>235716</v>
      </c>
      <c r="J18" s="230">
        <f t="shared" si="6"/>
        <v>3929</v>
      </c>
      <c r="L18">
        <f t="shared" si="0"/>
        <v>5</v>
      </c>
      <c r="M18">
        <f t="shared" si="1"/>
        <v>129</v>
      </c>
      <c r="N18">
        <f t="shared" si="2"/>
        <v>626</v>
      </c>
      <c r="O18">
        <f t="shared" si="7"/>
        <v>5</v>
      </c>
      <c r="Q18" s="214" t="str" cm="1">
        <f t="array" ref="Q18">INDEX($A$2:$A$118,MATCH(0,COUNTIF($Q$1:Q17,$A$2:$A$118),0))</f>
        <v>WS-31</v>
      </c>
      <c r="S18" s="224" t="str" cm="1">
        <f t="array" ref="S18">IFERROR(INDEX($E$2:$E$118, SMALL(IF($A$2:$A$118=S$2, ROW($E$2:$E$118)-ROW($E$2)+1), ROWS($S$3:S18))), "")</f>
        <v/>
      </c>
      <c r="T18" s="224" t="str" cm="1">
        <f t="array" ref="T18">IFERROR(INDEX($E$2:$E$118, SMALL(IF($A$2:$A$118=T$2, ROW($E$2:$E$118)-ROW($E$2)+1), ROWS($S$3:T18))), "")</f>
        <v/>
      </c>
      <c r="U18" s="224" t="str" cm="1">
        <f t="array" ref="U18">IFERROR(INDEX($E$2:$E$118, SMALL(IF($A$2:$A$118=U$2, ROW($E$2:$E$118)-ROW($E$2)+1), ROWS($S$3:U18))), "")</f>
        <v/>
      </c>
      <c r="V18" s="224" t="str" cm="1">
        <f t="array" ref="V18">IFERROR(INDEX($E$2:$E$118, SMALL(IF($A$2:$A$118=V$2, ROW($E$2:$E$118)-ROW($E$2)+1), ROWS($S$3:V18))), "")</f>
        <v/>
      </c>
      <c r="W18" s="224" t="str" cm="1">
        <f t="array" ref="W18">IFERROR(INDEX($E$2:$E$118, SMALL(IF($A$2:$A$118=W$2, ROW($E$2:$E$118)-ROW($E$2)+1), ROWS($S$3:W18))), "")</f>
        <v/>
      </c>
      <c r="X18" s="224" t="str" cm="1">
        <f t="array" ref="X18">IFERROR(INDEX($E$2:$E$118, SMALL(IF($A$2:$A$118=X$2, ROW($E$2:$E$118)-ROW($E$2)+1), ROWS($S$3:X18))), "")</f>
        <v/>
      </c>
      <c r="Y18" s="224" t="str" cm="1">
        <f t="array" ref="Y18">IFERROR(INDEX($E$2:$E$118, SMALL(IF($A$2:$A$118=Y$2, ROW($E$2:$E$118)-ROW($E$2)+1), ROWS($S$3:Y18))), "")</f>
        <v/>
      </c>
      <c r="Z18" s="224" t="str" cm="1">
        <f t="array" ref="Z18">IFERROR(INDEX($E$2:$E$118, SMALL(IF($A$2:$A$118=Z$2, ROW($E$2:$E$118)-ROW($E$2)+1), ROWS($S$3:Z18))), "")</f>
        <v/>
      </c>
      <c r="AA18" s="224" t="str" cm="1">
        <f t="array" ref="AA18">IFERROR(INDEX($E$2:$E$118, SMALL(IF($A$2:$A$118=AA$2, ROW($E$2:$E$118)-ROW($E$2)+1), ROWS($S$3:AA18))), "")</f>
        <v/>
      </c>
      <c r="AB18" s="224" t="str" cm="1">
        <f t="array" ref="AB18">IFERROR(INDEX($E$2:$E$118, SMALL(IF($A$2:$A$118=AB$2, ROW($E$2:$E$118)-ROW($E$2)+1), ROWS($S$3:AB18))), "")</f>
        <v/>
      </c>
      <c r="AC18" s="224" t="str" cm="1">
        <f t="array" ref="AC18">IFERROR(INDEX($E$2:$E$118, SMALL(IF($A$2:$A$118=AC$2, ROW($E$2:$E$118)-ROW($E$2)+1), ROWS($S$3:AC18))), "")</f>
        <v/>
      </c>
      <c r="AD18" s="224" t="str" cm="1">
        <f t="array" ref="AD18">IFERROR(INDEX($E$2:$E$118, SMALL(IF($A$2:$A$118=AD$2, ROW($E$2:$E$118)-ROW($E$2)+1), ROWS($S$3:AD18))), "")</f>
        <v/>
      </c>
      <c r="AE18" s="224" t="str" cm="1">
        <f t="array" ref="AE18">IFERROR(INDEX($E$2:$E$118, SMALL(IF($A$2:$A$118=AE$2, ROW($E$2:$E$118)-ROW($E$2)+1), ROWS($S$3:AE18))), "")</f>
        <v/>
      </c>
      <c r="AF18" s="224" t="str" cm="1">
        <f t="array" ref="AF18">IFERROR(INDEX($E$2:$E$118, SMALL(IF($A$2:$A$118=AF$2, ROW($E$2:$E$118)-ROW($E$2)+1), ROWS($S$3:AF18))), "")</f>
        <v/>
      </c>
      <c r="AG18" s="224" t="str" cm="1">
        <f t="array" ref="AG18">IFERROR(INDEX($E$2:$E$118, SMALL(IF($A$2:$A$118=AG$2, ROW($E$2:$E$118)-ROW($E$2)+1), ROWS($S$3:AG18))), "")</f>
        <v/>
      </c>
      <c r="AH18" s="224" t="str" cm="1">
        <f t="array" ref="AH18">IFERROR(INDEX($E$2:$E$118, SMALL(IF($A$2:$A$118=AH$2, ROW($E$2:$E$118)-ROW($E$2)+1), ROWS($S$3:AH18))), "")</f>
        <v/>
      </c>
      <c r="AI18" s="224" t="str" cm="1">
        <f t="array" ref="AI18">IFERROR(INDEX($E$2:$E$118, SMALL(IF($A$2:$A$118=AI$2, ROW($E$2:$E$118)-ROW($E$2)+1), ROWS($S$3:AI18))), "")</f>
        <v/>
      </c>
      <c r="AJ18" s="224" t="str" cm="1">
        <f t="array" ref="AJ18">IFERROR(INDEX($E$2:$E$118, SMALL(IF($A$2:$A$118=AJ$2, ROW($E$2:$E$118)-ROW($E$2)+1), ROWS($S$3:AJ18))), "")</f>
        <v/>
      </c>
      <c r="AK18" s="224" t="str" cm="1">
        <f t="array" ref="AK18">IFERROR(INDEX($E$2:$E$118, SMALL(IF($A$2:$A$118=AK$2, ROW($E$2:$E$118)-ROW($E$2)+1), ROWS($S$3:AK18))), "")</f>
        <v/>
      </c>
      <c r="AL18" s="224" t="str" cm="1">
        <f t="array" ref="AL18">IFERROR(INDEX($E$2:$E$118, SMALL(IF($A$2:$A$118=AL$2, ROW($E$2:$E$118)-ROW($E$2)+1), ROWS($S$3:AL18))), "")</f>
        <v/>
      </c>
      <c r="AM18" s="224" t="str" cm="1">
        <f t="array" ref="AM18">IFERROR(INDEX($E$2:$E$118, SMALL(IF($A$2:$A$118=AM$2, ROW($E$2:$E$118)-ROW($E$2)+1), ROWS($S$3:AM18))), "")</f>
        <v/>
      </c>
      <c r="AN18" s="224" t="str" cm="1">
        <f t="array" ref="AN18">IFERROR(INDEX($E$2:$E$118, SMALL(IF($A$2:$A$118=AN$2, ROW($E$2:$E$118)-ROW($E$2)+1), ROWS($S$3:AN18))), "")</f>
        <v/>
      </c>
      <c r="AO18" s="224" t="str" cm="1">
        <f t="array" ref="AO18">IFERROR(INDEX($E$2:$E$118, SMALL(IF($A$2:$A$118=AO$2, ROW($E$2:$E$118)-ROW($E$2)+1), ROWS($S$3:AO18))), "")</f>
        <v/>
      </c>
      <c r="AP18" s="224" t="str" cm="1">
        <f t="array" ref="AP18">IFERROR(INDEX($E$2:$E$118, SMALL(IF($A$2:$A$118=AP$2, ROW($E$2:$E$118)-ROW($E$2)+1), ROWS($S$3:AP18))), "")</f>
        <v/>
      </c>
      <c r="AQ18" s="224" cm="1">
        <f t="array" ref="AQ18">IFERROR(INDEX($E$2:$E$118, SMALL(IF($A$2:$A$118=AQ$2, ROW($E$2:$E$118)-ROW($E$2)+1), ROWS($S$3:AQ18))), "")</f>
        <v>510</v>
      </c>
      <c r="AR18" s="224" cm="1">
        <f t="array" ref="AR18">IFERROR(INDEX($E$2:$E$118, SMALL(IF($A$2:$A$118=AR$2, ROW($E$2:$E$118)-ROW($E$2)+1), ROWS($S$3:AR18))), "")</f>
        <v>510</v>
      </c>
    </row>
    <row r="19" spans="1:44" x14ac:dyDescent="0.2">
      <c r="A19" s="45" t="s">
        <v>580</v>
      </c>
      <c r="B19" s="45" t="s">
        <v>205</v>
      </c>
      <c r="C19" s="230">
        <f>VLOOKUP(B19, 'S08 ABC Output'!$A$3:$C$18, 3, 0)</f>
        <v>25468</v>
      </c>
      <c r="D19" s="230">
        <f>VLOOKUP(B19, 'S12 Operations'!$C$2:$H$534, 6, 0)</f>
        <v>50</v>
      </c>
      <c r="E19" s="230">
        <f t="shared" si="3"/>
        <v>510</v>
      </c>
      <c r="F19" s="230">
        <f>VLOOKUP(A19, 'S11 Work Stations'!$A$2:$C$45, 3, 0)</f>
        <v>35</v>
      </c>
      <c r="G19" s="230">
        <f>VLOOKUP(B19&amp;"-"&amp;A19, 'S12 Operations'!$A$2:$G$534, 7, 0)</f>
        <v>840</v>
      </c>
      <c r="H19" s="229">
        <f t="shared" si="4"/>
        <v>14</v>
      </c>
      <c r="I19" s="229">
        <f t="shared" si="5"/>
        <v>374402</v>
      </c>
      <c r="J19" s="230">
        <f t="shared" si="6"/>
        <v>6240</v>
      </c>
      <c r="L19">
        <f t="shared" si="0"/>
        <v>2</v>
      </c>
      <c r="M19">
        <f t="shared" si="1"/>
        <v>129</v>
      </c>
      <c r="N19">
        <f t="shared" si="2"/>
        <v>626</v>
      </c>
      <c r="O19">
        <f t="shared" si="7"/>
        <v>5</v>
      </c>
      <c r="Q19" s="214" t="str" cm="1">
        <f t="array" ref="Q19">INDEX($A$2:$A$118,MATCH(0,COUNTIF($Q$1:Q18,$A$2:$A$118),0))</f>
        <v>WS-32</v>
      </c>
      <c r="S19" s="225" t="str">
        <f>S2</f>
        <v>WS-02</v>
      </c>
      <c r="T19" s="225" t="str">
        <f t="shared" ref="T19:AR19" si="8">T2</f>
        <v>WS-03</v>
      </c>
      <c r="U19" s="225" t="str">
        <f t="shared" si="8"/>
        <v>WS-04</v>
      </c>
      <c r="V19" s="225" t="str">
        <f t="shared" si="8"/>
        <v>WS-05</v>
      </c>
      <c r="W19" s="225" t="str">
        <f t="shared" si="8"/>
        <v>WS-07</v>
      </c>
      <c r="X19" s="225" t="str">
        <f t="shared" si="8"/>
        <v>WS-08</v>
      </c>
      <c r="Y19" s="225" t="str">
        <f t="shared" si="8"/>
        <v>WS-18</v>
      </c>
      <c r="Z19" s="225" t="str">
        <f t="shared" si="8"/>
        <v>WS-20</v>
      </c>
      <c r="AA19" s="225" t="str">
        <f t="shared" si="8"/>
        <v>WS-21</v>
      </c>
      <c r="AB19" s="225" t="str">
        <f t="shared" si="8"/>
        <v>WS-23</v>
      </c>
      <c r="AC19" s="225" t="str">
        <f t="shared" si="8"/>
        <v>WS-24</v>
      </c>
      <c r="AD19" s="225" t="str">
        <f t="shared" si="8"/>
        <v>WS-25</v>
      </c>
      <c r="AE19" s="225" t="str">
        <f t="shared" si="8"/>
        <v>WS-26</v>
      </c>
      <c r="AF19" s="225" t="str">
        <f t="shared" si="8"/>
        <v>WS-27</v>
      </c>
      <c r="AG19" s="225" t="str">
        <f t="shared" si="8"/>
        <v>WS-28</v>
      </c>
      <c r="AH19" s="225" t="str">
        <f t="shared" si="8"/>
        <v>WS-29</v>
      </c>
      <c r="AI19" s="225" t="str">
        <f t="shared" si="8"/>
        <v>WS-31</v>
      </c>
      <c r="AJ19" s="225" t="str">
        <f t="shared" si="8"/>
        <v>WS-32</v>
      </c>
      <c r="AK19" s="225" t="str">
        <f t="shared" si="8"/>
        <v>WS-33</v>
      </c>
      <c r="AL19" s="225" t="str">
        <f t="shared" si="8"/>
        <v>WS-34</v>
      </c>
      <c r="AM19" s="225" t="str">
        <f t="shared" si="8"/>
        <v>WS-36</v>
      </c>
      <c r="AN19" s="225" t="str">
        <f t="shared" si="8"/>
        <v>WS-38</v>
      </c>
      <c r="AO19" s="225" t="str">
        <f t="shared" si="8"/>
        <v>WS-40</v>
      </c>
      <c r="AP19" s="225" t="str">
        <f t="shared" si="8"/>
        <v>WS-42</v>
      </c>
      <c r="AQ19" s="225" t="str">
        <f t="shared" si="8"/>
        <v>WS-43</v>
      </c>
      <c r="AR19" s="225" t="str">
        <f t="shared" si="8"/>
        <v>WS-44</v>
      </c>
    </row>
    <row r="20" spans="1:44" x14ac:dyDescent="0.2">
      <c r="A20" s="45" t="s">
        <v>581</v>
      </c>
      <c r="B20" s="45" t="s">
        <v>184</v>
      </c>
      <c r="C20" s="230">
        <f>VLOOKUP(B20, 'S08 ABC Output'!$A$3:$C$18, 3, 0)</f>
        <v>85612</v>
      </c>
      <c r="D20" s="230">
        <f>VLOOKUP(B20, 'S12 Operations'!$C$2:$H$534, 6, 0)</f>
        <v>200</v>
      </c>
      <c r="E20" s="230">
        <f t="shared" si="3"/>
        <v>429</v>
      </c>
      <c r="F20" s="230">
        <f>VLOOKUP(A20, 'S11 Work Stations'!$A$2:$C$45, 3, 0)</f>
        <v>30</v>
      </c>
      <c r="G20" s="230">
        <f>VLOOKUP(B20&amp;"-"&amp;A20, 'S12 Operations'!$A$2:$G$534, 7, 0)</f>
        <v>480</v>
      </c>
      <c r="H20" s="229">
        <f t="shared" si="4"/>
        <v>8</v>
      </c>
      <c r="I20" s="229">
        <f t="shared" si="5"/>
        <v>692516</v>
      </c>
      <c r="J20" s="230">
        <f t="shared" si="6"/>
        <v>11542</v>
      </c>
      <c r="L20">
        <f t="shared" si="0"/>
        <v>1</v>
      </c>
      <c r="M20">
        <f t="shared" si="1"/>
        <v>254</v>
      </c>
      <c r="N20">
        <f t="shared" si="2"/>
        <v>429</v>
      </c>
      <c r="O20">
        <f t="shared" si="7"/>
        <v>2</v>
      </c>
      <c r="Q20" s="214" t="str" cm="1">
        <f t="array" ref="Q20">INDEX($A$2:$A$118,MATCH(0,COUNTIF($Q$1:Q19,$A$2:$A$118),0))</f>
        <v>WS-33</v>
      </c>
      <c r="S20" s="224">
        <f>IFERROR(LARGE(S$3:S$18,ROWS(S$20:S20)), "")</f>
        <v>1252</v>
      </c>
      <c r="T20" s="224">
        <f>IFERROR(LARGE(T$3:T$18,ROWS(T$20:T20)), "")</f>
        <v>433</v>
      </c>
      <c r="U20" s="224">
        <f>IFERROR(LARGE(U$3:U$18,ROWS(U$20:U20)), "")</f>
        <v>433</v>
      </c>
      <c r="V20" s="224">
        <f>IFERROR(LARGE(V$3:V$18,ROWS(V$20:V20)), "")</f>
        <v>1078</v>
      </c>
      <c r="W20" s="224">
        <f>IFERROR(LARGE(W$3:W$18,ROWS(W$20:W20)), "")</f>
        <v>626</v>
      </c>
      <c r="X20" s="224">
        <f>IFERROR(LARGE(X$3:X$18,ROWS(X$20:X20)), "")</f>
        <v>429</v>
      </c>
      <c r="Y20" s="224">
        <f>IFERROR(LARGE(Y$3:Y$18,ROWS(Y$20:Y20)), "")</f>
        <v>1252</v>
      </c>
      <c r="Z20" s="224">
        <f>IFERROR(LARGE(Z$3:Z$18,ROWS(Z$20:Z20)), "")</f>
        <v>429</v>
      </c>
      <c r="AA20" s="224">
        <f>IFERROR(LARGE(AA$3:AA$18,ROWS(AA$20:AA20)), "")</f>
        <v>626</v>
      </c>
      <c r="AB20" s="224">
        <f>IFERROR(LARGE(AB$3:AB$18,ROWS(AB$20:AB20)), "")</f>
        <v>433</v>
      </c>
      <c r="AC20" s="224">
        <f>IFERROR(LARGE(AC$3:AC$18,ROWS(AC$20:AC20)), "")</f>
        <v>1252</v>
      </c>
      <c r="AD20" s="224">
        <f>IFERROR(LARGE(AD$3:AD$18,ROWS(AD$20:AD20)), "")</f>
        <v>1078</v>
      </c>
      <c r="AE20" s="224">
        <f>IFERROR(LARGE(AE$3:AE$18,ROWS(AE$20:AE20)), "")</f>
        <v>429</v>
      </c>
      <c r="AF20" s="224">
        <f>IFERROR(LARGE(AF$3:AF$18,ROWS(AF$20:AF20)), "")</f>
        <v>626</v>
      </c>
      <c r="AG20" s="224">
        <f>IFERROR(LARGE(AG$3:AG$18,ROWS(AG$20:AG20)), "")</f>
        <v>626</v>
      </c>
      <c r="AH20" s="224">
        <f>IFERROR(LARGE(AH$3:AH$18,ROWS(AH$20:AH20)), "")</f>
        <v>1252</v>
      </c>
      <c r="AI20" s="224">
        <f>IFERROR(LARGE(AI$3:AI$18,ROWS(AI$20:AI20)), "")</f>
        <v>433</v>
      </c>
      <c r="AJ20" s="224">
        <f>IFERROR(LARGE(AJ$3:AJ$18,ROWS(AJ$20:AJ20)), "")</f>
        <v>626</v>
      </c>
      <c r="AK20" s="224">
        <f>IFERROR(LARGE(AK$3:AK$18,ROWS(AK$20:AK20)), "")</f>
        <v>1252</v>
      </c>
      <c r="AL20" s="224">
        <f>IFERROR(LARGE(AL$3:AL$18,ROWS(AL$20:AL20)), "")</f>
        <v>1078</v>
      </c>
      <c r="AM20" s="224">
        <f>IFERROR(LARGE(AM$3:AM$18,ROWS(AM$20:AM20)), "")</f>
        <v>1078</v>
      </c>
      <c r="AN20" s="224">
        <f>IFERROR(LARGE(AN$3:AN$18,ROWS(AN$20:AN20)), "")</f>
        <v>626</v>
      </c>
      <c r="AO20" s="224">
        <f>IFERROR(LARGE(AO$3:AO$18,ROWS(AO$20:AO20)), "")</f>
        <v>1252</v>
      </c>
      <c r="AP20" s="224">
        <f>IFERROR(LARGE(AP$3:AP$18,ROWS(AP$20:AP20)), "")</f>
        <v>433</v>
      </c>
      <c r="AQ20" s="224">
        <f>IFERROR(LARGE(AQ$3:AQ$18,ROWS(AQ$20:AQ20)), "")</f>
        <v>1252</v>
      </c>
      <c r="AR20" s="224">
        <f>IFERROR(LARGE(AR$3:AR$18,ROWS(AR$20:AR20)), "")</f>
        <v>1252</v>
      </c>
    </row>
    <row r="21" spans="1:44" x14ac:dyDescent="0.2">
      <c r="A21" s="45" t="s">
        <v>581</v>
      </c>
      <c r="B21" s="45" t="s">
        <v>190</v>
      </c>
      <c r="C21" s="230">
        <f>VLOOKUP(B21, 'S08 ABC Output'!$A$3:$C$18, 3, 0)</f>
        <v>50689</v>
      </c>
      <c r="D21" s="230">
        <f>VLOOKUP(B21, 'S12 Operations'!$C$2:$H$534, 6, 0)</f>
        <v>200</v>
      </c>
      <c r="E21" s="230">
        <f t="shared" si="3"/>
        <v>254</v>
      </c>
      <c r="F21" s="230">
        <f>VLOOKUP(A21, 'S11 Work Stations'!$A$2:$C$45, 3, 0)</f>
        <v>30</v>
      </c>
      <c r="G21" s="230">
        <f>VLOOKUP(B21&amp;"-"&amp;A21, 'S12 Operations'!$A$2:$G$534, 7, 0)</f>
        <v>120</v>
      </c>
      <c r="H21" s="229">
        <f t="shared" si="4"/>
        <v>2</v>
      </c>
      <c r="I21" s="229">
        <f t="shared" si="5"/>
        <v>108998</v>
      </c>
      <c r="J21" s="230">
        <f t="shared" si="6"/>
        <v>1817</v>
      </c>
      <c r="L21">
        <f t="shared" si="0"/>
        <v>2</v>
      </c>
      <c r="M21">
        <f t="shared" si="1"/>
        <v>254</v>
      </c>
      <c r="N21">
        <f t="shared" si="2"/>
        <v>429</v>
      </c>
      <c r="O21">
        <f t="shared" si="7"/>
        <v>2</v>
      </c>
      <c r="Q21" s="214" t="str" cm="1">
        <f t="array" ref="Q21">INDEX($A$2:$A$118,MATCH(0,COUNTIF($Q$1:Q20,$A$2:$A$118),0))</f>
        <v>WS-34</v>
      </c>
      <c r="S21" s="224">
        <f>IFERROR(LARGE(S$3:S$18,ROWS(S$20:S21)), "")</f>
        <v>129</v>
      </c>
      <c r="T21" s="224">
        <f>IFERROR(LARGE(T$3:T$18,ROWS(T$20:T21)), "")</f>
        <v>274</v>
      </c>
      <c r="U21" s="224">
        <f>IFERROR(LARGE(U$3:U$18,ROWS(U$20:U21)), "")</f>
        <v>274</v>
      </c>
      <c r="V21" s="224">
        <f>IFERROR(LARGE(V$3:V$18,ROWS(V$20:V21)), "")</f>
        <v>327</v>
      </c>
      <c r="W21" s="224">
        <f>IFERROR(LARGE(W$3:W$18,ROWS(W$20:W21)), "")</f>
        <v>510</v>
      </c>
      <c r="X21" s="224">
        <f>IFERROR(LARGE(X$3:X$18,ROWS(X$20:X21)), "")</f>
        <v>254</v>
      </c>
      <c r="Y21" s="224">
        <f>IFERROR(LARGE(Y$3:Y$18,ROWS(Y$20:Y21)), "")</f>
        <v>129</v>
      </c>
      <c r="Z21" s="224">
        <f>IFERROR(LARGE(Z$3:Z$18,ROWS(Z$20:Z21)), "")</f>
        <v>254</v>
      </c>
      <c r="AA21" s="224">
        <f>IFERROR(LARGE(AA$3:AA$18,ROWS(AA$20:AA21)), "")</f>
        <v>510</v>
      </c>
      <c r="AB21" s="224">
        <f>IFERROR(LARGE(AB$3:AB$18,ROWS(AB$20:AB21)), "")</f>
        <v>274</v>
      </c>
      <c r="AC21" s="224">
        <f>IFERROR(LARGE(AC$3:AC$18,ROWS(AC$20:AC21)), "")</f>
        <v>129</v>
      </c>
      <c r="AD21" s="224">
        <f>IFERROR(LARGE(AD$3:AD$18,ROWS(AD$20:AD21)), "")</f>
        <v>327</v>
      </c>
      <c r="AE21" s="224">
        <f>IFERROR(LARGE(AE$3:AE$18,ROWS(AE$20:AE21)), "")</f>
        <v>254</v>
      </c>
      <c r="AF21" s="224">
        <f>IFERROR(LARGE(AF$3:AF$18,ROWS(AF$20:AF21)), "")</f>
        <v>510</v>
      </c>
      <c r="AG21" s="224">
        <f>IFERROR(LARGE(AG$3:AG$18,ROWS(AG$20:AG21)), "")</f>
        <v>510</v>
      </c>
      <c r="AH21" s="224">
        <f>IFERROR(LARGE(AH$3:AH$18,ROWS(AH$20:AH21)), "")</f>
        <v>129</v>
      </c>
      <c r="AI21" s="224">
        <f>IFERROR(LARGE(AI$3:AI$18,ROWS(AI$20:AI21)), "")</f>
        <v>274</v>
      </c>
      <c r="AJ21" s="224">
        <f>IFERROR(LARGE(AJ$3:AJ$18,ROWS(AJ$20:AJ21)), "")</f>
        <v>510</v>
      </c>
      <c r="AK21" s="224">
        <f>IFERROR(LARGE(AK$3:AK$18,ROWS(AK$20:AK21)), "")</f>
        <v>129</v>
      </c>
      <c r="AL21" s="224">
        <f>IFERROR(LARGE(AL$3:AL$18,ROWS(AL$20:AL21)), "")</f>
        <v>327</v>
      </c>
      <c r="AM21" s="224">
        <f>IFERROR(LARGE(AM$3:AM$18,ROWS(AM$20:AM21)), "")</f>
        <v>327</v>
      </c>
      <c r="AN21" s="224">
        <f>IFERROR(LARGE(AN$3:AN$18,ROWS(AN$20:AN21)), "")</f>
        <v>510</v>
      </c>
      <c r="AO21" s="224">
        <f>IFERROR(LARGE(AO$3:AO$18,ROWS(AO$20:AO21)), "")</f>
        <v>433</v>
      </c>
      <c r="AP21" s="224" t="str">
        <f>IFERROR(LARGE(AP$3:AP$18,ROWS(AP$20:AP21)), "")</f>
        <v/>
      </c>
      <c r="AQ21" s="224">
        <f>IFERROR(LARGE(AQ$3:AQ$18,ROWS(AQ$20:AQ21)), "")</f>
        <v>1078</v>
      </c>
      <c r="AR21" s="224">
        <f>IFERROR(LARGE(AR$3:AR$18,ROWS(AR$20:AR21)), "")</f>
        <v>1078</v>
      </c>
    </row>
    <row r="22" spans="1:44" x14ac:dyDescent="0.2">
      <c r="A22" s="45" t="s">
        <v>591</v>
      </c>
      <c r="B22" s="45" t="s">
        <v>176</v>
      </c>
      <c r="C22" s="230">
        <f>VLOOKUP(B22, 'S08 ABC Output'!$A$3:$C$18, 3, 0)</f>
        <v>250356</v>
      </c>
      <c r="D22" s="230">
        <f>VLOOKUP(B22, 'S12 Operations'!$C$2:$H$534, 6, 0)</f>
        <v>200</v>
      </c>
      <c r="E22" s="230">
        <f t="shared" si="3"/>
        <v>1252</v>
      </c>
      <c r="F22" s="230">
        <f>VLOOKUP(A22, 'S11 Work Stations'!$A$2:$C$45, 3, 0)</f>
        <v>30</v>
      </c>
      <c r="G22" s="230">
        <f>VLOOKUP(B22&amp;"-"&amp;A22, 'S12 Operations'!$A$2:$G$534, 7, 0)</f>
        <v>420</v>
      </c>
      <c r="H22" s="229">
        <f t="shared" si="4"/>
        <v>7</v>
      </c>
      <c r="I22" s="229">
        <f t="shared" si="5"/>
        <v>1756362</v>
      </c>
      <c r="J22" s="230">
        <f t="shared" si="6"/>
        <v>29273</v>
      </c>
      <c r="L22">
        <f t="shared" si="0"/>
        <v>1</v>
      </c>
      <c r="M22">
        <f t="shared" si="1"/>
        <v>129</v>
      </c>
      <c r="N22">
        <f t="shared" si="2"/>
        <v>1252</v>
      </c>
      <c r="O22">
        <f t="shared" si="7"/>
        <v>3</v>
      </c>
      <c r="Q22" s="214" t="str" cm="1">
        <f t="array" ref="Q22">INDEX($A$2:$A$118,MATCH(0,COUNTIF($Q$1:Q21,$A$2:$A$118),0))</f>
        <v>WS-36</v>
      </c>
      <c r="S22" s="224">
        <f>IFERROR(LARGE(S$3:S$18,ROWS(S$20:S22)), "")</f>
        <v>129</v>
      </c>
      <c r="T22" s="224" t="str">
        <f>IFERROR(LARGE(T$3:T$18,ROWS(T$20:T22)), "")</f>
        <v/>
      </c>
      <c r="U22" s="224" t="str">
        <f>IFERROR(LARGE(U$3:U$18,ROWS(U$20:U22)), "")</f>
        <v/>
      </c>
      <c r="V22" s="224">
        <f>IFERROR(LARGE(V$3:V$18,ROWS(V$20:V22)), "")</f>
        <v>230</v>
      </c>
      <c r="W22" s="224">
        <f>IFERROR(LARGE(W$3:W$18,ROWS(W$20:W22)), "")</f>
        <v>429</v>
      </c>
      <c r="X22" s="224" t="str">
        <f>IFERROR(LARGE(X$3:X$18,ROWS(X$20:X22)), "")</f>
        <v/>
      </c>
      <c r="Y22" s="224">
        <f>IFERROR(LARGE(Y$3:Y$18,ROWS(Y$20:Y22)), "")</f>
        <v>129</v>
      </c>
      <c r="Z22" s="224" t="str">
        <f>IFERROR(LARGE(Z$3:Z$18,ROWS(Z$20:Z22)), "")</f>
        <v/>
      </c>
      <c r="AA22" s="224">
        <f>IFERROR(LARGE(AA$3:AA$18,ROWS(AA$20:AA22)), "")</f>
        <v>129</v>
      </c>
      <c r="AB22" s="224" t="str">
        <f>IFERROR(LARGE(AB$3:AB$18,ROWS(AB$20:AB22)), "")</f>
        <v/>
      </c>
      <c r="AC22" s="224">
        <f>IFERROR(LARGE(AC$3:AC$18,ROWS(AC$20:AC22)), "")</f>
        <v>129</v>
      </c>
      <c r="AD22" s="224">
        <f>IFERROR(LARGE(AD$3:AD$18,ROWS(AD$20:AD22)), "")</f>
        <v>230</v>
      </c>
      <c r="AE22" s="224" t="str">
        <f>IFERROR(LARGE(AE$3:AE$18,ROWS(AE$20:AE22)), "")</f>
        <v/>
      </c>
      <c r="AF22" s="224">
        <f>IFERROR(LARGE(AF$3:AF$18,ROWS(AF$20:AF22)), "")</f>
        <v>129</v>
      </c>
      <c r="AG22" s="224">
        <f>IFERROR(LARGE(AG$3:AG$18,ROWS(AG$20:AG22)), "")</f>
        <v>129</v>
      </c>
      <c r="AH22" s="224">
        <f>IFERROR(LARGE(AH$3:AH$18,ROWS(AH$20:AH22)), "")</f>
        <v>129</v>
      </c>
      <c r="AI22" s="224" t="str">
        <f>IFERROR(LARGE(AI$3:AI$18,ROWS(AI$20:AI22)), "")</f>
        <v/>
      </c>
      <c r="AJ22" s="224">
        <f>IFERROR(LARGE(AJ$3:AJ$18,ROWS(AJ$20:AJ22)), "")</f>
        <v>433</v>
      </c>
      <c r="AK22" s="224">
        <f>IFERROR(LARGE(AK$3:AK$18,ROWS(AK$20:AK22)), "")</f>
        <v>129</v>
      </c>
      <c r="AL22" s="224">
        <f>IFERROR(LARGE(AL$3:AL$18,ROWS(AL$20:AL22)), "")</f>
        <v>230</v>
      </c>
      <c r="AM22" s="224">
        <f>IFERROR(LARGE(AM$3:AM$18,ROWS(AM$20:AM22)), "")</f>
        <v>230</v>
      </c>
      <c r="AN22" s="224">
        <f>IFERROR(LARGE(AN$3:AN$18,ROWS(AN$20:AN22)), "")</f>
        <v>129</v>
      </c>
      <c r="AO22" s="224">
        <f>IFERROR(LARGE(AO$3:AO$18,ROWS(AO$20:AO22)), "")</f>
        <v>429</v>
      </c>
      <c r="AP22" s="224" t="str">
        <f>IFERROR(LARGE(AP$3:AP$18,ROWS(AP$20:AP22)), "")</f>
        <v/>
      </c>
      <c r="AQ22" s="224">
        <f>IFERROR(LARGE(AQ$3:AQ$18,ROWS(AQ$20:AQ22)), "")</f>
        <v>626</v>
      </c>
      <c r="AR22" s="224">
        <f>IFERROR(LARGE(AR$3:AR$18,ROWS(AR$20:AR22)), "")</f>
        <v>626</v>
      </c>
    </row>
    <row r="23" spans="1:44" x14ac:dyDescent="0.2">
      <c r="A23" s="45" t="s">
        <v>591</v>
      </c>
      <c r="B23" s="45" t="s">
        <v>198</v>
      </c>
      <c r="C23" s="230">
        <f>VLOOKUP(B23, 'S08 ABC Output'!$A$3:$C$18, 3, 0)</f>
        <v>25689</v>
      </c>
      <c r="D23" s="230">
        <f>VLOOKUP(B23, 'S12 Operations'!$C$2:$H$534, 6, 0)</f>
        <v>200</v>
      </c>
      <c r="E23" s="230">
        <f t="shared" si="3"/>
        <v>129</v>
      </c>
      <c r="F23" s="230">
        <f>VLOOKUP(A23, 'S11 Work Stations'!$A$2:$C$45, 3, 0)</f>
        <v>30</v>
      </c>
      <c r="G23" s="230">
        <f>VLOOKUP(B23&amp;"-"&amp;A23, 'S12 Operations'!$A$2:$G$534, 7, 0)</f>
        <v>480</v>
      </c>
      <c r="H23" s="229">
        <f t="shared" si="4"/>
        <v>8</v>
      </c>
      <c r="I23" s="229">
        <f t="shared" si="5"/>
        <v>209382</v>
      </c>
      <c r="J23" s="230">
        <f t="shared" si="6"/>
        <v>3490</v>
      </c>
      <c r="L23">
        <f t="shared" si="0"/>
        <v>2</v>
      </c>
      <c r="M23">
        <f t="shared" si="1"/>
        <v>129</v>
      </c>
      <c r="N23">
        <f t="shared" si="2"/>
        <v>1252</v>
      </c>
      <c r="O23">
        <f t="shared" si="7"/>
        <v>3</v>
      </c>
      <c r="Q23" s="214" t="str" cm="1">
        <f t="array" ref="Q23">INDEX($A$2:$A$118,MATCH(0,COUNTIF($Q$1:Q22,$A$2:$A$118),0))</f>
        <v>WS-38</v>
      </c>
      <c r="S23" s="224" t="str">
        <f>IFERROR(LARGE(S$3:S$18,ROWS(S$20:S23)), "")</f>
        <v/>
      </c>
      <c r="T23" s="224" t="str">
        <f>IFERROR(LARGE(T$3:T$18,ROWS(T$20:T23)), "")</f>
        <v/>
      </c>
      <c r="U23" s="224" t="str">
        <f>IFERROR(LARGE(U$3:U$18,ROWS(U$20:U23)), "")</f>
        <v/>
      </c>
      <c r="V23" s="224">
        <f>IFERROR(LARGE(V$3:V$18,ROWS(V$20:V23)), "")</f>
        <v>183</v>
      </c>
      <c r="W23" s="224">
        <f>IFERROR(LARGE(W$3:W$18,ROWS(W$20:W23)), "")</f>
        <v>254</v>
      </c>
      <c r="X23" s="224" t="str">
        <f>IFERROR(LARGE(X$3:X$18,ROWS(X$20:X23)), "")</f>
        <v/>
      </c>
      <c r="Y23" s="224" t="str">
        <f>IFERROR(LARGE(Y$3:Y$18,ROWS(Y$20:Y23)), "")</f>
        <v/>
      </c>
      <c r="Z23" s="224" t="str">
        <f>IFERROR(LARGE(Z$3:Z$18,ROWS(Z$20:Z23)), "")</f>
        <v/>
      </c>
      <c r="AA23" s="224" t="str">
        <f>IFERROR(LARGE(AA$3:AA$18,ROWS(AA$20:AA23)), "")</f>
        <v/>
      </c>
      <c r="AB23" s="224" t="str">
        <f>IFERROR(LARGE(AB$3:AB$18,ROWS(AB$20:AB23)), "")</f>
        <v/>
      </c>
      <c r="AC23" s="224" t="str">
        <f>IFERROR(LARGE(AC$3:AC$18,ROWS(AC$20:AC23)), "")</f>
        <v/>
      </c>
      <c r="AD23" s="224">
        <f>IFERROR(LARGE(AD$3:AD$18,ROWS(AD$20:AD23)), "")</f>
        <v>183</v>
      </c>
      <c r="AE23" s="224" t="str">
        <f>IFERROR(LARGE(AE$3:AE$18,ROWS(AE$20:AE23)), "")</f>
        <v/>
      </c>
      <c r="AF23" s="224" t="str">
        <f>IFERROR(LARGE(AF$3:AF$18,ROWS(AF$20:AF23)), "")</f>
        <v/>
      </c>
      <c r="AG23" s="224" t="str">
        <f>IFERROR(LARGE(AG$3:AG$18,ROWS(AG$20:AG23)), "")</f>
        <v/>
      </c>
      <c r="AH23" s="224" t="str">
        <f>IFERROR(LARGE(AH$3:AH$18,ROWS(AH$20:AH23)), "")</f>
        <v/>
      </c>
      <c r="AI23" s="224" t="str">
        <f>IFERROR(LARGE(AI$3:AI$18,ROWS(AI$20:AI23)), "")</f>
        <v/>
      </c>
      <c r="AJ23" s="224">
        <f>IFERROR(LARGE(AJ$3:AJ$18,ROWS(AJ$20:AJ23)), "")</f>
        <v>429</v>
      </c>
      <c r="AK23" s="224" t="str">
        <f>IFERROR(LARGE(AK$3:AK$18,ROWS(AK$20:AK23)), "")</f>
        <v/>
      </c>
      <c r="AL23" s="224">
        <f>IFERROR(LARGE(AL$3:AL$18,ROWS(AL$20:AL23)), "")</f>
        <v>183</v>
      </c>
      <c r="AM23" s="224">
        <f>IFERROR(LARGE(AM$3:AM$18,ROWS(AM$20:AM23)), "")</f>
        <v>183</v>
      </c>
      <c r="AN23" s="224" t="str">
        <f>IFERROR(LARGE(AN$3:AN$18,ROWS(AN$20:AN23)), "")</f>
        <v/>
      </c>
      <c r="AO23" s="224">
        <f>IFERROR(LARGE(AO$3:AO$18,ROWS(AO$20:AO23)), "")</f>
        <v>274</v>
      </c>
      <c r="AP23" s="224" t="str">
        <f>IFERROR(LARGE(AP$3:AP$18,ROWS(AP$20:AP23)), "")</f>
        <v/>
      </c>
      <c r="AQ23" s="224">
        <f>IFERROR(LARGE(AQ$3:AQ$18,ROWS(AQ$20:AQ23)), "")</f>
        <v>510</v>
      </c>
      <c r="AR23" s="224">
        <f>IFERROR(LARGE(AR$3:AR$18,ROWS(AR$20:AR23)), "")</f>
        <v>510</v>
      </c>
    </row>
    <row r="24" spans="1:44" x14ac:dyDescent="0.2">
      <c r="A24" s="45" t="s">
        <v>591</v>
      </c>
      <c r="B24" s="45" t="s">
        <v>203</v>
      </c>
      <c r="C24" s="230">
        <f>VLOOKUP(B24, 'S08 ABC Output'!$A$3:$C$18, 3, 0)</f>
        <v>25639</v>
      </c>
      <c r="D24" s="230">
        <f>VLOOKUP(B24, 'S12 Operations'!$C$2:$H$534, 6, 0)</f>
        <v>200</v>
      </c>
      <c r="E24" s="230">
        <f t="shared" si="3"/>
        <v>129</v>
      </c>
      <c r="F24" s="230">
        <f>VLOOKUP(A24, 'S11 Work Stations'!$A$2:$C$45, 3, 0)</f>
        <v>30</v>
      </c>
      <c r="G24" s="230">
        <f>VLOOKUP(B24&amp;"-"&amp;A24, 'S12 Operations'!$A$2:$G$534, 7, 0)</f>
        <v>360</v>
      </c>
      <c r="H24" s="229">
        <f t="shared" si="4"/>
        <v>6</v>
      </c>
      <c r="I24" s="229">
        <f t="shared" si="5"/>
        <v>157704</v>
      </c>
      <c r="J24" s="230">
        <f t="shared" si="6"/>
        <v>2628</v>
      </c>
      <c r="L24">
        <f t="shared" si="0"/>
        <v>2</v>
      </c>
      <c r="M24">
        <f t="shared" si="1"/>
        <v>129</v>
      </c>
      <c r="N24">
        <f t="shared" si="2"/>
        <v>1252</v>
      </c>
      <c r="O24">
        <f t="shared" si="7"/>
        <v>3</v>
      </c>
      <c r="Q24" s="214" t="str" cm="1">
        <f t="array" ref="Q24">INDEX($A$2:$A$118,MATCH(0,COUNTIF($Q$1:Q23,$A$2:$A$118),0))</f>
        <v>WS-40</v>
      </c>
      <c r="S24" s="224" t="str">
        <f>IFERROR(LARGE(S$3:S$18,ROWS(S$20:S24)), "")</f>
        <v/>
      </c>
      <c r="T24" s="224" t="str">
        <f>IFERROR(LARGE(T$3:T$18,ROWS(T$20:T24)), "")</f>
        <v/>
      </c>
      <c r="U24" s="224" t="str">
        <f>IFERROR(LARGE(U$3:U$18,ROWS(U$20:U24)), "")</f>
        <v/>
      </c>
      <c r="V24" s="224">
        <f>IFERROR(LARGE(V$3:V$18,ROWS(V$20:V24)), "")</f>
        <v>183</v>
      </c>
      <c r="W24" s="224">
        <f>IFERROR(LARGE(W$3:W$18,ROWS(W$20:W24)), "")</f>
        <v>129</v>
      </c>
      <c r="X24" s="224" t="str">
        <f>IFERROR(LARGE(X$3:X$18,ROWS(X$20:X24)), "")</f>
        <v/>
      </c>
      <c r="Y24" s="224" t="str">
        <f>IFERROR(LARGE(Y$3:Y$18,ROWS(Y$20:Y24)), "")</f>
        <v/>
      </c>
      <c r="Z24" s="224" t="str">
        <f>IFERROR(LARGE(Z$3:Z$18,ROWS(Z$20:Z24)), "")</f>
        <v/>
      </c>
      <c r="AA24" s="224" t="str">
        <f>IFERROR(LARGE(AA$3:AA$18,ROWS(AA$20:AA24)), "")</f>
        <v/>
      </c>
      <c r="AB24" s="224" t="str">
        <f>IFERROR(LARGE(AB$3:AB$18,ROWS(AB$20:AB24)), "")</f>
        <v/>
      </c>
      <c r="AC24" s="224" t="str">
        <f>IFERROR(LARGE(AC$3:AC$18,ROWS(AC$20:AC24)), "")</f>
        <v/>
      </c>
      <c r="AD24" s="224">
        <f>IFERROR(LARGE(AD$3:AD$18,ROWS(AD$20:AD24)), "")</f>
        <v>183</v>
      </c>
      <c r="AE24" s="224" t="str">
        <f>IFERROR(LARGE(AE$3:AE$18,ROWS(AE$20:AE24)), "")</f>
        <v/>
      </c>
      <c r="AF24" s="224" t="str">
        <f>IFERROR(LARGE(AF$3:AF$18,ROWS(AF$20:AF24)), "")</f>
        <v/>
      </c>
      <c r="AG24" s="224" t="str">
        <f>IFERROR(LARGE(AG$3:AG$18,ROWS(AG$20:AG24)), "")</f>
        <v/>
      </c>
      <c r="AH24" s="224" t="str">
        <f>IFERROR(LARGE(AH$3:AH$18,ROWS(AH$20:AH24)), "")</f>
        <v/>
      </c>
      <c r="AI24" s="224" t="str">
        <f>IFERROR(LARGE(AI$3:AI$18,ROWS(AI$20:AI24)), "")</f>
        <v/>
      </c>
      <c r="AJ24" s="224">
        <f>IFERROR(LARGE(AJ$3:AJ$18,ROWS(AJ$20:AJ24)), "")</f>
        <v>274</v>
      </c>
      <c r="AK24" s="224" t="str">
        <f>IFERROR(LARGE(AK$3:AK$18,ROWS(AK$20:AK24)), "")</f>
        <v/>
      </c>
      <c r="AL24" s="224">
        <f>IFERROR(LARGE(AL$3:AL$18,ROWS(AL$20:AL24)), "")</f>
        <v>183</v>
      </c>
      <c r="AM24" s="224">
        <f>IFERROR(LARGE(AM$3:AM$18,ROWS(AM$20:AM24)), "")</f>
        <v>183</v>
      </c>
      <c r="AN24" s="224" t="str">
        <f>IFERROR(LARGE(AN$3:AN$18,ROWS(AN$20:AN24)), "")</f>
        <v/>
      </c>
      <c r="AO24" s="224">
        <f>IFERROR(LARGE(AO$3:AO$18,ROWS(AO$20:AO24)), "")</f>
        <v>254</v>
      </c>
      <c r="AP24" s="224" t="str">
        <f>IFERROR(LARGE(AP$3:AP$18,ROWS(AP$20:AP24)), "")</f>
        <v/>
      </c>
      <c r="AQ24" s="224">
        <f>IFERROR(LARGE(AQ$3:AQ$18,ROWS(AQ$20:AQ24)), "")</f>
        <v>433</v>
      </c>
      <c r="AR24" s="224">
        <f>IFERROR(LARGE(AR$3:AR$18,ROWS(AR$20:AR24)), "")</f>
        <v>433</v>
      </c>
    </row>
    <row r="25" spans="1:44" x14ac:dyDescent="0.2">
      <c r="A25" s="45" t="s">
        <v>593</v>
      </c>
      <c r="B25" s="45" t="s">
        <v>184</v>
      </c>
      <c r="C25" s="230">
        <f>VLOOKUP(B25, 'S08 ABC Output'!$A$3:$C$18, 3, 0)</f>
        <v>85612</v>
      </c>
      <c r="D25" s="230">
        <f>VLOOKUP(B25, 'S12 Operations'!$C$2:$H$534, 6, 0)</f>
        <v>200</v>
      </c>
      <c r="E25" s="230">
        <f t="shared" si="3"/>
        <v>429</v>
      </c>
      <c r="F25" s="230">
        <f>VLOOKUP(A25, 'S11 Work Stations'!$A$2:$C$45, 3, 0)</f>
        <v>20</v>
      </c>
      <c r="G25" s="230">
        <f>VLOOKUP(B25&amp;"-"&amp;A25, 'S12 Operations'!$A$2:$G$534, 7, 0)</f>
        <v>180</v>
      </c>
      <c r="H25" s="229">
        <f t="shared" si="4"/>
        <v>3</v>
      </c>
      <c r="I25" s="229">
        <f t="shared" si="5"/>
        <v>261916</v>
      </c>
      <c r="J25" s="230">
        <f t="shared" si="6"/>
        <v>4365</v>
      </c>
      <c r="L25">
        <f t="shared" si="0"/>
        <v>1</v>
      </c>
      <c r="M25">
        <f t="shared" si="1"/>
        <v>254</v>
      </c>
      <c r="N25">
        <f t="shared" si="2"/>
        <v>429</v>
      </c>
      <c r="O25">
        <f t="shared" si="7"/>
        <v>2</v>
      </c>
      <c r="Q25" s="214" t="str" cm="1">
        <f t="array" ref="Q25">INDEX($A$2:$A$118,MATCH(0,COUNTIF($Q$1:Q24,$A$2:$A$118),0))</f>
        <v>WS-42</v>
      </c>
      <c r="S25" s="224" t="str">
        <f>IFERROR(LARGE(S$3:S$18,ROWS(S$20:S25)), "")</f>
        <v/>
      </c>
      <c r="T25" s="224" t="str">
        <f>IFERROR(LARGE(T$3:T$18,ROWS(T$20:T25)), "")</f>
        <v/>
      </c>
      <c r="U25" s="224" t="str">
        <f>IFERROR(LARGE(U$3:U$18,ROWS(U$20:U25)), "")</f>
        <v/>
      </c>
      <c r="V25" s="224">
        <f>IFERROR(LARGE(V$3:V$18,ROWS(V$20:V25)), "")</f>
        <v>129</v>
      </c>
      <c r="W25" s="224" t="str">
        <f>IFERROR(LARGE(W$3:W$18,ROWS(W$20:W25)), "")</f>
        <v/>
      </c>
      <c r="X25" s="224" t="str">
        <f>IFERROR(LARGE(X$3:X$18,ROWS(X$20:X25)), "")</f>
        <v/>
      </c>
      <c r="Y25" s="224" t="str">
        <f>IFERROR(LARGE(Y$3:Y$18,ROWS(Y$20:Y25)), "")</f>
        <v/>
      </c>
      <c r="Z25" s="224" t="str">
        <f>IFERROR(LARGE(Z$3:Z$18,ROWS(Z$20:Z25)), "")</f>
        <v/>
      </c>
      <c r="AA25" s="224" t="str">
        <f>IFERROR(LARGE(AA$3:AA$18,ROWS(AA$20:AA25)), "")</f>
        <v/>
      </c>
      <c r="AB25" s="224" t="str">
        <f>IFERROR(LARGE(AB$3:AB$18,ROWS(AB$20:AB25)), "")</f>
        <v/>
      </c>
      <c r="AC25" s="224" t="str">
        <f>IFERROR(LARGE(AC$3:AC$18,ROWS(AC$20:AC25)), "")</f>
        <v/>
      </c>
      <c r="AD25" s="224">
        <f>IFERROR(LARGE(AD$3:AD$18,ROWS(AD$20:AD25)), "")</f>
        <v>129</v>
      </c>
      <c r="AE25" s="224" t="str">
        <f>IFERROR(LARGE(AE$3:AE$18,ROWS(AE$20:AE25)), "")</f>
        <v/>
      </c>
      <c r="AF25" s="224" t="str">
        <f>IFERROR(LARGE(AF$3:AF$18,ROWS(AF$20:AF25)), "")</f>
        <v/>
      </c>
      <c r="AG25" s="224" t="str">
        <f>IFERROR(LARGE(AG$3:AG$18,ROWS(AG$20:AG25)), "")</f>
        <v/>
      </c>
      <c r="AH25" s="224" t="str">
        <f>IFERROR(LARGE(AH$3:AH$18,ROWS(AH$20:AH25)), "")</f>
        <v/>
      </c>
      <c r="AI25" s="224" t="str">
        <f>IFERROR(LARGE(AI$3:AI$18,ROWS(AI$20:AI25)), "")</f>
        <v/>
      </c>
      <c r="AJ25" s="224">
        <f>IFERROR(LARGE(AJ$3:AJ$18,ROWS(AJ$20:AJ25)), "")</f>
        <v>254</v>
      </c>
      <c r="AK25" s="224" t="str">
        <f>IFERROR(LARGE(AK$3:AK$18,ROWS(AK$20:AK25)), "")</f>
        <v/>
      </c>
      <c r="AL25" s="224">
        <f>IFERROR(LARGE(AL$3:AL$18,ROWS(AL$20:AL25)), "")</f>
        <v>129</v>
      </c>
      <c r="AM25" s="224">
        <f>IFERROR(LARGE(AM$3:AM$18,ROWS(AM$20:AM25)), "")</f>
        <v>129</v>
      </c>
      <c r="AN25" s="224" t="str">
        <f>IFERROR(LARGE(AN$3:AN$18,ROWS(AN$20:AN25)), "")</f>
        <v/>
      </c>
      <c r="AO25" s="224">
        <f>IFERROR(LARGE(AO$3:AO$18,ROWS(AO$20:AO25)), "")</f>
        <v>129</v>
      </c>
      <c r="AP25" s="224" t="str">
        <f>IFERROR(LARGE(AP$3:AP$18,ROWS(AP$20:AP25)), "")</f>
        <v/>
      </c>
      <c r="AQ25" s="224">
        <f>IFERROR(LARGE(AQ$3:AQ$18,ROWS(AQ$20:AQ25)), "")</f>
        <v>429</v>
      </c>
      <c r="AR25" s="224">
        <f>IFERROR(LARGE(AR$3:AR$18,ROWS(AR$20:AR25)), "")</f>
        <v>429</v>
      </c>
    </row>
    <row r="26" spans="1:44" x14ac:dyDescent="0.2">
      <c r="A26" s="45" t="s">
        <v>593</v>
      </c>
      <c r="B26" s="45" t="s">
        <v>190</v>
      </c>
      <c r="C26" s="230">
        <f>VLOOKUP(B26, 'S08 ABC Output'!$A$3:$C$18, 3, 0)</f>
        <v>50689</v>
      </c>
      <c r="D26" s="230">
        <f>VLOOKUP(B26, 'S12 Operations'!$C$2:$H$534, 6, 0)</f>
        <v>200</v>
      </c>
      <c r="E26" s="230">
        <f t="shared" si="3"/>
        <v>254</v>
      </c>
      <c r="F26" s="230">
        <f>VLOOKUP(A26, 'S11 Work Stations'!$A$2:$C$45, 3, 0)</f>
        <v>20</v>
      </c>
      <c r="G26" s="230">
        <f>VLOOKUP(B26&amp;"-"&amp;A26, 'S12 Operations'!$A$2:$G$534, 7, 0)</f>
        <v>1140</v>
      </c>
      <c r="H26" s="229">
        <f t="shared" si="4"/>
        <v>19</v>
      </c>
      <c r="I26" s="229">
        <f t="shared" si="5"/>
        <v>968171</v>
      </c>
      <c r="J26" s="230">
        <f t="shared" si="6"/>
        <v>16136</v>
      </c>
      <c r="L26">
        <f t="shared" si="0"/>
        <v>2</v>
      </c>
      <c r="M26">
        <f t="shared" si="1"/>
        <v>254</v>
      </c>
      <c r="N26">
        <f t="shared" si="2"/>
        <v>429</v>
      </c>
      <c r="O26">
        <f t="shared" si="7"/>
        <v>2</v>
      </c>
      <c r="Q26" s="214" t="str" cm="1">
        <f t="array" ref="Q26">INDEX($A$2:$A$118,MATCH(0,COUNTIF($Q$1:Q25,$A$2:$A$118),0))</f>
        <v>WS-43</v>
      </c>
      <c r="S26" s="224" t="str">
        <f>IFERROR(LARGE(S$3:S$18,ROWS(S$20:S26)), "")</f>
        <v/>
      </c>
      <c r="T26" s="224" t="str">
        <f>IFERROR(LARGE(T$3:T$18,ROWS(T$20:T26)), "")</f>
        <v/>
      </c>
      <c r="U26" s="224" t="str">
        <f>IFERROR(LARGE(U$3:U$18,ROWS(U$20:U26)), "")</f>
        <v/>
      </c>
      <c r="V26" s="224" t="str">
        <f>IFERROR(LARGE(V$3:V$18,ROWS(V$20:V26)), "")</f>
        <v/>
      </c>
      <c r="W26" s="224" t="str">
        <f>IFERROR(LARGE(W$3:W$18,ROWS(W$20:W26)), "")</f>
        <v/>
      </c>
      <c r="X26" s="224" t="str">
        <f>IFERROR(LARGE(X$3:X$18,ROWS(X$20:X26)), "")</f>
        <v/>
      </c>
      <c r="Y26" s="224" t="str">
        <f>IFERROR(LARGE(Y$3:Y$18,ROWS(Y$20:Y26)), "")</f>
        <v/>
      </c>
      <c r="Z26" s="224" t="str">
        <f>IFERROR(LARGE(Z$3:Z$18,ROWS(Z$20:Z26)), "")</f>
        <v/>
      </c>
      <c r="AA26" s="224" t="str">
        <f>IFERROR(LARGE(AA$3:AA$18,ROWS(AA$20:AA26)), "")</f>
        <v/>
      </c>
      <c r="AB26" s="224" t="str">
        <f>IFERROR(LARGE(AB$3:AB$18,ROWS(AB$20:AB26)), "")</f>
        <v/>
      </c>
      <c r="AC26" s="224" t="str">
        <f>IFERROR(LARGE(AC$3:AC$18,ROWS(AC$20:AC26)), "")</f>
        <v/>
      </c>
      <c r="AD26" s="224" t="str">
        <f>IFERROR(LARGE(AD$3:AD$18,ROWS(AD$20:AD26)), "")</f>
        <v/>
      </c>
      <c r="AE26" s="224" t="str">
        <f>IFERROR(LARGE(AE$3:AE$18,ROWS(AE$20:AE26)), "")</f>
        <v/>
      </c>
      <c r="AF26" s="224" t="str">
        <f>IFERROR(LARGE(AF$3:AF$18,ROWS(AF$20:AF26)), "")</f>
        <v/>
      </c>
      <c r="AG26" s="224" t="str">
        <f>IFERROR(LARGE(AG$3:AG$18,ROWS(AG$20:AG26)), "")</f>
        <v/>
      </c>
      <c r="AH26" s="224" t="str">
        <f>IFERROR(LARGE(AH$3:AH$18,ROWS(AH$20:AH26)), "")</f>
        <v/>
      </c>
      <c r="AI26" s="224" t="str">
        <f>IFERROR(LARGE(AI$3:AI$18,ROWS(AI$20:AI26)), "")</f>
        <v/>
      </c>
      <c r="AJ26" s="224">
        <f>IFERROR(LARGE(AJ$3:AJ$18,ROWS(AJ$20:AJ26)), "")</f>
        <v>129</v>
      </c>
      <c r="AK26" s="224" t="str">
        <f>IFERROR(LARGE(AK$3:AK$18,ROWS(AK$20:AK26)), "")</f>
        <v/>
      </c>
      <c r="AL26" s="224" t="str">
        <f>IFERROR(LARGE(AL$3:AL$18,ROWS(AL$20:AL26)), "")</f>
        <v/>
      </c>
      <c r="AM26" s="224" t="str">
        <f>IFERROR(LARGE(AM$3:AM$18,ROWS(AM$20:AM26)), "")</f>
        <v/>
      </c>
      <c r="AN26" s="224" t="str">
        <f>IFERROR(LARGE(AN$3:AN$18,ROWS(AN$20:AN26)), "")</f>
        <v/>
      </c>
      <c r="AO26" s="224">
        <f>IFERROR(LARGE(AO$3:AO$18,ROWS(AO$20:AO26)), "")</f>
        <v>129</v>
      </c>
      <c r="AP26" s="224" t="str">
        <f>IFERROR(LARGE(AP$3:AP$18,ROWS(AP$20:AP26)), "")</f>
        <v/>
      </c>
      <c r="AQ26" s="224">
        <f>IFERROR(LARGE(AQ$3:AQ$18,ROWS(AQ$20:AQ26)), "")</f>
        <v>327</v>
      </c>
      <c r="AR26" s="224">
        <f>IFERROR(LARGE(AR$3:AR$18,ROWS(AR$20:AR26)), "")</f>
        <v>327</v>
      </c>
    </row>
    <row r="27" spans="1:44" x14ac:dyDescent="0.2">
      <c r="A27" s="45" t="s">
        <v>594</v>
      </c>
      <c r="B27" s="45" t="s">
        <v>180</v>
      </c>
      <c r="C27" s="230">
        <f>VLOOKUP(B27, 'S08 ABC Output'!$A$3:$C$18, 3, 0)</f>
        <v>125036</v>
      </c>
      <c r="D27" s="230">
        <f>VLOOKUP(B27, 'S12 Operations'!$C$2:$H$534, 6, 0)</f>
        <v>200</v>
      </c>
      <c r="E27" s="230">
        <f t="shared" si="3"/>
        <v>626</v>
      </c>
      <c r="F27" s="230">
        <f>VLOOKUP(A27, 'S11 Work Stations'!$A$2:$C$45, 3, 0)</f>
        <v>30</v>
      </c>
      <c r="G27" s="230">
        <f>VLOOKUP(B27&amp;"-"&amp;A27, 'S12 Operations'!$A$2:$G$534, 7, 0)</f>
        <v>300</v>
      </c>
      <c r="H27" s="229">
        <f t="shared" si="4"/>
        <v>5</v>
      </c>
      <c r="I27" s="229">
        <f t="shared" si="5"/>
        <v>640480</v>
      </c>
      <c r="J27" s="230">
        <f t="shared" si="6"/>
        <v>10675</v>
      </c>
      <c r="L27">
        <f t="shared" si="0"/>
        <v>1</v>
      </c>
      <c r="M27">
        <f t="shared" si="1"/>
        <v>129</v>
      </c>
      <c r="N27">
        <f t="shared" si="2"/>
        <v>626</v>
      </c>
      <c r="O27">
        <f t="shared" si="7"/>
        <v>3</v>
      </c>
      <c r="Q27" s="214" t="str" cm="1">
        <f t="array" ref="Q27">INDEX($A$2:$A$118,MATCH(0,COUNTIF($Q$1:Q26,$A$2:$A$118),0))</f>
        <v>WS-44</v>
      </c>
      <c r="S27" s="224" t="str">
        <f>IFERROR(LARGE(S$3:S$18,ROWS(S$20:S27)), "")</f>
        <v/>
      </c>
      <c r="T27" s="224" t="str">
        <f>IFERROR(LARGE(T$3:T$18,ROWS(T$20:T27)), "")</f>
        <v/>
      </c>
      <c r="U27" s="224" t="str">
        <f>IFERROR(LARGE(U$3:U$18,ROWS(U$20:U27)), "")</f>
        <v/>
      </c>
      <c r="V27" s="224" t="str">
        <f>IFERROR(LARGE(V$3:V$18,ROWS(V$20:V27)), "")</f>
        <v/>
      </c>
      <c r="W27" s="224" t="str">
        <f>IFERROR(LARGE(W$3:W$18,ROWS(W$20:W27)), "")</f>
        <v/>
      </c>
      <c r="X27" s="224" t="str">
        <f>IFERROR(LARGE(X$3:X$18,ROWS(X$20:X27)), "")</f>
        <v/>
      </c>
      <c r="Y27" s="224" t="str">
        <f>IFERROR(LARGE(Y$3:Y$18,ROWS(Y$20:Y27)), "")</f>
        <v/>
      </c>
      <c r="Z27" s="224" t="str">
        <f>IFERROR(LARGE(Z$3:Z$18,ROWS(Z$20:Z27)), "")</f>
        <v/>
      </c>
      <c r="AA27" s="224" t="str">
        <f>IFERROR(LARGE(AA$3:AA$18,ROWS(AA$20:AA27)), "")</f>
        <v/>
      </c>
      <c r="AB27" s="224" t="str">
        <f>IFERROR(LARGE(AB$3:AB$18,ROWS(AB$20:AB27)), "")</f>
        <v/>
      </c>
      <c r="AC27" s="224" t="str">
        <f>IFERROR(LARGE(AC$3:AC$18,ROWS(AC$20:AC27)), "")</f>
        <v/>
      </c>
      <c r="AD27" s="224" t="str">
        <f>IFERROR(LARGE(AD$3:AD$18,ROWS(AD$20:AD27)), "")</f>
        <v/>
      </c>
      <c r="AE27" s="224" t="str">
        <f>IFERROR(LARGE(AE$3:AE$18,ROWS(AE$20:AE27)), "")</f>
        <v/>
      </c>
      <c r="AF27" s="224" t="str">
        <f>IFERROR(LARGE(AF$3:AF$18,ROWS(AF$20:AF27)), "")</f>
        <v/>
      </c>
      <c r="AG27" s="224" t="str">
        <f>IFERROR(LARGE(AG$3:AG$18,ROWS(AG$20:AG27)), "")</f>
        <v/>
      </c>
      <c r="AH27" s="224" t="str">
        <f>IFERROR(LARGE(AH$3:AH$18,ROWS(AH$20:AH27)), "")</f>
        <v/>
      </c>
      <c r="AI27" s="224" t="str">
        <f>IFERROR(LARGE(AI$3:AI$18,ROWS(AI$20:AI27)), "")</f>
        <v/>
      </c>
      <c r="AJ27" s="224" t="str">
        <f>IFERROR(LARGE(AJ$3:AJ$18,ROWS(AJ$20:AJ27)), "")</f>
        <v/>
      </c>
      <c r="AK27" s="224" t="str">
        <f>IFERROR(LARGE(AK$3:AK$18,ROWS(AK$20:AK27)), "")</f>
        <v/>
      </c>
      <c r="AL27" s="224" t="str">
        <f>IFERROR(LARGE(AL$3:AL$18,ROWS(AL$20:AL27)), "")</f>
        <v/>
      </c>
      <c r="AM27" s="224" t="str">
        <f>IFERROR(LARGE(AM$3:AM$18,ROWS(AM$20:AM27)), "")</f>
        <v/>
      </c>
      <c r="AN27" s="224" t="str">
        <f>IFERROR(LARGE(AN$3:AN$18,ROWS(AN$20:AN27)), "")</f>
        <v/>
      </c>
      <c r="AO27" s="224" t="str">
        <f>IFERROR(LARGE(AO$3:AO$18,ROWS(AO$20:AO27)), "")</f>
        <v/>
      </c>
      <c r="AP27" s="224" t="str">
        <f>IFERROR(LARGE(AP$3:AP$18,ROWS(AP$20:AP27)), "")</f>
        <v/>
      </c>
      <c r="AQ27" s="224">
        <f>IFERROR(LARGE(AQ$3:AQ$18,ROWS(AQ$20:AQ27)), "")</f>
        <v>274</v>
      </c>
      <c r="AR27" s="224">
        <f>IFERROR(LARGE(AR$3:AR$18,ROWS(AR$20:AR27)), "")</f>
        <v>274</v>
      </c>
    </row>
    <row r="28" spans="1:44" x14ac:dyDescent="0.2">
      <c r="A28" s="45" t="s">
        <v>594</v>
      </c>
      <c r="B28" s="45" t="s">
        <v>200</v>
      </c>
      <c r="C28" s="230">
        <f>VLOOKUP(B28, 'S08 ABC Output'!$A$3:$C$18, 3, 0)</f>
        <v>25689</v>
      </c>
      <c r="D28" s="230">
        <f>VLOOKUP(B28, 'S12 Operations'!$C$2:$H$534, 6, 0)</f>
        <v>200</v>
      </c>
      <c r="E28" s="230">
        <f t="shared" si="3"/>
        <v>129</v>
      </c>
      <c r="F28" s="230">
        <f>VLOOKUP(A28, 'S11 Work Stations'!$A$2:$C$45, 3, 0)</f>
        <v>30</v>
      </c>
      <c r="G28" s="230">
        <f>VLOOKUP(B28&amp;"-"&amp;A28, 'S12 Operations'!$A$2:$G$534, 7, 0)</f>
        <v>180</v>
      </c>
      <c r="H28" s="229">
        <f t="shared" si="4"/>
        <v>3</v>
      </c>
      <c r="I28" s="229">
        <f t="shared" si="5"/>
        <v>80937</v>
      </c>
      <c r="J28" s="230">
        <f t="shared" si="6"/>
        <v>1349</v>
      </c>
      <c r="L28">
        <f t="shared" si="0"/>
        <v>3</v>
      </c>
      <c r="M28">
        <f t="shared" si="1"/>
        <v>129</v>
      </c>
      <c r="N28">
        <f t="shared" si="2"/>
        <v>626</v>
      </c>
      <c r="O28">
        <f t="shared" si="7"/>
        <v>3</v>
      </c>
      <c r="Q28" s="44"/>
      <c r="S28" s="224" t="str">
        <f>IFERROR(LARGE(S$3:S$18,ROWS(S$20:S28)), "")</f>
        <v/>
      </c>
      <c r="T28" s="224" t="str">
        <f>IFERROR(LARGE(T$3:T$18,ROWS(T$20:T28)), "")</f>
        <v/>
      </c>
      <c r="U28" s="224" t="str">
        <f>IFERROR(LARGE(U$3:U$18,ROWS(U$20:U28)), "")</f>
        <v/>
      </c>
      <c r="V28" s="224" t="str">
        <f>IFERROR(LARGE(V$3:V$18,ROWS(V$20:V28)), "")</f>
        <v/>
      </c>
      <c r="W28" s="224" t="str">
        <f>IFERROR(LARGE(W$3:W$18,ROWS(W$20:W28)), "")</f>
        <v/>
      </c>
      <c r="X28" s="224" t="str">
        <f>IFERROR(LARGE(X$3:X$18,ROWS(X$20:X28)), "")</f>
        <v/>
      </c>
      <c r="Y28" s="224" t="str">
        <f>IFERROR(LARGE(Y$3:Y$18,ROWS(Y$20:Y28)), "")</f>
        <v/>
      </c>
      <c r="Z28" s="224" t="str">
        <f>IFERROR(LARGE(Z$3:Z$18,ROWS(Z$20:Z28)), "")</f>
        <v/>
      </c>
      <c r="AA28" s="224" t="str">
        <f>IFERROR(LARGE(AA$3:AA$18,ROWS(AA$20:AA28)), "")</f>
        <v/>
      </c>
      <c r="AB28" s="224" t="str">
        <f>IFERROR(LARGE(AB$3:AB$18,ROWS(AB$20:AB28)), "")</f>
        <v/>
      </c>
      <c r="AC28" s="224" t="str">
        <f>IFERROR(LARGE(AC$3:AC$18,ROWS(AC$20:AC28)), "")</f>
        <v/>
      </c>
      <c r="AD28" s="224" t="str">
        <f>IFERROR(LARGE(AD$3:AD$18,ROWS(AD$20:AD28)), "")</f>
        <v/>
      </c>
      <c r="AE28" s="224" t="str">
        <f>IFERROR(LARGE(AE$3:AE$18,ROWS(AE$20:AE28)), "")</f>
        <v/>
      </c>
      <c r="AF28" s="224" t="str">
        <f>IFERROR(LARGE(AF$3:AF$18,ROWS(AF$20:AF28)), "")</f>
        <v/>
      </c>
      <c r="AG28" s="224" t="str">
        <f>IFERROR(LARGE(AG$3:AG$18,ROWS(AG$20:AG28)), "")</f>
        <v/>
      </c>
      <c r="AH28" s="224" t="str">
        <f>IFERROR(LARGE(AH$3:AH$18,ROWS(AH$20:AH28)), "")</f>
        <v/>
      </c>
      <c r="AI28" s="224" t="str">
        <f>IFERROR(LARGE(AI$3:AI$18,ROWS(AI$20:AI28)), "")</f>
        <v/>
      </c>
      <c r="AJ28" s="224" t="str">
        <f>IFERROR(LARGE(AJ$3:AJ$18,ROWS(AJ$20:AJ28)), "")</f>
        <v/>
      </c>
      <c r="AK28" s="224" t="str">
        <f>IFERROR(LARGE(AK$3:AK$18,ROWS(AK$20:AK28)), "")</f>
        <v/>
      </c>
      <c r="AL28" s="224" t="str">
        <f>IFERROR(LARGE(AL$3:AL$18,ROWS(AL$20:AL28)), "")</f>
        <v/>
      </c>
      <c r="AM28" s="224" t="str">
        <f>IFERROR(LARGE(AM$3:AM$18,ROWS(AM$20:AM28)), "")</f>
        <v/>
      </c>
      <c r="AN28" s="224" t="str">
        <f>IFERROR(LARGE(AN$3:AN$18,ROWS(AN$20:AN28)), "")</f>
        <v/>
      </c>
      <c r="AO28" s="224" t="str">
        <f>IFERROR(LARGE(AO$3:AO$18,ROWS(AO$20:AO28)), "")</f>
        <v/>
      </c>
      <c r="AP28" s="224" t="str">
        <f>IFERROR(LARGE(AP$3:AP$18,ROWS(AP$20:AP28)), "")</f>
        <v/>
      </c>
      <c r="AQ28" s="224">
        <f>IFERROR(LARGE(AQ$3:AQ$18,ROWS(AQ$20:AQ28)), "")</f>
        <v>254</v>
      </c>
      <c r="AR28" s="224">
        <f>IFERROR(LARGE(AR$3:AR$18,ROWS(AR$20:AR28)), "")</f>
        <v>254</v>
      </c>
    </row>
    <row r="29" spans="1:44" x14ac:dyDescent="0.2">
      <c r="A29" s="45" t="s">
        <v>594</v>
      </c>
      <c r="B29" s="45" t="s">
        <v>205</v>
      </c>
      <c r="C29" s="230">
        <f>VLOOKUP(B29, 'S08 ABC Output'!$A$3:$C$18, 3, 0)</f>
        <v>25468</v>
      </c>
      <c r="D29" s="230">
        <f>VLOOKUP(B29, 'S12 Operations'!$C$2:$H$534, 6, 0)</f>
        <v>50</v>
      </c>
      <c r="E29" s="230">
        <f t="shared" si="3"/>
        <v>510</v>
      </c>
      <c r="F29" s="230">
        <f>VLOOKUP(A29, 'S11 Work Stations'!$A$2:$C$45, 3, 0)</f>
        <v>30</v>
      </c>
      <c r="G29" s="230">
        <f>VLOOKUP(B29&amp;"-"&amp;A29, 'S12 Operations'!$A$2:$G$534, 7, 0)</f>
        <v>180</v>
      </c>
      <c r="H29" s="229">
        <f t="shared" si="4"/>
        <v>3</v>
      </c>
      <c r="I29" s="229">
        <f t="shared" si="5"/>
        <v>91704</v>
      </c>
      <c r="J29" s="230">
        <f t="shared" si="6"/>
        <v>1528</v>
      </c>
      <c r="L29">
        <f t="shared" si="0"/>
        <v>2</v>
      </c>
      <c r="M29">
        <f t="shared" si="1"/>
        <v>129</v>
      </c>
      <c r="N29">
        <f t="shared" si="2"/>
        <v>626</v>
      </c>
      <c r="O29">
        <f t="shared" si="7"/>
        <v>3</v>
      </c>
      <c r="Q29" s="44"/>
      <c r="S29" s="224" t="str">
        <f>IFERROR(LARGE(S$3:S$18,ROWS(S$20:S29)), "")</f>
        <v/>
      </c>
      <c r="T29" s="224" t="str">
        <f>IFERROR(LARGE(T$3:T$18,ROWS(T$20:T29)), "")</f>
        <v/>
      </c>
      <c r="U29" s="224" t="str">
        <f>IFERROR(LARGE(U$3:U$18,ROWS(U$20:U29)), "")</f>
        <v/>
      </c>
      <c r="V29" s="224" t="str">
        <f>IFERROR(LARGE(V$3:V$18,ROWS(V$20:V29)), "")</f>
        <v/>
      </c>
      <c r="W29" s="224" t="str">
        <f>IFERROR(LARGE(W$3:W$18,ROWS(W$20:W29)), "")</f>
        <v/>
      </c>
      <c r="X29" s="224" t="str">
        <f>IFERROR(LARGE(X$3:X$18,ROWS(X$20:X29)), "")</f>
        <v/>
      </c>
      <c r="Y29" s="224" t="str">
        <f>IFERROR(LARGE(Y$3:Y$18,ROWS(Y$20:Y29)), "")</f>
        <v/>
      </c>
      <c r="Z29" s="224" t="str">
        <f>IFERROR(LARGE(Z$3:Z$18,ROWS(Z$20:Z29)), "")</f>
        <v/>
      </c>
      <c r="AA29" s="224" t="str">
        <f>IFERROR(LARGE(AA$3:AA$18,ROWS(AA$20:AA29)), "")</f>
        <v/>
      </c>
      <c r="AB29" s="224" t="str">
        <f>IFERROR(LARGE(AB$3:AB$18,ROWS(AB$20:AB29)), "")</f>
        <v/>
      </c>
      <c r="AC29" s="224" t="str">
        <f>IFERROR(LARGE(AC$3:AC$18,ROWS(AC$20:AC29)), "")</f>
        <v/>
      </c>
      <c r="AD29" s="224" t="str">
        <f>IFERROR(LARGE(AD$3:AD$18,ROWS(AD$20:AD29)), "")</f>
        <v/>
      </c>
      <c r="AE29" s="224" t="str">
        <f>IFERROR(LARGE(AE$3:AE$18,ROWS(AE$20:AE29)), "")</f>
        <v/>
      </c>
      <c r="AF29" s="224" t="str">
        <f>IFERROR(LARGE(AF$3:AF$18,ROWS(AF$20:AF29)), "")</f>
        <v/>
      </c>
      <c r="AG29" s="224" t="str">
        <f>IFERROR(LARGE(AG$3:AG$18,ROWS(AG$20:AG29)), "")</f>
        <v/>
      </c>
      <c r="AH29" s="224" t="str">
        <f>IFERROR(LARGE(AH$3:AH$18,ROWS(AH$20:AH29)), "")</f>
        <v/>
      </c>
      <c r="AI29" s="224" t="str">
        <f>IFERROR(LARGE(AI$3:AI$18,ROWS(AI$20:AI29)), "")</f>
        <v/>
      </c>
      <c r="AJ29" s="224" t="str">
        <f>IFERROR(LARGE(AJ$3:AJ$18,ROWS(AJ$20:AJ29)), "")</f>
        <v/>
      </c>
      <c r="AK29" s="224" t="str">
        <f>IFERROR(LARGE(AK$3:AK$18,ROWS(AK$20:AK29)), "")</f>
        <v/>
      </c>
      <c r="AL29" s="224" t="str">
        <f>IFERROR(LARGE(AL$3:AL$18,ROWS(AL$20:AL29)), "")</f>
        <v/>
      </c>
      <c r="AM29" s="224" t="str">
        <f>IFERROR(LARGE(AM$3:AM$18,ROWS(AM$20:AM29)), "")</f>
        <v/>
      </c>
      <c r="AN29" s="224" t="str">
        <f>IFERROR(LARGE(AN$3:AN$18,ROWS(AN$20:AN29)), "")</f>
        <v/>
      </c>
      <c r="AO29" s="224" t="str">
        <f>IFERROR(LARGE(AO$3:AO$18,ROWS(AO$20:AO29)), "")</f>
        <v/>
      </c>
      <c r="AP29" s="224" t="str">
        <f>IFERROR(LARGE(AP$3:AP$18,ROWS(AP$20:AP29)), "")</f>
        <v/>
      </c>
      <c r="AQ29" s="224">
        <f>IFERROR(LARGE(AQ$3:AQ$18,ROWS(AQ$20:AQ29)), "")</f>
        <v>230</v>
      </c>
      <c r="AR29" s="224">
        <f>IFERROR(LARGE(AR$3:AR$18,ROWS(AR$20:AR29)), "")</f>
        <v>230</v>
      </c>
    </row>
    <row r="30" spans="1:44" x14ac:dyDescent="0.2">
      <c r="A30" s="45" t="s">
        <v>596</v>
      </c>
      <c r="B30" s="45" t="s">
        <v>182</v>
      </c>
      <c r="C30" s="230">
        <f>VLOOKUP(B30, 'S08 ABC Output'!$A$3:$C$18, 3, 0)</f>
        <v>86542</v>
      </c>
      <c r="D30" s="230">
        <f>VLOOKUP(B30, 'S12 Operations'!$C$2:$H$534, 6, 0)</f>
        <v>200</v>
      </c>
      <c r="E30" s="230">
        <f t="shared" si="3"/>
        <v>433</v>
      </c>
      <c r="F30" s="230">
        <f>VLOOKUP(A30, 'S11 Work Stations'!$A$2:$C$45, 3, 0)</f>
        <v>35</v>
      </c>
      <c r="G30" s="230">
        <f>VLOOKUP(B30&amp;"-"&amp;A30, 'S12 Operations'!$A$2:$G$534, 7, 0)</f>
        <v>180</v>
      </c>
      <c r="H30" s="229">
        <f t="shared" si="4"/>
        <v>3</v>
      </c>
      <c r="I30" s="229">
        <f t="shared" si="5"/>
        <v>269216</v>
      </c>
      <c r="J30" s="230">
        <f t="shared" si="6"/>
        <v>4487</v>
      </c>
      <c r="L30">
        <f t="shared" si="0"/>
        <v>1</v>
      </c>
      <c r="M30">
        <f t="shared" si="1"/>
        <v>274</v>
      </c>
      <c r="N30">
        <f t="shared" si="2"/>
        <v>433</v>
      </c>
      <c r="O30">
        <f t="shared" si="7"/>
        <v>2</v>
      </c>
      <c r="Q30" s="44"/>
      <c r="S30" s="224" t="str">
        <f>IFERROR(LARGE(S$3:S$18,ROWS(S$20:S30)), "")</f>
        <v/>
      </c>
      <c r="T30" s="224" t="str">
        <f>IFERROR(LARGE(T$3:T$18,ROWS(T$20:T30)), "")</f>
        <v/>
      </c>
      <c r="U30" s="224" t="str">
        <f>IFERROR(LARGE(U$3:U$18,ROWS(U$20:U30)), "")</f>
        <v/>
      </c>
      <c r="V30" s="224" t="str">
        <f>IFERROR(LARGE(V$3:V$18,ROWS(V$20:V30)), "")</f>
        <v/>
      </c>
      <c r="W30" s="224" t="str">
        <f>IFERROR(LARGE(W$3:W$18,ROWS(W$20:W30)), "")</f>
        <v/>
      </c>
      <c r="X30" s="224" t="str">
        <f>IFERROR(LARGE(X$3:X$18,ROWS(X$20:X30)), "")</f>
        <v/>
      </c>
      <c r="Y30" s="224" t="str">
        <f>IFERROR(LARGE(Y$3:Y$18,ROWS(Y$20:Y30)), "")</f>
        <v/>
      </c>
      <c r="Z30" s="224" t="str">
        <f>IFERROR(LARGE(Z$3:Z$18,ROWS(Z$20:Z30)), "")</f>
        <v/>
      </c>
      <c r="AA30" s="224" t="str">
        <f>IFERROR(LARGE(AA$3:AA$18,ROWS(AA$20:AA30)), "")</f>
        <v/>
      </c>
      <c r="AB30" s="224" t="str">
        <f>IFERROR(LARGE(AB$3:AB$18,ROWS(AB$20:AB30)), "")</f>
        <v/>
      </c>
      <c r="AC30" s="224" t="str">
        <f>IFERROR(LARGE(AC$3:AC$18,ROWS(AC$20:AC30)), "")</f>
        <v/>
      </c>
      <c r="AD30" s="224" t="str">
        <f>IFERROR(LARGE(AD$3:AD$18,ROWS(AD$20:AD30)), "")</f>
        <v/>
      </c>
      <c r="AE30" s="224" t="str">
        <f>IFERROR(LARGE(AE$3:AE$18,ROWS(AE$20:AE30)), "")</f>
        <v/>
      </c>
      <c r="AF30" s="224" t="str">
        <f>IFERROR(LARGE(AF$3:AF$18,ROWS(AF$20:AF30)), "")</f>
        <v/>
      </c>
      <c r="AG30" s="224" t="str">
        <f>IFERROR(LARGE(AG$3:AG$18,ROWS(AG$20:AG30)), "")</f>
        <v/>
      </c>
      <c r="AH30" s="224" t="str">
        <f>IFERROR(LARGE(AH$3:AH$18,ROWS(AH$20:AH30)), "")</f>
        <v/>
      </c>
      <c r="AI30" s="224" t="str">
        <f>IFERROR(LARGE(AI$3:AI$18,ROWS(AI$20:AI30)), "")</f>
        <v/>
      </c>
      <c r="AJ30" s="224" t="str">
        <f>IFERROR(LARGE(AJ$3:AJ$18,ROWS(AJ$20:AJ30)), "")</f>
        <v/>
      </c>
      <c r="AK30" s="224" t="str">
        <f>IFERROR(LARGE(AK$3:AK$18,ROWS(AK$20:AK30)), "")</f>
        <v/>
      </c>
      <c r="AL30" s="224" t="str">
        <f>IFERROR(LARGE(AL$3:AL$18,ROWS(AL$20:AL30)), "")</f>
        <v/>
      </c>
      <c r="AM30" s="224" t="str">
        <f>IFERROR(LARGE(AM$3:AM$18,ROWS(AM$20:AM30)), "")</f>
        <v/>
      </c>
      <c r="AN30" s="224" t="str">
        <f>IFERROR(LARGE(AN$3:AN$18,ROWS(AN$20:AN30)), "")</f>
        <v/>
      </c>
      <c r="AO30" s="224" t="str">
        <f>IFERROR(LARGE(AO$3:AO$18,ROWS(AO$20:AO30)), "")</f>
        <v/>
      </c>
      <c r="AP30" s="224" t="str">
        <f>IFERROR(LARGE(AP$3:AP$18,ROWS(AP$20:AP30)), "")</f>
        <v/>
      </c>
      <c r="AQ30" s="224">
        <f>IFERROR(LARGE(AQ$3:AQ$18,ROWS(AQ$20:AQ30)), "")</f>
        <v>183</v>
      </c>
      <c r="AR30" s="224">
        <f>IFERROR(LARGE(AR$3:AR$18,ROWS(AR$20:AR30)), "")</f>
        <v>183</v>
      </c>
    </row>
    <row r="31" spans="1:44" x14ac:dyDescent="0.2">
      <c r="A31" s="45" t="s">
        <v>596</v>
      </c>
      <c r="B31" s="45" t="s">
        <v>188</v>
      </c>
      <c r="C31" s="230">
        <f>VLOOKUP(B31, 'S08 ABC Output'!$A$3:$C$18, 3, 0)</f>
        <v>54682</v>
      </c>
      <c r="D31" s="230">
        <f>VLOOKUP(B31, 'S12 Operations'!$C$2:$H$534, 6, 0)</f>
        <v>200</v>
      </c>
      <c r="E31" s="230">
        <f t="shared" si="3"/>
        <v>274</v>
      </c>
      <c r="F31" s="230">
        <f>VLOOKUP(A31, 'S11 Work Stations'!$A$2:$C$45, 3, 0)</f>
        <v>35</v>
      </c>
      <c r="G31" s="230">
        <f>VLOOKUP(B31&amp;"-"&amp;A31, 'S12 Operations'!$A$2:$G$534, 7, 0)</f>
        <v>420</v>
      </c>
      <c r="H31" s="229">
        <f t="shared" si="4"/>
        <v>7</v>
      </c>
      <c r="I31" s="229">
        <f t="shared" si="5"/>
        <v>392364</v>
      </c>
      <c r="J31" s="230">
        <f t="shared" si="6"/>
        <v>6539</v>
      </c>
      <c r="L31">
        <f t="shared" si="0"/>
        <v>2</v>
      </c>
      <c r="M31">
        <f t="shared" si="1"/>
        <v>274</v>
      </c>
      <c r="N31">
        <f t="shared" si="2"/>
        <v>433</v>
      </c>
      <c r="O31">
        <f t="shared" si="7"/>
        <v>2</v>
      </c>
      <c r="Q31" s="44"/>
      <c r="S31" s="224" t="str">
        <f>IFERROR(LARGE(S$3:S$18,ROWS(S$20:S31)), "")</f>
        <v/>
      </c>
      <c r="T31" s="224" t="str">
        <f>IFERROR(LARGE(T$3:T$18,ROWS(T$20:T31)), "")</f>
        <v/>
      </c>
      <c r="U31" s="224" t="str">
        <f>IFERROR(LARGE(U$3:U$18,ROWS(U$20:U31)), "")</f>
        <v/>
      </c>
      <c r="V31" s="224" t="str">
        <f>IFERROR(LARGE(V$3:V$18,ROWS(V$20:V31)), "")</f>
        <v/>
      </c>
      <c r="W31" s="224" t="str">
        <f>IFERROR(LARGE(W$3:W$18,ROWS(W$20:W31)), "")</f>
        <v/>
      </c>
      <c r="X31" s="224" t="str">
        <f>IFERROR(LARGE(X$3:X$18,ROWS(X$20:X31)), "")</f>
        <v/>
      </c>
      <c r="Y31" s="224" t="str">
        <f>IFERROR(LARGE(Y$3:Y$18,ROWS(Y$20:Y31)), "")</f>
        <v/>
      </c>
      <c r="Z31" s="224" t="str">
        <f>IFERROR(LARGE(Z$3:Z$18,ROWS(Z$20:Z31)), "")</f>
        <v/>
      </c>
      <c r="AA31" s="224" t="str">
        <f>IFERROR(LARGE(AA$3:AA$18,ROWS(AA$20:AA31)), "")</f>
        <v/>
      </c>
      <c r="AB31" s="224" t="str">
        <f>IFERROR(LARGE(AB$3:AB$18,ROWS(AB$20:AB31)), "")</f>
        <v/>
      </c>
      <c r="AC31" s="224" t="str">
        <f>IFERROR(LARGE(AC$3:AC$18,ROWS(AC$20:AC31)), "")</f>
        <v/>
      </c>
      <c r="AD31" s="224" t="str">
        <f>IFERROR(LARGE(AD$3:AD$18,ROWS(AD$20:AD31)), "")</f>
        <v/>
      </c>
      <c r="AE31" s="224" t="str">
        <f>IFERROR(LARGE(AE$3:AE$18,ROWS(AE$20:AE31)), "")</f>
        <v/>
      </c>
      <c r="AF31" s="224" t="str">
        <f>IFERROR(LARGE(AF$3:AF$18,ROWS(AF$20:AF31)), "")</f>
        <v/>
      </c>
      <c r="AG31" s="224" t="str">
        <f>IFERROR(LARGE(AG$3:AG$18,ROWS(AG$20:AG31)), "")</f>
        <v/>
      </c>
      <c r="AH31" s="224" t="str">
        <f>IFERROR(LARGE(AH$3:AH$18,ROWS(AH$20:AH31)), "")</f>
        <v/>
      </c>
      <c r="AI31" s="224" t="str">
        <f>IFERROR(LARGE(AI$3:AI$18,ROWS(AI$20:AI31)), "")</f>
        <v/>
      </c>
      <c r="AJ31" s="224" t="str">
        <f>IFERROR(LARGE(AJ$3:AJ$18,ROWS(AJ$20:AJ31)), "")</f>
        <v/>
      </c>
      <c r="AK31" s="224" t="str">
        <f>IFERROR(LARGE(AK$3:AK$18,ROWS(AK$20:AK31)), "")</f>
        <v/>
      </c>
      <c r="AL31" s="224" t="str">
        <f>IFERROR(LARGE(AL$3:AL$18,ROWS(AL$20:AL31)), "")</f>
        <v/>
      </c>
      <c r="AM31" s="224" t="str">
        <f>IFERROR(LARGE(AM$3:AM$18,ROWS(AM$20:AM31)), "")</f>
        <v/>
      </c>
      <c r="AN31" s="224" t="str">
        <f>IFERROR(LARGE(AN$3:AN$18,ROWS(AN$20:AN31)), "")</f>
        <v/>
      </c>
      <c r="AO31" s="224" t="str">
        <f>IFERROR(LARGE(AO$3:AO$18,ROWS(AO$20:AO31)), "")</f>
        <v/>
      </c>
      <c r="AP31" s="224" t="str">
        <f>IFERROR(LARGE(AP$3:AP$18,ROWS(AP$20:AP31)), "")</f>
        <v/>
      </c>
      <c r="AQ31" s="224">
        <f>IFERROR(LARGE(AQ$3:AQ$18,ROWS(AQ$20:AQ31)), "")</f>
        <v>183</v>
      </c>
      <c r="AR31" s="224">
        <f>IFERROR(LARGE(AR$3:AR$18,ROWS(AR$20:AR31)), "")</f>
        <v>183</v>
      </c>
    </row>
    <row r="32" spans="1:44" x14ac:dyDescent="0.2">
      <c r="A32" s="45" t="s">
        <v>597</v>
      </c>
      <c r="B32" s="45" t="s">
        <v>176</v>
      </c>
      <c r="C32" s="230">
        <f>VLOOKUP(B32, 'S08 ABC Output'!$A$3:$C$18, 3, 0)</f>
        <v>250356</v>
      </c>
      <c r="D32" s="230">
        <f>VLOOKUP(B32, 'S12 Operations'!$C$2:$H$534, 6, 0)</f>
        <v>200</v>
      </c>
      <c r="E32" s="230">
        <f t="shared" si="3"/>
        <v>1252</v>
      </c>
      <c r="F32" s="230">
        <f>VLOOKUP(A32, 'S11 Work Stations'!$A$2:$C$45, 3, 0)</f>
        <v>25</v>
      </c>
      <c r="G32" s="230">
        <f>VLOOKUP(B32&amp;"-"&amp;A32, 'S12 Operations'!$A$2:$G$534, 7, 0)</f>
        <v>360</v>
      </c>
      <c r="H32" s="229">
        <f t="shared" si="4"/>
        <v>6</v>
      </c>
      <c r="I32" s="229">
        <f t="shared" si="5"/>
        <v>1505361</v>
      </c>
      <c r="J32" s="230">
        <f t="shared" si="6"/>
        <v>25089</v>
      </c>
      <c r="L32">
        <f t="shared" si="0"/>
        <v>1</v>
      </c>
      <c r="M32">
        <f t="shared" si="1"/>
        <v>129</v>
      </c>
      <c r="N32">
        <f t="shared" si="2"/>
        <v>1252</v>
      </c>
      <c r="O32">
        <f t="shared" si="7"/>
        <v>3</v>
      </c>
      <c r="Q32" s="44"/>
      <c r="S32" s="224" t="str">
        <f>IFERROR(LARGE(S$3:S$18,ROWS(S$20:S32)), "")</f>
        <v/>
      </c>
      <c r="T32" s="224" t="str">
        <f>IFERROR(LARGE(T$3:T$18,ROWS(T$20:T32)), "")</f>
        <v/>
      </c>
      <c r="U32" s="224" t="str">
        <f>IFERROR(LARGE(U$3:U$18,ROWS(U$20:U32)), "")</f>
        <v/>
      </c>
      <c r="V32" s="224" t="str">
        <f>IFERROR(LARGE(V$3:V$18,ROWS(V$20:V32)), "")</f>
        <v/>
      </c>
      <c r="W32" s="224" t="str">
        <f>IFERROR(LARGE(W$3:W$18,ROWS(W$20:W32)), "")</f>
        <v/>
      </c>
      <c r="X32" s="224" t="str">
        <f>IFERROR(LARGE(X$3:X$18,ROWS(X$20:X32)), "")</f>
        <v/>
      </c>
      <c r="Y32" s="224" t="str">
        <f>IFERROR(LARGE(Y$3:Y$18,ROWS(Y$20:Y32)), "")</f>
        <v/>
      </c>
      <c r="Z32" s="224" t="str">
        <f>IFERROR(LARGE(Z$3:Z$18,ROWS(Z$20:Z32)), "")</f>
        <v/>
      </c>
      <c r="AA32" s="224" t="str">
        <f>IFERROR(LARGE(AA$3:AA$18,ROWS(AA$20:AA32)), "")</f>
        <v/>
      </c>
      <c r="AB32" s="224" t="str">
        <f>IFERROR(LARGE(AB$3:AB$18,ROWS(AB$20:AB32)), "")</f>
        <v/>
      </c>
      <c r="AC32" s="224" t="str">
        <f>IFERROR(LARGE(AC$3:AC$18,ROWS(AC$20:AC32)), "")</f>
        <v/>
      </c>
      <c r="AD32" s="224" t="str">
        <f>IFERROR(LARGE(AD$3:AD$18,ROWS(AD$20:AD32)), "")</f>
        <v/>
      </c>
      <c r="AE32" s="224" t="str">
        <f>IFERROR(LARGE(AE$3:AE$18,ROWS(AE$20:AE32)), "")</f>
        <v/>
      </c>
      <c r="AF32" s="224" t="str">
        <f>IFERROR(LARGE(AF$3:AF$18,ROWS(AF$20:AF32)), "")</f>
        <v/>
      </c>
      <c r="AG32" s="224" t="str">
        <f>IFERROR(LARGE(AG$3:AG$18,ROWS(AG$20:AG32)), "")</f>
        <v/>
      </c>
      <c r="AH32" s="224" t="str">
        <f>IFERROR(LARGE(AH$3:AH$18,ROWS(AH$20:AH32)), "")</f>
        <v/>
      </c>
      <c r="AI32" s="224" t="str">
        <f>IFERROR(LARGE(AI$3:AI$18,ROWS(AI$20:AI32)), "")</f>
        <v/>
      </c>
      <c r="AJ32" s="224" t="str">
        <f>IFERROR(LARGE(AJ$3:AJ$18,ROWS(AJ$20:AJ32)), "")</f>
        <v/>
      </c>
      <c r="AK32" s="224" t="str">
        <f>IFERROR(LARGE(AK$3:AK$18,ROWS(AK$20:AK32)), "")</f>
        <v/>
      </c>
      <c r="AL32" s="224" t="str">
        <f>IFERROR(LARGE(AL$3:AL$18,ROWS(AL$20:AL32)), "")</f>
        <v/>
      </c>
      <c r="AM32" s="224" t="str">
        <f>IFERROR(LARGE(AM$3:AM$18,ROWS(AM$20:AM32)), "")</f>
        <v/>
      </c>
      <c r="AN32" s="224" t="str">
        <f>IFERROR(LARGE(AN$3:AN$18,ROWS(AN$20:AN32)), "")</f>
        <v/>
      </c>
      <c r="AO32" s="224" t="str">
        <f>IFERROR(LARGE(AO$3:AO$18,ROWS(AO$20:AO32)), "")</f>
        <v/>
      </c>
      <c r="AP32" s="224" t="str">
        <f>IFERROR(LARGE(AP$3:AP$18,ROWS(AP$20:AP32)), "")</f>
        <v/>
      </c>
      <c r="AQ32" s="224">
        <f>IFERROR(LARGE(AQ$3:AQ$18,ROWS(AQ$20:AQ32)), "")</f>
        <v>129</v>
      </c>
      <c r="AR32" s="224">
        <f>IFERROR(LARGE(AR$3:AR$18,ROWS(AR$20:AR32)), "")</f>
        <v>129</v>
      </c>
    </row>
    <row r="33" spans="1:44" x14ac:dyDescent="0.2">
      <c r="A33" s="45" t="s">
        <v>597</v>
      </c>
      <c r="B33" s="45" t="s">
        <v>198</v>
      </c>
      <c r="C33" s="230">
        <f>VLOOKUP(B33, 'S08 ABC Output'!$A$3:$C$18, 3, 0)</f>
        <v>25689</v>
      </c>
      <c r="D33" s="230">
        <f>VLOOKUP(B33, 'S12 Operations'!$C$2:$H$534, 6, 0)</f>
        <v>200</v>
      </c>
      <c r="E33" s="230">
        <f t="shared" si="3"/>
        <v>129</v>
      </c>
      <c r="F33" s="230">
        <f>VLOOKUP(A33, 'S11 Work Stations'!$A$2:$C$45, 3, 0)</f>
        <v>25</v>
      </c>
      <c r="G33" s="230">
        <f>VLOOKUP(B33&amp;"-"&amp;A33, 'S12 Operations'!$A$2:$G$534, 7, 0)</f>
        <v>180</v>
      </c>
      <c r="H33" s="229">
        <f t="shared" si="4"/>
        <v>3</v>
      </c>
      <c r="I33" s="229">
        <f t="shared" si="5"/>
        <v>80292</v>
      </c>
      <c r="J33" s="230">
        <f t="shared" si="6"/>
        <v>1338</v>
      </c>
      <c r="L33">
        <f t="shared" si="0"/>
        <v>2</v>
      </c>
      <c r="M33">
        <f t="shared" si="1"/>
        <v>129</v>
      </c>
      <c r="N33">
        <f t="shared" si="2"/>
        <v>1252</v>
      </c>
      <c r="O33">
        <f t="shared" si="7"/>
        <v>3</v>
      </c>
      <c r="Q33" s="44"/>
      <c r="S33" s="224" t="str">
        <f>IFERROR(LARGE(S$3:S$18,ROWS(S$20:S33)), "")</f>
        <v/>
      </c>
      <c r="T33" s="224" t="str">
        <f>IFERROR(LARGE(T$3:T$18,ROWS(T$20:T33)), "")</f>
        <v/>
      </c>
      <c r="U33" s="224" t="str">
        <f>IFERROR(LARGE(U$3:U$18,ROWS(U$20:U33)), "")</f>
        <v/>
      </c>
      <c r="V33" s="224" t="str">
        <f>IFERROR(LARGE(V$3:V$18,ROWS(V$20:V33)), "")</f>
        <v/>
      </c>
      <c r="W33" s="224" t="str">
        <f>IFERROR(LARGE(W$3:W$18,ROWS(W$20:W33)), "")</f>
        <v/>
      </c>
      <c r="X33" s="224" t="str">
        <f>IFERROR(LARGE(X$3:X$18,ROWS(X$20:X33)), "")</f>
        <v/>
      </c>
      <c r="Y33" s="224" t="str">
        <f>IFERROR(LARGE(Y$3:Y$18,ROWS(Y$20:Y33)), "")</f>
        <v/>
      </c>
      <c r="Z33" s="224" t="str">
        <f>IFERROR(LARGE(Z$3:Z$18,ROWS(Z$20:Z33)), "")</f>
        <v/>
      </c>
      <c r="AA33" s="224" t="str">
        <f>IFERROR(LARGE(AA$3:AA$18,ROWS(AA$20:AA33)), "")</f>
        <v/>
      </c>
      <c r="AB33" s="224" t="str">
        <f>IFERROR(LARGE(AB$3:AB$18,ROWS(AB$20:AB33)), "")</f>
        <v/>
      </c>
      <c r="AC33" s="224" t="str">
        <f>IFERROR(LARGE(AC$3:AC$18,ROWS(AC$20:AC33)), "")</f>
        <v/>
      </c>
      <c r="AD33" s="224" t="str">
        <f>IFERROR(LARGE(AD$3:AD$18,ROWS(AD$20:AD33)), "")</f>
        <v/>
      </c>
      <c r="AE33" s="224" t="str">
        <f>IFERROR(LARGE(AE$3:AE$18,ROWS(AE$20:AE33)), "")</f>
        <v/>
      </c>
      <c r="AF33" s="224" t="str">
        <f>IFERROR(LARGE(AF$3:AF$18,ROWS(AF$20:AF33)), "")</f>
        <v/>
      </c>
      <c r="AG33" s="224" t="str">
        <f>IFERROR(LARGE(AG$3:AG$18,ROWS(AG$20:AG33)), "")</f>
        <v/>
      </c>
      <c r="AH33" s="224" t="str">
        <f>IFERROR(LARGE(AH$3:AH$18,ROWS(AH$20:AH33)), "")</f>
        <v/>
      </c>
      <c r="AI33" s="224" t="str">
        <f>IFERROR(LARGE(AI$3:AI$18,ROWS(AI$20:AI33)), "")</f>
        <v/>
      </c>
      <c r="AJ33" s="224" t="str">
        <f>IFERROR(LARGE(AJ$3:AJ$18,ROWS(AJ$20:AJ33)), "")</f>
        <v/>
      </c>
      <c r="AK33" s="224" t="str">
        <f>IFERROR(LARGE(AK$3:AK$18,ROWS(AK$20:AK33)), "")</f>
        <v/>
      </c>
      <c r="AL33" s="224" t="str">
        <f>IFERROR(LARGE(AL$3:AL$18,ROWS(AL$20:AL33)), "")</f>
        <v/>
      </c>
      <c r="AM33" s="224" t="str">
        <f>IFERROR(LARGE(AM$3:AM$18,ROWS(AM$20:AM33)), "")</f>
        <v/>
      </c>
      <c r="AN33" s="224" t="str">
        <f>IFERROR(LARGE(AN$3:AN$18,ROWS(AN$20:AN33)), "")</f>
        <v/>
      </c>
      <c r="AO33" s="224" t="str">
        <f>IFERROR(LARGE(AO$3:AO$18,ROWS(AO$20:AO33)), "")</f>
        <v/>
      </c>
      <c r="AP33" s="224" t="str">
        <f>IFERROR(LARGE(AP$3:AP$18,ROWS(AP$20:AP33)), "")</f>
        <v/>
      </c>
      <c r="AQ33" s="224">
        <f>IFERROR(LARGE(AQ$3:AQ$18,ROWS(AQ$20:AQ33)), "")</f>
        <v>129</v>
      </c>
      <c r="AR33" s="224">
        <f>IFERROR(LARGE(AR$3:AR$18,ROWS(AR$20:AR33)), "")</f>
        <v>129</v>
      </c>
    </row>
    <row r="34" spans="1:44" x14ac:dyDescent="0.2">
      <c r="A34" s="45" t="s">
        <v>597</v>
      </c>
      <c r="B34" s="45" t="s">
        <v>203</v>
      </c>
      <c r="C34" s="230">
        <f>VLOOKUP(B34, 'S08 ABC Output'!$A$3:$C$18, 3, 0)</f>
        <v>25639</v>
      </c>
      <c r="D34" s="230">
        <f>VLOOKUP(B34, 'S12 Operations'!$C$2:$H$534, 6, 0)</f>
        <v>200</v>
      </c>
      <c r="E34" s="230">
        <f t="shared" si="3"/>
        <v>129</v>
      </c>
      <c r="F34" s="230">
        <f>VLOOKUP(A34, 'S11 Work Stations'!$A$2:$C$45, 3, 0)</f>
        <v>25</v>
      </c>
      <c r="G34" s="230">
        <f>VLOOKUP(B34&amp;"-"&amp;A34, 'S12 Operations'!$A$2:$G$534, 7, 0)</f>
        <v>120</v>
      </c>
      <c r="H34" s="229">
        <f t="shared" si="4"/>
        <v>2</v>
      </c>
      <c r="I34" s="229">
        <f t="shared" si="5"/>
        <v>54503</v>
      </c>
      <c r="J34" s="230">
        <f t="shared" si="6"/>
        <v>908</v>
      </c>
      <c r="L34">
        <f t="shared" ref="L34:L65" si="9">RANK(HLOOKUP(A34,$S$19:$AR$36,MATCH(E34,INDEX($S$19:$AR$35, ,HLOOKUP(A34,$S$19:$AR$36,18,0)),0),0),INDEX($S$19:$AR$35, ,HLOOKUP(A34,$S$19:$AR$36,18,0)),0)</f>
        <v>2</v>
      </c>
      <c r="M34">
        <f t="shared" ref="M34:M65" si="10">MIN(_xlfn.IFS($A34=$S$2,$S$3:$S$18,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129</v>
      </c>
      <c r="N34">
        <f t="shared" ref="N34:N65" si="11">MAX(_xlfn.IFS($A34=$S$2,$S$3:$S$18,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1252</v>
      </c>
      <c r="O34">
        <f t="shared" si="7"/>
        <v>3</v>
      </c>
      <c r="Q34" s="44"/>
      <c r="S34" s="224" t="str">
        <f>IFERROR(LARGE(S$3:S$18,ROWS(S$20:S34)), "")</f>
        <v/>
      </c>
      <c r="T34" s="224" t="str">
        <f>IFERROR(LARGE(T$3:T$18,ROWS(T$20:T34)), "")</f>
        <v/>
      </c>
      <c r="U34" s="224" t="str">
        <f>IFERROR(LARGE(U$3:U$18,ROWS(U$20:U34)), "")</f>
        <v/>
      </c>
      <c r="V34" s="224" t="str">
        <f>IFERROR(LARGE(V$3:V$18,ROWS(V$20:V34)), "")</f>
        <v/>
      </c>
      <c r="W34" s="224" t="str">
        <f>IFERROR(LARGE(W$3:W$18,ROWS(W$20:W34)), "")</f>
        <v/>
      </c>
      <c r="X34" s="224" t="str">
        <f>IFERROR(LARGE(X$3:X$18,ROWS(X$20:X34)), "")</f>
        <v/>
      </c>
      <c r="Y34" s="224" t="str">
        <f>IFERROR(LARGE(Y$3:Y$18,ROWS(Y$20:Y34)), "")</f>
        <v/>
      </c>
      <c r="Z34" s="224" t="str">
        <f>IFERROR(LARGE(Z$3:Z$18,ROWS(Z$20:Z34)), "")</f>
        <v/>
      </c>
      <c r="AA34" s="224" t="str">
        <f>IFERROR(LARGE(AA$3:AA$18,ROWS(AA$20:AA34)), "")</f>
        <v/>
      </c>
      <c r="AB34" s="224" t="str">
        <f>IFERROR(LARGE(AB$3:AB$18,ROWS(AB$20:AB34)), "")</f>
        <v/>
      </c>
      <c r="AC34" s="224" t="str">
        <f>IFERROR(LARGE(AC$3:AC$18,ROWS(AC$20:AC34)), "")</f>
        <v/>
      </c>
      <c r="AD34" s="224" t="str">
        <f>IFERROR(LARGE(AD$3:AD$18,ROWS(AD$20:AD34)), "")</f>
        <v/>
      </c>
      <c r="AE34" s="224" t="str">
        <f>IFERROR(LARGE(AE$3:AE$18,ROWS(AE$20:AE34)), "")</f>
        <v/>
      </c>
      <c r="AF34" s="224" t="str">
        <f>IFERROR(LARGE(AF$3:AF$18,ROWS(AF$20:AF34)), "")</f>
        <v/>
      </c>
      <c r="AG34" s="224" t="str">
        <f>IFERROR(LARGE(AG$3:AG$18,ROWS(AG$20:AG34)), "")</f>
        <v/>
      </c>
      <c r="AH34" s="224" t="str">
        <f>IFERROR(LARGE(AH$3:AH$18,ROWS(AH$20:AH34)), "")</f>
        <v/>
      </c>
      <c r="AI34" s="224" t="str">
        <f>IFERROR(LARGE(AI$3:AI$18,ROWS(AI$20:AI34)), "")</f>
        <v/>
      </c>
      <c r="AJ34" s="224" t="str">
        <f>IFERROR(LARGE(AJ$3:AJ$18,ROWS(AJ$20:AJ34)), "")</f>
        <v/>
      </c>
      <c r="AK34" s="224" t="str">
        <f>IFERROR(LARGE(AK$3:AK$18,ROWS(AK$20:AK34)), "")</f>
        <v/>
      </c>
      <c r="AL34" s="224" t="str">
        <f>IFERROR(LARGE(AL$3:AL$18,ROWS(AL$20:AL34)), "")</f>
        <v/>
      </c>
      <c r="AM34" s="224" t="str">
        <f>IFERROR(LARGE(AM$3:AM$18,ROWS(AM$20:AM34)), "")</f>
        <v/>
      </c>
      <c r="AN34" s="224" t="str">
        <f>IFERROR(LARGE(AN$3:AN$18,ROWS(AN$20:AN34)), "")</f>
        <v/>
      </c>
      <c r="AO34" s="224" t="str">
        <f>IFERROR(LARGE(AO$3:AO$18,ROWS(AO$20:AO34)), "")</f>
        <v/>
      </c>
      <c r="AP34" s="224" t="str">
        <f>IFERROR(LARGE(AP$3:AP$18,ROWS(AP$20:AP34)), "")</f>
        <v/>
      </c>
      <c r="AQ34" s="224">
        <f>IFERROR(LARGE(AQ$3:AQ$18,ROWS(AQ$20:AQ34)), "")</f>
        <v>129</v>
      </c>
      <c r="AR34" s="224">
        <f>IFERROR(LARGE(AR$3:AR$18,ROWS(AR$20:AR34)), "")</f>
        <v>129</v>
      </c>
    </row>
    <row r="35" spans="1:44" x14ac:dyDescent="0.2">
      <c r="A35" s="45" t="s">
        <v>598</v>
      </c>
      <c r="B35" s="45" t="s">
        <v>178</v>
      </c>
      <c r="C35" s="230">
        <f>VLOOKUP(B35, 'S08 ABC Output'!$A$3:$C$18, 3, 0)</f>
        <v>215425</v>
      </c>
      <c r="D35" s="230">
        <f>VLOOKUP(B35, 'S12 Operations'!$C$2:$H$534, 6, 0)</f>
        <v>200</v>
      </c>
      <c r="E35" s="230">
        <f t="shared" si="3"/>
        <v>1078</v>
      </c>
      <c r="F35" s="230">
        <f>VLOOKUP(A35, 'S11 Work Stations'!$A$2:$C$45, 3, 0)</f>
        <v>30</v>
      </c>
      <c r="G35" s="230">
        <f>VLOOKUP(B35&amp;"-"&amp;A35, 'S12 Operations'!$A$2:$G$534, 7, 0)</f>
        <v>480</v>
      </c>
      <c r="H35" s="229">
        <f t="shared" si="4"/>
        <v>8</v>
      </c>
      <c r="I35" s="229">
        <f t="shared" si="5"/>
        <v>1733210</v>
      </c>
      <c r="J35" s="230">
        <f t="shared" si="6"/>
        <v>28887</v>
      </c>
      <c r="L35">
        <f t="shared" si="9"/>
        <v>1</v>
      </c>
      <c r="M35">
        <f t="shared" si="10"/>
        <v>129</v>
      </c>
      <c r="N35">
        <f t="shared" si="11"/>
        <v>1078</v>
      </c>
      <c r="O35">
        <f t="shared" si="7"/>
        <v>6</v>
      </c>
      <c r="Q35" s="44"/>
      <c r="S35" s="224" t="str">
        <f>IFERROR(LARGE(S$3:S$18,ROWS(S$20:S35)), "")</f>
        <v/>
      </c>
      <c r="T35" s="224" t="str">
        <f>IFERROR(LARGE(T$3:T$18,ROWS(T$20:T35)), "")</f>
        <v/>
      </c>
      <c r="U35" s="224" t="str">
        <f>IFERROR(LARGE(U$3:U$18,ROWS(U$20:U35)), "")</f>
        <v/>
      </c>
      <c r="V35" s="224" t="str">
        <f>IFERROR(LARGE(V$3:V$18,ROWS(V$20:V35)), "")</f>
        <v/>
      </c>
      <c r="W35" s="224" t="str">
        <f>IFERROR(LARGE(W$3:W$18,ROWS(W$20:W35)), "")</f>
        <v/>
      </c>
      <c r="X35" s="224" t="str">
        <f>IFERROR(LARGE(X$3:X$18,ROWS(X$20:X35)), "")</f>
        <v/>
      </c>
      <c r="Y35" s="224" t="str">
        <f>IFERROR(LARGE(Y$3:Y$18,ROWS(Y$20:Y35)), "")</f>
        <v/>
      </c>
      <c r="Z35" s="224" t="str">
        <f>IFERROR(LARGE(Z$3:Z$18,ROWS(Z$20:Z35)), "")</f>
        <v/>
      </c>
      <c r="AA35" s="224" t="str">
        <f>IFERROR(LARGE(AA$3:AA$18,ROWS(AA$20:AA35)), "")</f>
        <v/>
      </c>
      <c r="AB35" s="224" t="str">
        <f>IFERROR(LARGE(AB$3:AB$18,ROWS(AB$20:AB35)), "")</f>
        <v/>
      </c>
      <c r="AC35" s="224" t="str">
        <f>IFERROR(LARGE(AC$3:AC$18,ROWS(AC$20:AC35)), "")</f>
        <v/>
      </c>
      <c r="AD35" s="224" t="str">
        <f>IFERROR(LARGE(AD$3:AD$18,ROWS(AD$20:AD35)), "")</f>
        <v/>
      </c>
      <c r="AE35" s="224" t="str">
        <f>IFERROR(LARGE(AE$3:AE$18,ROWS(AE$20:AE35)), "")</f>
        <v/>
      </c>
      <c r="AF35" s="224" t="str">
        <f>IFERROR(LARGE(AF$3:AF$18,ROWS(AF$20:AF35)), "")</f>
        <v/>
      </c>
      <c r="AG35" s="224" t="str">
        <f>IFERROR(LARGE(AG$3:AG$18,ROWS(AG$20:AG35)), "")</f>
        <v/>
      </c>
      <c r="AH35" s="224" t="str">
        <f>IFERROR(LARGE(AH$3:AH$18,ROWS(AH$20:AH35)), "")</f>
        <v/>
      </c>
      <c r="AI35" s="224" t="str">
        <f>IFERROR(LARGE(AI$3:AI$18,ROWS(AI$20:AI35)), "")</f>
        <v/>
      </c>
      <c r="AJ35" s="224" t="str">
        <f>IFERROR(LARGE(AJ$3:AJ$18,ROWS(AJ$20:AJ35)), "")</f>
        <v/>
      </c>
      <c r="AK35" s="224" t="str">
        <f>IFERROR(LARGE(AK$3:AK$18,ROWS(AK$20:AK35)), "")</f>
        <v/>
      </c>
      <c r="AL35" s="224" t="str">
        <f>IFERROR(LARGE(AL$3:AL$18,ROWS(AL$20:AL35)), "")</f>
        <v/>
      </c>
      <c r="AM35" s="224" t="str">
        <f>IFERROR(LARGE(AM$3:AM$18,ROWS(AM$20:AM35)), "")</f>
        <v/>
      </c>
      <c r="AN35" s="224" t="str">
        <f>IFERROR(LARGE(AN$3:AN$18,ROWS(AN$20:AN35)), "")</f>
        <v/>
      </c>
      <c r="AO35" s="224" t="str">
        <f>IFERROR(LARGE(AO$3:AO$18,ROWS(AO$20:AO35)), "")</f>
        <v/>
      </c>
      <c r="AP35" s="224" t="str">
        <f>IFERROR(LARGE(AP$3:AP$18,ROWS(AP$20:AP35)), "")</f>
        <v/>
      </c>
      <c r="AQ35" s="224">
        <f>IFERROR(LARGE(AQ$3:AQ$18,ROWS(AQ$20:AQ35)), "")</f>
        <v>129</v>
      </c>
      <c r="AR35" s="224">
        <f>IFERROR(LARGE(AR$3:AR$18,ROWS(AR$20:AR35)), "")</f>
        <v>129</v>
      </c>
    </row>
    <row r="36" spans="1:44" x14ac:dyDescent="0.2">
      <c r="A36" s="45" t="s">
        <v>598</v>
      </c>
      <c r="B36" s="45" t="s">
        <v>186</v>
      </c>
      <c r="C36" s="230">
        <f>VLOOKUP(B36, 'S08 ABC Output'!$A$3:$C$18, 3, 0)</f>
        <v>65248</v>
      </c>
      <c r="D36" s="230">
        <f>VLOOKUP(B36, 'S12 Operations'!$C$2:$H$534, 6, 0)</f>
        <v>200</v>
      </c>
      <c r="E36" s="230">
        <f t="shared" si="3"/>
        <v>327</v>
      </c>
      <c r="F36" s="230">
        <f>VLOOKUP(A36, 'S11 Work Stations'!$A$2:$C$45, 3, 0)</f>
        <v>30</v>
      </c>
      <c r="G36" s="230">
        <f>VLOOKUP(B36&amp;"-"&amp;A36, 'S12 Operations'!$A$2:$G$534, 7, 0)</f>
        <v>120</v>
      </c>
      <c r="H36" s="229">
        <f t="shared" si="4"/>
        <v>2</v>
      </c>
      <c r="I36" s="229">
        <f t="shared" si="5"/>
        <v>140306</v>
      </c>
      <c r="J36" s="230">
        <f t="shared" si="6"/>
        <v>2338</v>
      </c>
      <c r="L36">
        <f t="shared" si="9"/>
        <v>2</v>
      </c>
      <c r="M36">
        <f t="shared" si="10"/>
        <v>129</v>
      </c>
      <c r="N36">
        <f t="shared" si="11"/>
        <v>1078</v>
      </c>
      <c r="O36">
        <f t="shared" si="7"/>
        <v>6</v>
      </c>
      <c r="Q36" s="44"/>
      <c r="S36">
        <v>1</v>
      </c>
      <c r="T36">
        <v>2</v>
      </c>
      <c r="U36">
        <v>3</v>
      </c>
      <c r="V36">
        <v>4</v>
      </c>
      <c r="W36">
        <v>5</v>
      </c>
      <c r="X36">
        <v>6</v>
      </c>
      <c r="Y36">
        <v>7</v>
      </c>
      <c r="Z36">
        <v>8</v>
      </c>
      <c r="AA36">
        <v>9</v>
      </c>
      <c r="AB36">
        <v>10</v>
      </c>
      <c r="AC36">
        <v>11</v>
      </c>
      <c r="AD36">
        <v>12</v>
      </c>
      <c r="AE36">
        <v>13</v>
      </c>
      <c r="AF36">
        <v>14</v>
      </c>
      <c r="AG36">
        <v>15</v>
      </c>
      <c r="AH36">
        <v>16</v>
      </c>
      <c r="AI36">
        <v>17</v>
      </c>
      <c r="AJ36">
        <v>18</v>
      </c>
      <c r="AK36">
        <v>19</v>
      </c>
      <c r="AL36">
        <v>20</v>
      </c>
      <c r="AM36">
        <v>21</v>
      </c>
      <c r="AN36">
        <v>22</v>
      </c>
      <c r="AO36">
        <v>23</v>
      </c>
      <c r="AP36" s="3">
        <v>24</v>
      </c>
      <c r="AQ36" s="3">
        <v>25</v>
      </c>
      <c r="AR36" s="3">
        <v>26</v>
      </c>
    </row>
    <row r="37" spans="1:44" x14ac:dyDescent="0.2">
      <c r="A37" s="45" t="s">
        <v>598</v>
      </c>
      <c r="B37" s="45" t="s">
        <v>192</v>
      </c>
      <c r="C37" s="230">
        <f>VLOOKUP(B37, 'S08 ABC Output'!$A$3:$C$18, 3, 0)</f>
        <v>45896</v>
      </c>
      <c r="D37" s="230">
        <f>VLOOKUP(B37, 'S12 Operations'!$C$2:$H$534, 6, 0)</f>
        <v>200</v>
      </c>
      <c r="E37" s="230">
        <f t="shared" si="3"/>
        <v>230</v>
      </c>
      <c r="F37" s="230">
        <f>VLOOKUP(A37, 'S11 Work Stations'!$A$2:$C$45, 3, 0)</f>
        <v>30</v>
      </c>
      <c r="G37" s="230">
        <f>VLOOKUP(B37&amp;"-"&amp;A37, 'S12 Operations'!$A$2:$G$534, 7, 0)</f>
        <v>120</v>
      </c>
      <c r="H37" s="229">
        <f t="shared" si="4"/>
        <v>2</v>
      </c>
      <c r="I37" s="229">
        <f t="shared" si="5"/>
        <v>98692</v>
      </c>
      <c r="J37" s="230">
        <f t="shared" si="6"/>
        <v>1645</v>
      </c>
      <c r="L37">
        <f t="shared" si="9"/>
        <v>3</v>
      </c>
      <c r="M37">
        <f t="shared" si="10"/>
        <v>129</v>
      </c>
      <c r="N37">
        <f t="shared" si="11"/>
        <v>1078</v>
      </c>
      <c r="O37">
        <f t="shared" si="7"/>
        <v>6</v>
      </c>
      <c r="Q37" s="44"/>
      <c r="S37" s="225" t="str">
        <f t="shared" ref="S37:AR37" si="12">S2</f>
        <v>WS-02</v>
      </c>
      <c r="T37" s="225" t="str">
        <f t="shared" si="12"/>
        <v>WS-03</v>
      </c>
      <c r="U37" s="225" t="str">
        <f t="shared" si="12"/>
        <v>WS-04</v>
      </c>
      <c r="V37" s="225" t="str">
        <f t="shared" si="12"/>
        <v>WS-05</v>
      </c>
      <c r="W37" s="225" t="str">
        <f t="shared" si="12"/>
        <v>WS-07</v>
      </c>
      <c r="X37" s="225" t="str">
        <f t="shared" si="12"/>
        <v>WS-08</v>
      </c>
      <c r="Y37" s="225" t="str">
        <f t="shared" si="12"/>
        <v>WS-18</v>
      </c>
      <c r="Z37" s="225" t="str">
        <f t="shared" si="12"/>
        <v>WS-20</v>
      </c>
      <c r="AA37" s="225" t="str">
        <f t="shared" si="12"/>
        <v>WS-21</v>
      </c>
      <c r="AB37" s="225" t="str">
        <f t="shared" si="12"/>
        <v>WS-23</v>
      </c>
      <c r="AC37" s="225" t="str">
        <f t="shared" si="12"/>
        <v>WS-24</v>
      </c>
      <c r="AD37" s="225" t="str">
        <f t="shared" si="12"/>
        <v>WS-25</v>
      </c>
      <c r="AE37" s="225" t="str">
        <f t="shared" si="12"/>
        <v>WS-26</v>
      </c>
      <c r="AF37" s="225" t="str">
        <f t="shared" si="12"/>
        <v>WS-27</v>
      </c>
      <c r="AG37" s="225" t="str">
        <f t="shared" si="12"/>
        <v>WS-28</v>
      </c>
      <c r="AH37" s="225" t="str">
        <f t="shared" si="12"/>
        <v>WS-29</v>
      </c>
      <c r="AI37" s="225" t="str">
        <f t="shared" si="12"/>
        <v>WS-31</v>
      </c>
      <c r="AJ37" s="225" t="str">
        <f t="shared" si="12"/>
        <v>WS-32</v>
      </c>
      <c r="AK37" s="225" t="str">
        <f t="shared" si="12"/>
        <v>WS-33</v>
      </c>
      <c r="AL37" s="225" t="str">
        <f t="shared" si="12"/>
        <v>WS-34</v>
      </c>
      <c r="AM37" s="225" t="str">
        <f t="shared" si="12"/>
        <v>WS-36</v>
      </c>
      <c r="AN37" s="225" t="str">
        <f t="shared" si="12"/>
        <v>WS-38</v>
      </c>
      <c r="AO37" s="225" t="str">
        <f t="shared" si="12"/>
        <v>WS-40</v>
      </c>
      <c r="AP37" s="225" t="str">
        <f t="shared" si="12"/>
        <v>WS-42</v>
      </c>
      <c r="AQ37" s="225" t="str">
        <f t="shared" si="12"/>
        <v>WS-43</v>
      </c>
      <c r="AR37" s="225" t="str">
        <f t="shared" si="12"/>
        <v>WS-44</v>
      </c>
    </row>
    <row r="38" spans="1:44" x14ac:dyDescent="0.2">
      <c r="A38" s="45" t="s">
        <v>598</v>
      </c>
      <c r="B38" s="45" t="s">
        <v>194</v>
      </c>
      <c r="C38" s="230">
        <f>VLOOKUP(B38, 'S08 ABC Output'!$A$3:$C$18, 3, 0)</f>
        <v>36524</v>
      </c>
      <c r="D38" s="230">
        <f>VLOOKUP(B38, 'S12 Operations'!$C$2:$H$534, 6, 0)</f>
        <v>200</v>
      </c>
      <c r="E38" s="230">
        <f t="shared" si="3"/>
        <v>183</v>
      </c>
      <c r="F38" s="230">
        <f>VLOOKUP(A38, 'S11 Work Stations'!$A$2:$C$45, 3, 0)</f>
        <v>30</v>
      </c>
      <c r="G38" s="230">
        <f>VLOOKUP(B38&amp;"-"&amp;A38, 'S12 Operations'!$A$2:$G$534, 7, 0)</f>
        <v>180</v>
      </c>
      <c r="H38" s="229">
        <f t="shared" si="4"/>
        <v>3</v>
      </c>
      <c r="I38" s="229">
        <f t="shared" si="5"/>
        <v>115062</v>
      </c>
      <c r="J38" s="230">
        <f t="shared" si="6"/>
        <v>1918</v>
      </c>
      <c r="L38">
        <f t="shared" si="9"/>
        <v>4</v>
      </c>
      <c r="M38">
        <f t="shared" si="10"/>
        <v>129</v>
      </c>
      <c r="N38">
        <f t="shared" si="11"/>
        <v>1078</v>
      </c>
      <c r="O38">
        <f t="shared" si="7"/>
        <v>6</v>
      </c>
      <c r="Q38" s="44"/>
      <c r="S38" s="224">
        <f t="shared" ref="S38:AR38" si="13">SUM(S3:S18)-MAX(S3:S18)</f>
        <v>258</v>
      </c>
      <c r="T38" s="224">
        <f t="shared" si="13"/>
        <v>274</v>
      </c>
      <c r="U38" s="224">
        <f t="shared" si="13"/>
        <v>274</v>
      </c>
      <c r="V38" s="224">
        <f t="shared" si="13"/>
        <v>1052</v>
      </c>
      <c r="W38" s="224">
        <f t="shared" si="13"/>
        <v>1322</v>
      </c>
      <c r="X38" s="224">
        <f t="shared" si="13"/>
        <v>254</v>
      </c>
      <c r="Y38" s="224">
        <f t="shared" si="13"/>
        <v>258</v>
      </c>
      <c r="Z38" s="224">
        <f t="shared" si="13"/>
        <v>254</v>
      </c>
      <c r="AA38" s="224">
        <f t="shared" si="13"/>
        <v>639</v>
      </c>
      <c r="AB38" s="224">
        <f t="shared" si="13"/>
        <v>274</v>
      </c>
      <c r="AC38" s="224">
        <f t="shared" si="13"/>
        <v>258</v>
      </c>
      <c r="AD38" s="224">
        <f t="shared" si="13"/>
        <v>1052</v>
      </c>
      <c r="AE38" s="224">
        <f t="shared" si="13"/>
        <v>254</v>
      </c>
      <c r="AF38" s="224">
        <f t="shared" si="13"/>
        <v>639</v>
      </c>
      <c r="AG38" s="224">
        <f t="shared" si="13"/>
        <v>639</v>
      </c>
      <c r="AH38" s="224">
        <f t="shared" si="13"/>
        <v>258</v>
      </c>
      <c r="AI38" s="224">
        <f t="shared" si="13"/>
        <v>274</v>
      </c>
      <c r="AJ38" s="224">
        <f t="shared" si="13"/>
        <v>2029</v>
      </c>
      <c r="AK38" s="224">
        <f t="shared" si="13"/>
        <v>258</v>
      </c>
      <c r="AL38" s="224">
        <f t="shared" si="13"/>
        <v>1052</v>
      </c>
      <c r="AM38" s="224">
        <f t="shared" si="13"/>
        <v>1052</v>
      </c>
      <c r="AN38" s="224">
        <f t="shared" si="13"/>
        <v>639</v>
      </c>
      <c r="AO38" s="224">
        <f t="shared" si="13"/>
        <v>1648</v>
      </c>
      <c r="AP38" s="224">
        <f t="shared" si="13"/>
        <v>0</v>
      </c>
      <c r="AQ38" s="224">
        <f t="shared" si="13"/>
        <v>5043</v>
      </c>
      <c r="AR38" s="224">
        <f t="shared" si="13"/>
        <v>5043</v>
      </c>
    </row>
    <row r="39" spans="1:44" x14ac:dyDescent="0.2">
      <c r="A39" s="45" t="s">
        <v>598</v>
      </c>
      <c r="B39" s="45" t="s">
        <v>196</v>
      </c>
      <c r="C39" s="230">
        <f>VLOOKUP(B39, 'S08 ABC Output'!$A$3:$C$18, 3, 0)</f>
        <v>36502</v>
      </c>
      <c r="D39" s="230">
        <f>VLOOKUP(B39, 'S12 Operations'!$C$2:$H$534, 6, 0)</f>
        <v>200</v>
      </c>
      <c r="E39" s="230">
        <f t="shared" si="3"/>
        <v>183</v>
      </c>
      <c r="F39" s="230">
        <f>VLOOKUP(A39, 'S11 Work Stations'!$A$2:$C$45, 3, 0)</f>
        <v>30</v>
      </c>
      <c r="G39" s="230">
        <f>VLOOKUP(B39&amp;"-"&amp;A39, 'S12 Operations'!$A$2:$G$534, 7, 0)</f>
        <v>180</v>
      </c>
      <c r="H39" s="229">
        <f t="shared" si="4"/>
        <v>3</v>
      </c>
      <c r="I39" s="229">
        <f t="shared" si="5"/>
        <v>114996</v>
      </c>
      <c r="J39" s="230">
        <f t="shared" si="6"/>
        <v>1917</v>
      </c>
      <c r="L39">
        <f t="shared" si="9"/>
        <v>4</v>
      </c>
      <c r="M39">
        <f t="shared" si="10"/>
        <v>129</v>
      </c>
      <c r="N39">
        <f t="shared" si="11"/>
        <v>1078</v>
      </c>
      <c r="O39">
        <f t="shared" si="7"/>
        <v>6</v>
      </c>
      <c r="Q39" s="44"/>
    </row>
    <row r="40" spans="1:44" x14ac:dyDescent="0.2">
      <c r="A40" s="45" t="s">
        <v>598</v>
      </c>
      <c r="B40" s="45" t="s">
        <v>202</v>
      </c>
      <c r="C40" s="230">
        <f>VLOOKUP(B40, 'S08 ABC Output'!$A$3:$C$18, 3, 0)</f>
        <v>25649</v>
      </c>
      <c r="D40" s="230">
        <f>VLOOKUP(B40, 'S12 Operations'!$C$2:$H$534, 6, 0)</f>
        <v>200</v>
      </c>
      <c r="E40" s="230">
        <f t="shared" si="3"/>
        <v>129</v>
      </c>
      <c r="F40" s="230">
        <f>VLOOKUP(A40, 'S11 Work Stations'!$A$2:$C$45, 3, 0)</f>
        <v>30</v>
      </c>
      <c r="G40" s="230">
        <f>VLOOKUP(B40&amp;"-"&amp;A40, 'S12 Operations'!$A$2:$G$534, 7, 0)</f>
        <v>840</v>
      </c>
      <c r="H40" s="229">
        <f t="shared" si="4"/>
        <v>14</v>
      </c>
      <c r="I40" s="229">
        <f t="shared" si="5"/>
        <v>362956</v>
      </c>
      <c r="J40" s="230">
        <f t="shared" si="6"/>
        <v>6049</v>
      </c>
      <c r="L40">
        <f t="shared" si="9"/>
        <v>6</v>
      </c>
      <c r="M40">
        <f t="shared" si="10"/>
        <v>129</v>
      </c>
      <c r="N40">
        <f t="shared" si="11"/>
        <v>1078</v>
      </c>
      <c r="O40">
        <f t="shared" si="7"/>
        <v>6</v>
      </c>
      <c r="Q40" s="44"/>
    </row>
    <row r="41" spans="1:44" x14ac:dyDescent="0.2">
      <c r="A41" s="45" t="s">
        <v>599</v>
      </c>
      <c r="B41" s="45" t="s">
        <v>184</v>
      </c>
      <c r="C41" s="230">
        <f>VLOOKUP(B41, 'S08 ABC Output'!$A$3:$C$18, 3, 0)</f>
        <v>85612</v>
      </c>
      <c r="D41" s="230">
        <f>VLOOKUP(B41, 'S12 Operations'!$C$2:$H$534, 6, 0)</f>
        <v>200</v>
      </c>
      <c r="E41" s="230">
        <f t="shared" si="3"/>
        <v>429</v>
      </c>
      <c r="F41" s="230">
        <f>VLOOKUP(A41, 'S11 Work Stations'!$A$2:$C$45, 3, 0)</f>
        <v>30</v>
      </c>
      <c r="G41" s="230">
        <f>VLOOKUP(B41&amp;"-"&amp;A41, 'S12 Operations'!$A$2:$G$534, 7, 0)</f>
        <v>180</v>
      </c>
      <c r="H41" s="229">
        <f t="shared" si="4"/>
        <v>3</v>
      </c>
      <c r="I41" s="229">
        <f t="shared" si="5"/>
        <v>264456</v>
      </c>
      <c r="J41" s="230">
        <f t="shared" si="6"/>
        <v>4408</v>
      </c>
      <c r="L41">
        <f t="shared" si="9"/>
        <v>1</v>
      </c>
      <c r="M41">
        <f t="shared" si="10"/>
        <v>254</v>
      </c>
      <c r="N41">
        <f t="shared" si="11"/>
        <v>429</v>
      </c>
      <c r="O41">
        <f t="shared" si="7"/>
        <v>2</v>
      </c>
      <c r="Q41" s="44"/>
    </row>
    <row r="42" spans="1:44" x14ac:dyDescent="0.2">
      <c r="A42" s="45" t="s">
        <v>599</v>
      </c>
      <c r="B42" s="45" t="s">
        <v>190</v>
      </c>
      <c r="C42" s="230">
        <f>VLOOKUP(B42, 'S08 ABC Output'!$A$3:$C$18, 3, 0)</f>
        <v>50689</v>
      </c>
      <c r="D42" s="230">
        <f>VLOOKUP(B42, 'S12 Operations'!$C$2:$H$534, 6, 0)</f>
        <v>200</v>
      </c>
      <c r="E42" s="230">
        <f t="shared" si="3"/>
        <v>254</v>
      </c>
      <c r="F42" s="230">
        <f>VLOOKUP(A42, 'S11 Work Stations'!$A$2:$C$45, 3, 0)</f>
        <v>30</v>
      </c>
      <c r="G42" s="230">
        <f>VLOOKUP(B42&amp;"-"&amp;A42, 'S12 Operations'!$A$2:$G$534, 7, 0)</f>
        <v>120</v>
      </c>
      <c r="H42" s="229">
        <f t="shared" si="4"/>
        <v>2</v>
      </c>
      <c r="I42" s="229">
        <f t="shared" si="5"/>
        <v>108998</v>
      </c>
      <c r="J42" s="230">
        <f t="shared" si="6"/>
        <v>1817</v>
      </c>
      <c r="L42">
        <f t="shared" si="9"/>
        <v>2</v>
      </c>
      <c r="M42">
        <f t="shared" si="10"/>
        <v>254</v>
      </c>
      <c r="N42">
        <f t="shared" si="11"/>
        <v>429</v>
      </c>
      <c r="O42">
        <f t="shared" si="7"/>
        <v>2</v>
      </c>
      <c r="Q42" s="44"/>
    </row>
    <row r="43" spans="1:44" x14ac:dyDescent="0.2">
      <c r="A43" s="45" t="s">
        <v>600</v>
      </c>
      <c r="B43" s="45" t="s">
        <v>180</v>
      </c>
      <c r="C43" s="230">
        <f>VLOOKUP(B43, 'S08 ABC Output'!$A$3:$C$18, 3, 0)</f>
        <v>125036</v>
      </c>
      <c r="D43" s="230">
        <f>VLOOKUP(B43, 'S12 Operations'!$C$2:$H$534, 6, 0)</f>
        <v>200</v>
      </c>
      <c r="E43" s="230">
        <f t="shared" si="3"/>
        <v>626</v>
      </c>
      <c r="F43" s="230">
        <f>VLOOKUP(A43, 'S11 Work Stations'!$A$2:$C$45, 3, 0)</f>
        <v>30</v>
      </c>
      <c r="G43" s="230">
        <f>VLOOKUP(B43&amp;"-"&amp;A43, 'S12 Operations'!$A$2:$G$534, 7, 0)</f>
        <v>300</v>
      </c>
      <c r="H43" s="229">
        <f t="shared" si="4"/>
        <v>5</v>
      </c>
      <c r="I43" s="229">
        <f t="shared" si="5"/>
        <v>640480</v>
      </c>
      <c r="J43" s="230">
        <f t="shared" si="6"/>
        <v>10675</v>
      </c>
      <c r="L43">
        <f t="shared" si="9"/>
        <v>1</v>
      </c>
      <c r="M43">
        <f t="shared" si="10"/>
        <v>129</v>
      </c>
      <c r="N43">
        <f t="shared" si="11"/>
        <v>626</v>
      </c>
      <c r="O43">
        <f t="shared" si="7"/>
        <v>3</v>
      </c>
      <c r="Q43" s="44"/>
    </row>
    <row r="44" spans="1:44" x14ac:dyDescent="0.2">
      <c r="A44" s="45" t="s">
        <v>600</v>
      </c>
      <c r="B44" s="45" t="s">
        <v>200</v>
      </c>
      <c r="C44" s="230">
        <f>VLOOKUP(B44, 'S08 ABC Output'!$A$3:$C$18, 3, 0)</f>
        <v>25689</v>
      </c>
      <c r="D44" s="230">
        <f>VLOOKUP(B44, 'S12 Operations'!$C$2:$H$534, 6, 0)</f>
        <v>200</v>
      </c>
      <c r="E44" s="230">
        <f t="shared" si="3"/>
        <v>129</v>
      </c>
      <c r="F44" s="230">
        <f>VLOOKUP(A44, 'S11 Work Stations'!$A$2:$C$45, 3, 0)</f>
        <v>30</v>
      </c>
      <c r="G44" s="230">
        <f>VLOOKUP(B44&amp;"-"&amp;A44, 'S12 Operations'!$A$2:$G$534, 7, 0)</f>
        <v>540</v>
      </c>
      <c r="H44" s="229">
        <f t="shared" si="4"/>
        <v>9</v>
      </c>
      <c r="I44" s="229">
        <f t="shared" si="5"/>
        <v>235071</v>
      </c>
      <c r="J44" s="230">
        <f t="shared" si="6"/>
        <v>3918</v>
      </c>
      <c r="L44">
        <f t="shared" si="9"/>
        <v>3</v>
      </c>
      <c r="M44">
        <f t="shared" si="10"/>
        <v>129</v>
      </c>
      <c r="N44">
        <f t="shared" si="11"/>
        <v>626</v>
      </c>
      <c r="O44">
        <f t="shared" si="7"/>
        <v>3</v>
      </c>
      <c r="Q44" s="44"/>
    </row>
    <row r="45" spans="1:44" x14ac:dyDescent="0.2">
      <c r="A45" s="45" t="s">
        <v>600</v>
      </c>
      <c r="B45" s="45" t="s">
        <v>205</v>
      </c>
      <c r="C45" s="230">
        <f>VLOOKUP(B45, 'S08 ABC Output'!$A$3:$C$18, 3, 0)</f>
        <v>25468</v>
      </c>
      <c r="D45" s="230">
        <f>VLOOKUP(B45, 'S12 Operations'!$C$2:$H$534, 6, 0)</f>
        <v>50</v>
      </c>
      <c r="E45" s="230">
        <f t="shared" si="3"/>
        <v>510</v>
      </c>
      <c r="F45" s="230">
        <f>VLOOKUP(A45, 'S11 Work Stations'!$A$2:$C$45, 3, 0)</f>
        <v>30</v>
      </c>
      <c r="G45" s="230">
        <f>VLOOKUP(B45&amp;"-"&amp;A45, 'S12 Operations'!$A$2:$G$534, 7, 0)</f>
        <v>480</v>
      </c>
      <c r="H45" s="229">
        <f t="shared" si="4"/>
        <v>8</v>
      </c>
      <c r="I45" s="229">
        <f t="shared" si="5"/>
        <v>219044</v>
      </c>
      <c r="J45" s="230">
        <f t="shared" si="6"/>
        <v>3651</v>
      </c>
      <c r="L45">
        <f t="shared" si="9"/>
        <v>2</v>
      </c>
      <c r="M45">
        <f t="shared" si="10"/>
        <v>129</v>
      </c>
      <c r="N45">
        <f t="shared" si="11"/>
        <v>626</v>
      </c>
      <c r="O45">
        <f t="shared" si="7"/>
        <v>3</v>
      </c>
      <c r="Q45" s="44"/>
    </row>
    <row r="46" spans="1:44" x14ac:dyDescent="0.2">
      <c r="A46" s="45" t="s">
        <v>601</v>
      </c>
      <c r="B46" s="45" t="s">
        <v>180</v>
      </c>
      <c r="C46" s="230">
        <f>VLOOKUP(B46, 'S08 ABC Output'!$A$3:$C$18, 3, 0)</f>
        <v>125036</v>
      </c>
      <c r="D46" s="230">
        <f>VLOOKUP(B46, 'S12 Operations'!$C$2:$H$534, 6, 0)</f>
        <v>200</v>
      </c>
      <c r="E46" s="230">
        <f t="shared" si="3"/>
        <v>626</v>
      </c>
      <c r="F46" s="230">
        <f>VLOOKUP(A46, 'S11 Work Stations'!$A$2:$C$45, 3, 0)</f>
        <v>30</v>
      </c>
      <c r="G46" s="230">
        <f>VLOOKUP(B46&amp;"-"&amp;A46, 'S12 Operations'!$A$2:$G$534, 7, 0)</f>
        <v>480</v>
      </c>
      <c r="H46" s="229">
        <f t="shared" si="4"/>
        <v>8</v>
      </c>
      <c r="I46" s="229">
        <f t="shared" si="5"/>
        <v>1015588</v>
      </c>
      <c r="J46" s="230">
        <f t="shared" si="6"/>
        <v>16926</v>
      </c>
      <c r="L46">
        <f t="shared" si="9"/>
        <v>1</v>
      </c>
      <c r="M46">
        <f t="shared" si="10"/>
        <v>129</v>
      </c>
      <c r="N46">
        <f t="shared" si="11"/>
        <v>626</v>
      </c>
      <c r="O46">
        <f t="shared" si="7"/>
        <v>3</v>
      </c>
      <c r="Q46" s="44"/>
    </row>
    <row r="47" spans="1:44" x14ac:dyDescent="0.2">
      <c r="A47" s="45" t="s">
        <v>601</v>
      </c>
      <c r="B47" s="45" t="s">
        <v>200</v>
      </c>
      <c r="C47" s="230">
        <f>VLOOKUP(B47, 'S08 ABC Output'!$A$3:$C$18, 3, 0)</f>
        <v>25689</v>
      </c>
      <c r="D47" s="230">
        <f>VLOOKUP(B47, 'S12 Operations'!$C$2:$H$534, 6, 0)</f>
        <v>200</v>
      </c>
      <c r="E47" s="230">
        <f t="shared" si="3"/>
        <v>129</v>
      </c>
      <c r="F47" s="230">
        <f>VLOOKUP(A47, 'S11 Work Stations'!$A$2:$C$45, 3, 0)</f>
        <v>30</v>
      </c>
      <c r="G47" s="230">
        <f>VLOOKUP(B47&amp;"-"&amp;A47, 'S12 Operations'!$A$2:$G$534, 7, 0)</f>
        <v>300</v>
      </c>
      <c r="H47" s="229">
        <f t="shared" si="4"/>
        <v>5</v>
      </c>
      <c r="I47" s="229">
        <f t="shared" si="5"/>
        <v>132315</v>
      </c>
      <c r="J47" s="230">
        <f t="shared" si="6"/>
        <v>2205</v>
      </c>
      <c r="L47">
        <f t="shared" si="9"/>
        <v>3</v>
      </c>
      <c r="M47">
        <f t="shared" si="10"/>
        <v>129</v>
      </c>
      <c r="N47">
        <f t="shared" si="11"/>
        <v>626</v>
      </c>
      <c r="O47">
        <f t="shared" si="7"/>
        <v>3</v>
      </c>
      <c r="Q47" s="44"/>
    </row>
    <row r="48" spans="1:44" x14ac:dyDescent="0.2">
      <c r="A48" s="45" t="s">
        <v>601</v>
      </c>
      <c r="B48" s="45" t="s">
        <v>205</v>
      </c>
      <c r="C48" s="230">
        <f>VLOOKUP(B48, 'S08 ABC Output'!$A$3:$C$18, 3, 0)</f>
        <v>25468</v>
      </c>
      <c r="D48" s="230">
        <f>VLOOKUP(B48, 'S12 Operations'!$C$2:$H$534, 6, 0)</f>
        <v>50</v>
      </c>
      <c r="E48" s="230">
        <f t="shared" si="3"/>
        <v>510</v>
      </c>
      <c r="F48" s="230">
        <f>VLOOKUP(A48, 'S11 Work Stations'!$A$2:$C$45, 3, 0)</f>
        <v>30</v>
      </c>
      <c r="G48" s="230">
        <f>VLOOKUP(B48&amp;"-"&amp;A48, 'S12 Operations'!$A$2:$G$534, 7, 0)</f>
        <v>300</v>
      </c>
      <c r="H48" s="229">
        <f t="shared" si="4"/>
        <v>5</v>
      </c>
      <c r="I48" s="229">
        <f t="shared" si="5"/>
        <v>142640</v>
      </c>
      <c r="J48" s="230">
        <f t="shared" si="6"/>
        <v>2377</v>
      </c>
      <c r="L48">
        <f t="shared" si="9"/>
        <v>2</v>
      </c>
      <c r="M48">
        <f t="shared" si="10"/>
        <v>129</v>
      </c>
      <c r="N48">
        <f t="shared" si="11"/>
        <v>626</v>
      </c>
      <c r="O48">
        <f t="shared" si="7"/>
        <v>3</v>
      </c>
      <c r="Q48" s="44"/>
    </row>
    <row r="49" spans="1:17" x14ac:dyDescent="0.2">
      <c r="A49" s="45" t="s">
        <v>602</v>
      </c>
      <c r="B49" s="45" t="s">
        <v>176</v>
      </c>
      <c r="C49" s="230">
        <f>VLOOKUP(B49, 'S08 ABC Output'!$A$3:$C$18, 3, 0)</f>
        <v>250356</v>
      </c>
      <c r="D49" s="230">
        <f>VLOOKUP(B49, 'S12 Operations'!$C$2:$H$534, 6, 0)</f>
        <v>200</v>
      </c>
      <c r="E49" s="230">
        <f t="shared" si="3"/>
        <v>1252</v>
      </c>
      <c r="F49" s="230">
        <f>VLOOKUP(A49, 'S11 Work Stations'!$A$2:$C$45, 3, 0)</f>
        <v>20</v>
      </c>
      <c r="G49" s="230">
        <f>VLOOKUP(B49&amp;"-"&amp;A49, 'S12 Operations'!$A$2:$G$534, 7, 0)</f>
        <v>420</v>
      </c>
      <c r="H49" s="229">
        <f t="shared" si="4"/>
        <v>7</v>
      </c>
      <c r="I49" s="229">
        <f t="shared" si="5"/>
        <v>1755072</v>
      </c>
      <c r="J49" s="230">
        <f t="shared" si="6"/>
        <v>29251</v>
      </c>
      <c r="L49">
        <f t="shared" si="9"/>
        <v>1</v>
      </c>
      <c r="M49">
        <f t="shared" si="10"/>
        <v>129</v>
      </c>
      <c r="N49">
        <f t="shared" si="11"/>
        <v>1252</v>
      </c>
      <c r="O49">
        <f t="shared" si="7"/>
        <v>3</v>
      </c>
      <c r="Q49" s="44"/>
    </row>
    <row r="50" spans="1:17" x14ac:dyDescent="0.2">
      <c r="A50" s="45" t="s">
        <v>602</v>
      </c>
      <c r="B50" s="45" t="s">
        <v>198</v>
      </c>
      <c r="C50" s="230">
        <f>VLOOKUP(B50, 'S08 ABC Output'!$A$3:$C$18, 3, 0)</f>
        <v>25689</v>
      </c>
      <c r="D50" s="230">
        <f>VLOOKUP(B50, 'S12 Operations'!$C$2:$H$534, 6, 0)</f>
        <v>200</v>
      </c>
      <c r="E50" s="230">
        <f t="shared" si="3"/>
        <v>129</v>
      </c>
      <c r="F50" s="230">
        <f>VLOOKUP(A50, 'S11 Work Stations'!$A$2:$C$45, 3, 0)</f>
        <v>20</v>
      </c>
      <c r="G50" s="230">
        <f>VLOOKUP(B50&amp;"-"&amp;A50, 'S12 Operations'!$A$2:$G$534, 7, 0)</f>
        <v>480</v>
      </c>
      <c r="H50" s="229">
        <f t="shared" si="4"/>
        <v>8</v>
      </c>
      <c r="I50" s="229">
        <f t="shared" si="5"/>
        <v>208092</v>
      </c>
      <c r="J50" s="230">
        <f t="shared" si="6"/>
        <v>3468</v>
      </c>
      <c r="L50">
        <f t="shared" si="9"/>
        <v>2</v>
      </c>
      <c r="M50">
        <f t="shared" si="10"/>
        <v>129</v>
      </c>
      <c r="N50">
        <f t="shared" si="11"/>
        <v>1252</v>
      </c>
      <c r="O50">
        <f t="shared" si="7"/>
        <v>3</v>
      </c>
      <c r="Q50" s="44"/>
    </row>
    <row r="51" spans="1:17" x14ac:dyDescent="0.2">
      <c r="A51" s="45" t="s">
        <v>602</v>
      </c>
      <c r="B51" s="45" t="s">
        <v>203</v>
      </c>
      <c r="C51" s="230">
        <f>VLOOKUP(B51, 'S08 ABC Output'!$A$3:$C$18, 3, 0)</f>
        <v>25639</v>
      </c>
      <c r="D51" s="230">
        <f>VLOOKUP(B51, 'S12 Operations'!$C$2:$H$534, 6, 0)</f>
        <v>200</v>
      </c>
      <c r="E51" s="230">
        <f t="shared" si="3"/>
        <v>129</v>
      </c>
      <c r="F51" s="230">
        <f>VLOOKUP(A51, 'S11 Work Stations'!$A$2:$C$45, 3, 0)</f>
        <v>20</v>
      </c>
      <c r="G51" s="230">
        <f>VLOOKUP(B51&amp;"-"&amp;A51, 'S12 Operations'!$A$2:$G$534, 7, 0)</f>
        <v>120</v>
      </c>
      <c r="H51" s="229">
        <f t="shared" si="4"/>
        <v>2</v>
      </c>
      <c r="I51" s="229">
        <f t="shared" si="5"/>
        <v>53858</v>
      </c>
      <c r="J51" s="230">
        <f t="shared" si="6"/>
        <v>898</v>
      </c>
      <c r="L51">
        <f t="shared" si="9"/>
        <v>2</v>
      </c>
      <c r="M51">
        <f t="shared" si="10"/>
        <v>129</v>
      </c>
      <c r="N51">
        <f t="shared" si="11"/>
        <v>1252</v>
      </c>
      <c r="O51">
        <f t="shared" si="7"/>
        <v>3</v>
      </c>
      <c r="Q51" s="44"/>
    </row>
    <row r="52" spans="1:17" x14ac:dyDescent="0.2">
      <c r="A52" s="45" t="s">
        <v>604</v>
      </c>
      <c r="B52" s="45" t="s">
        <v>182</v>
      </c>
      <c r="C52" s="230">
        <f>VLOOKUP(B52, 'S08 ABC Output'!$A$3:$C$18, 3, 0)</f>
        <v>86542</v>
      </c>
      <c r="D52" s="230">
        <f>VLOOKUP(B52, 'S12 Operations'!$C$2:$H$534, 6, 0)</f>
        <v>200</v>
      </c>
      <c r="E52" s="230">
        <f t="shared" si="3"/>
        <v>433</v>
      </c>
      <c r="F52" s="230">
        <f>VLOOKUP(A52, 'S11 Work Stations'!$A$2:$C$45, 3, 0)</f>
        <v>30</v>
      </c>
      <c r="G52" s="230">
        <f>VLOOKUP(B52&amp;"-"&amp;A52, 'S12 Operations'!$A$2:$G$534, 7, 0)</f>
        <v>180</v>
      </c>
      <c r="H52" s="229">
        <f t="shared" si="4"/>
        <v>3</v>
      </c>
      <c r="I52" s="229">
        <f t="shared" si="5"/>
        <v>267846</v>
      </c>
      <c r="J52" s="230">
        <f t="shared" si="6"/>
        <v>4464</v>
      </c>
      <c r="L52">
        <f t="shared" si="9"/>
        <v>1</v>
      </c>
      <c r="M52">
        <f t="shared" si="10"/>
        <v>274</v>
      </c>
      <c r="N52">
        <f t="shared" si="11"/>
        <v>433</v>
      </c>
      <c r="O52">
        <f t="shared" si="7"/>
        <v>2</v>
      </c>
      <c r="Q52" s="44"/>
    </row>
    <row r="53" spans="1:17" x14ac:dyDescent="0.2">
      <c r="A53" s="45" t="s">
        <v>604</v>
      </c>
      <c r="B53" s="45" t="s">
        <v>188</v>
      </c>
      <c r="C53" s="230">
        <f>VLOOKUP(B53, 'S08 ABC Output'!$A$3:$C$18, 3, 0)</f>
        <v>54682</v>
      </c>
      <c r="D53" s="230">
        <f>VLOOKUP(B53, 'S12 Operations'!$C$2:$H$534, 6, 0)</f>
        <v>200</v>
      </c>
      <c r="E53" s="230">
        <f t="shared" si="3"/>
        <v>274</v>
      </c>
      <c r="F53" s="230">
        <f>VLOOKUP(A53, 'S11 Work Stations'!$A$2:$C$45, 3, 0)</f>
        <v>30</v>
      </c>
      <c r="G53" s="230">
        <f>VLOOKUP(B53&amp;"-"&amp;A53, 'S12 Operations'!$A$2:$G$534, 7, 0)</f>
        <v>180</v>
      </c>
      <c r="H53" s="229">
        <f t="shared" si="4"/>
        <v>3</v>
      </c>
      <c r="I53" s="229">
        <f t="shared" si="5"/>
        <v>172266</v>
      </c>
      <c r="J53" s="230">
        <f t="shared" si="6"/>
        <v>2871</v>
      </c>
      <c r="L53">
        <f t="shared" si="9"/>
        <v>2</v>
      </c>
      <c r="M53">
        <f t="shared" si="10"/>
        <v>274</v>
      </c>
      <c r="N53">
        <f t="shared" si="11"/>
        <v>433</v>
      </c>
      <c r="O53">
        <f t="shared" si="7"/>
        <v>2</v>
      </c>
    </row>
    <row r="54" spans="1:17" x14ac:dyDescent="0.2">
      <c r="A54" s="45" t="s">
        <v>605</v>
      </c>
      <c r="B54" s="45" t="s">
        <v>180</v>
      </c>
      <c r="C54" s="230">
        <f>VLOOKUP(B54, 'S08 ABC Output'!$A$3:$C$18, 3, 0)</f>
        <v>125036</v>
      </c>
      <c r="D54" s="230">
        <f>VLOOKUP(B54, 'S12 Operations'!$C$2:$H$534, 6, 0)</f>
        <v>200</v>
      </c>
      <c r="E54" s="230">
        <f t="shared" si="3"/>
        <v>626</v>
      </c>
      <c r="F54" s="230">
        <f>VLOOKUP(A54, 'S11 Work Stations'!$A$2:$C$45, 3, 0)</f>
        <v>40</v>
      </c>
      <c r="G54" s="230">
        <f>VLOOKUP(B54&amp;"-"&amp;A54, 'S12 Operations'!$A$2:$G$534, 7, 0)</f>
        <v>480</v>
      </c>
      <c r="H54" s="229">
        <f t="shared" si="4"/>
        <v>8</v>
      </c>
      <c r="I54" s="229">
        <f t="shared" si="5"/>
        <v>1020688</v>
      </c>
      <c r="J54" s="230">
        <f t="shared" si="6"/>
        <v>17011</v>
      </c>
      <c r="L54">
        <f t="shared" si="9"/>
        <v>1</v>
      </c>
      <c r="M54">
        <f t="shared" si="10"/>
        <v>129</v>
      </c>
      <c r="N54">
        <f t="shared" si="11"/>
        <v>626</v>
      </c>
      <c r="O54">
        <f t="shared" si="7"/>
        <v>7</v>
      </c>
    </row>
    <row r="55" spans="1:17" x14ac:dyDescent="0.2">
      <c r="A55" s="45" t="s">
        <v>605</v>
      </c>
      <c r="B55" s="45" t="s">
        <v>182</v>
      </c>
      <c r="C55" s="230">
        <f>VLOOKUP(B55, 'S08 ABC Output'!$A$3:$C$18, 3, 0)</f>
        <v>86542</v>
      </c>
      <c r="D55" s="230">
        <f>VLOOKUP(B55, 'S12 Operations'!$C$2:$H$534, 6, 0)</f>
        <v>200</v>
      </c>
      <c r="E55" s="230">
        <f t="shared" si="3"/>
        <v>433</v>
      </c>
      <c r="F55" s="230">
        <f>VLOOKUP(A55, 'S11 Work Stations'!$A$2:$C$45, 3, 0)</f>
        <v>40</v>
      </c>
      <c r="G55" s="230">
        <f>VLOOKUP(B55&amp;"-"&amp;A55, 'S12 Operations'!$A$2:$G$534, 7, 0)</f>
        <v>780</v>
      </c>
      <c r="H55" s="229">
        <f t="shared" si="4"/>
        <v>13</v>
      </c>
      <c r="I55" s="229">
        <f t="shared" si="5"/>
        <v>1142366</v>
      </c>
      <c r="J55" s="230">
        <f t="shared" si="6"/>
        <v>19039</v>
      </c>
      <c r="L55">
        <f t="shared" si="9"/>
        <v>3</v>
      </c>
      <c r="M55">
        <f t="shared" si="10"/>
        <v>129</v>
      </c>
      <c r="N55">
        <f t="shared" si="11"/>
        <v>626</v>
      </c>
      <c r="O55">
        <f t="shared" si="7"/>
        <v>7</v>
      </c>
    </row>
    <row r="56" spans="1:17" x14ac:dyDescent="0.2">
      <c r="A56" s="45" t="s">
        <v>605</v>
      </c>
      <c r="B56" s="45" t="s">
        <v>184</v>
      </c>
      <c r="C56" s="230">
        <f>VLOOKUP(B56, 'S08 ABC Output'!$A$3:$C$18, 3, 0)</f>
        <v>85612</v>
      </c>
      <c r="D56" s="230">
        <f>VLOOKUP(B56, 'S12 Operations'!$C$2:$H$534, 6, 0)</f>
        <v>200</v>
      </c>
      <c r="E56" s="230">
        <f t="shared" si="3"/>
        <v>429</v>
      </c>
      <c r="F56" s="230">
        <f>VLOOKUP(A56, 'S11 Work Stations'!$A$2:$C$45, 3, 0)</f>
        <v>40</v>
      </c>
      <c r="G56" s="230">
        <f>VLOOKUP(B56&amp;"-"&amp;A56, 'S12 Operations'!$A$2:$G$534, 7, 0)</f>
        <v>180</v>
      </c>
      <c r="H56" s="229">
        <f t="shared" si="4"/>
        <v>3</v>
      </c>
      <c r="I56" s="229">
        <f t="shared" si="5"/>
        <v>273996</v>
      </c>
      <c r="J56" s="230">
        <f t="shared" si="6"/>
        <v>4567</v>
      </c>
      <c r="L56">
        <f t="shared" si="9"/>
        <v>4</v>
      </c>
      <c r="M56">
        <f t="shared" si="10"/>
        <v>129</v>
      </c>
      <c r="N56">
        <f t="shared" si="11"/>
        <v>626</v>
      </c>
      <c r="O56">
        <f t="shared" si="7"/>
        <v>7</v>
      </c>
    </row>
    <row r="57" spans="1:17" x14ac:dyDescent="0.2">
      <c r="A57" s="45" t="s">
        <v>605</v>
      </c>
      <c r="B57" s="45" t="s">
        <v>188</v>
      </c>
      <c r="C57" s="230">
        <f>VLOOKUP(B57, 'S08 ABC Output'!$A$3:$C$18, 3, 0)</f>
        <v>54682</v>
      </c>
      <c r="D57" s="230">
        <f>VLOOKUP(B57, 'S12 Operations'!$C$2:$H$534, 6, 0)</f>
        <v>200</v>
      </c>
      <c r="E57" s="230">
        <f t="shared" si="3"/>
        <v>274</v>
      </c>
      <c r="F57" s="230">
        <f>VLOOKUP(A57, 'S11 Work Stations'!$A$2:$C$45, 3, 0)</f>
        <v>40</v>
      </c>
      <c r="G57" s="230">
        <f>VLOOKUP(B57&amp;"-"&amp;A57, 'S12 Operations'!$A$2:$G$534, 7, 0)</f>
        <v>180</v>
      </c>
      <c r="H57" s="229">
        <f t="shared" si="4"/>
        <v>3</v>
      </c>
      <c r="I57" s="229">
        <f t="shared" si="5"/>
        <v>175006</v>
      </c>
      <c r="J57" s="230">
        <f t="shared" si="6"/>
        <v>2917</v>
      </c>
      <c r="L57">
        <f t="shared" si="9"/>
        <v>5</v>
      </c>
      <c r="M57">
        <f t="shared" si="10"/>
        <v>129</v>
      </c>
      <c r="N57">
        <f t="shared" si="11"/>
        <v>626</v>
      </c>
      <c r="O57">
        <f t="shared" si="7"/>
        <v>7</v>
      </c>
    </row>
    <row r="58" spans="1:17" x14ac:dyDescent="0.2">
      <c r="A58" s="45" t="s">
        <v>605</v>
      </c>
      <c r="B58" s="45" t="s">
        <v>190</v>
      </c>
      <c r="C58" s="230">
        <f>VLOOKUP(B58, 'S08 ABC Output'!$A$3:$C$18, 3, 0)</f>
        <v>50689</v>
      </c>
      <c r="D58" s="230">
        <f>VLOOKUP(B58, 'S12 Operations'!$C$2:$H$534, 6, 0)</f>
        <v>200</v>
      </c>
      <c r="E58" s="230">
        <f t="shared" si="3"/>
        <v>254</v>
      </c>
      <c r="F58" s="230">
        <f>VLOOKUP(A58, 'S11 Work Stations'!$A$2:$C$45, 3, 0)</f>
        <v>40</v>
      </c>
      <c r="G58" s="230">
        <f>VLOOKUP(B58&amp;"-"&amp;A58, 'S12 Operations'!$A$2:$G$534, 7, 0)</f>
        <v>360</v>
      </c>
      <c r="H58" s="229">
        <f t="shared" si="4"/>
        <v>6</v>
      </c>
      <c r="I58" s="229">
        <f t="shared" si="5"/>
        <v>314294</v>
      </c>
      <c r="J58" s="230">
        <f t="shared" si="6"/>
        <v>5238</v>
      </c>
      <c r="L58">
        <f t="shared" si="9"/>
        <v>6</v>
      </c>
      <c r="M58">
        <f t="shared" si="10"/>
        <v>129</v>
      </c>
      <c r="N58">
        <f t="shared" si="11"/>
        <v>626</v>
      </c>
      <c r="O58">
        <f t="shared" si="7"/>
        <v>7</v>
      </c>
    </row>
    <row r="59" spans="1:17" x14ac:dyDescent="0.2">
      <c r="A59" s="45" t="s">
        <v>605</v>
      </c>
      <c r="B59" s="45" t="s">
        <v>200</v>
      </c>
      <c r="C59" s="230">
        <f>VLOOKUP(B59, 'S08 ABC Output'!$A$3:$C$18, 3, 0)</f>
        <v>25689</v>
      </c>
      <c r="D59" s="230">
        <f>VLOOKUP(B59, 'S12 Operations'!$C$2:$H$534, 6, 0)</f>
        <v>200</v>
      </c>
      <c r="E59" s="230">
        <f t="shared" si="3"/>
        <v>129</v>
      </c>
      <c r="F59" s="230">
        <f>VLOOKUP(A59, 'S11 Work Stations'!$A$2:$C$45, 3, 0)</f>
        <v>40</v>
      </c>
      <c r="G59" s="230">
        <f>VLOOKUP(B59&amp;"-"&amp;A59, 'S12 Operations'!$A$2:$G$534, 7, 0)</f>
        <v>180</v>
      </c>
      <c r="H59" s="229">
        <f t="shared" si="4"/>
        <v>3</v>
      </c>
      <c r="I59" s="229">
        <f t="shared" si="5"/>
        <v>82227</v>
      </c>
      <c r="J59" s="230">
        <f t="shared" si="6"/>
        <v>1370</v>
      </c>
      <c r="L59">
        <f t="shared" si="9"/>
        <v>7</v>
      </c>
      <c r="M59">
        <f t="shared" si="10"/>
        <v>129</v>
      </c>
      <c r="N59">
        <f t="shared" si="11"/>
        <v>626</v>
      </c>
      <c r="O59">
        <f t="shared" si="7"/>
        <v>7</v>
      </c>
    </row>
    <row r="60" spans="1:17" x14ac:dyDescent="0.2">
      <c r="A60" s="45" t="s">
        <v>605</v>
      </c>
      <c r="B60" s="45" t="s">
        <v>205</v>
      </c>
      <c r="C60" s="230">
        <f>VLOOKUP(B60, 'S08 ABC Output'!$A$3:$C$18, 3, 0)</f>
        <v>25468</v>
      </c>
      <c r="D60" s="230">
        <f>VLOOKUP(B60, 'S12 Operations'!$C$2:$H$534, 6, 0)</f>
        <v>50</v>
      </c>
      <c r="E60" s="230">
        <f t="shared" si="3"/>
        <v>510</v>
      </c>
      <c r="F60" s="230">
        <f>VLOOKUP(A60, 'S11 Work Stations'!$A$2:$C$45, 3, 0)</f>
        <v>40</v>
      </c>
      <c r="G60" s="230">
        <f>VLOOKUP(B60&amp;"-"&amp;A60, 'S12 Operations'!$A$2:$G$534, 7, 0)</f>
        <v>300</v>
      </c>
      <c r="H60" s="229">
        <f t="shared" si="4"/>
        <v>5</v>
      </c>
      <c r="I60" s="229">
        <f t="shared" si="5"/>
        <v>147740</v>
      </c>
      <c r="J60" s="230">
        <f t="shared" si="6"/>
        <v>2462</v>
      </c>
      <c r="L60">
        <f t="shared" si="9"/>
        <v>2</v>
      </c>
      <c r="M60">
        <f t="shared" si="10"/>
        <v>129</v>
      </c>
      <c r="N60">
        <f t="shared" si="11"/>
        <v>626</v>
      </c>
      <c r="O60">
        <f t="shared" si="7"/>
        <v>7</v>
      </c>
    </row>
    <row r="61" spans="1:17" x14ac:dyDescent="0.2">
      <c r="A61" s="45" t="s">
        <v>606</v>
      </c>
      <c r="B61" s="45" t="s">
        <v>176</v>
      </c>
      <c r="C61" s="230">
        <f>VLOOKUP(B61, 'S08 ABC Output'!$A$3:$C$18, 3, 0)</f>
        <v>250356</v>
      </c>
      <c r="D61" s="230">
        <f>VLOOKUP(B61, 'S12 Operations'!$C$2:$H$534, 6, 0)</f>
        <v>200</v>
      </c>
      <c r="E61" s="230">
        <f t="shared" si="3"/>
        <v>1252</v>
      </c>
      <c r="F61" s="230">
        <f>VLOOKUP(A61, 'S11 Work Stations'!$A$2:$C$45, 3, 0)</f>
        <v>30</v>
      </c>
      <c r="G61" s="230">
        <f>VLOOKUP(B61&amp;"-"&amp;A61, 'S12 Operations'!$A$2:$G$534, 7, 0)</f>
        <v>180</v>
      </c>
      <c r="H61" s="229">
        <f t="shared" si="4"/>
        <v>3</v>
      </c>
      <c r="I61" s="229">
        <f t="shared" si="5"/>
        <v>754938</v>
      </c>
      <c r="J61" s="230">
        <f t="shared" si="6"/>
        <v>12582</v>
      </c>
      <c r="L61">
        <f t="shared" si="9"/>
        <v>1</v>
      </c>
      <c r="M61">
        <f t="shared" si="10"/>
        <v>129</v>
      </c>
      <c r="N61">
        <f t="shared" si="11"/>
        <v>1252</v>
      </c>
      <c r="O61">
        <f t="shared" si="7"/>
        <v>3</v>
      </c>
    </row>
    <row r="62" spans="1:17" x14ac:dyDescent="0.2">
      <c r="A62" s="45" t="s">
        <v>606</v>
      </c>
      <c r="B62" s="45" t="s">
        <v>198</v>
      </c>
      <c r="C62" s="230">
        <f>VLOOKUP(B62, 'S08 ABC Output'!$A$3:$C$18, 3, 0)</f>
        <v>25689</v>
      </c>
      <c r="D62" s="230">
        <f>VLOOKUP(B62, 'S12 Operations'!$C$2:$H$534, 6, 0)</f>
        <v>200</v>
      </c>
      <c r="E62" s="230">
        <f t="shared" si="3"/>
        <v>129</v>
      </c>
      <c r="F62" s="230">
        <f>VLOOKUP(A62, 'S11 Work Stations'!$A$2:$C$45, 3, 0)</f>
        <v>30</v>
      </c>
      <c r="G62" s="230">
        <f>VLOOKUP(B62&amp;"-"&amp;A62, 'S12 Operations'!$A$2:$G$534, 7, 0)</f>
        <v>600</v>
      </c>
      <c r="H62" s="229">
        <f t="shared" si="4"/>
        <v>10</v>
      </c>
      <c r="I62" s="229">
        <f t="shared" si="5"/>
        <v>260760</v>
      </c>
      <c r="J62" s="230">
        <f t="shared" si="6"/>
        <v>4346</v>
      </c>
      <c r="L62">
        <f t="shared" si="9"/>
        <v>2</v>
      </c>
      <c r="M62">
        <f t="shared" si="10"/>
        <v>129</v>
      </c>
      <c r="N62">
        <f t="shared" si="11"/>
        <v>1252</v>
      </c>
      <c r="O62">
        <f t="shared" si="7"/>
        <v>3</v>
      </c>
    </row>
    <row r="63" spans="1:17" x14ac:dyDescent="0.2">
      <c r="A63" s="45" t="s">
        <v>606</v>
      </c>
      <c r="B63" s="45" t="s">
        <v>203</v>
      </c>
      <c r="C63" s="230">
        <f>VLOOKUP(B63, 'S08 ABC Output'!$A$3:$C$18, 3, 0)</f>
        <v>25639</v>
      </c>
      <c r="D63" s="230">
        <f>VLOOKUP(B63, 'S12 Operations'!$C$2:$H$534, 6, 0)</f>
        <v>200</v>
      </c>
      <c r="E63" s="230">
        <f t="shared" si="3"/>
        <v>129</v>
      </c>
      <c r="F63" s="230">
        <f>VLOOKUP(A63, 'S11 Work Stations'!$A$2:$C$45, 3, 0)</f>
        <v>30</v>
      </c>
      <c r="G63" s="230">
        <f>VLOOKUP(B63&amp;"-"&amp;A63, 'S12 Operations'!$A$2:$G$534, 7, 0)</f>
        <v>180</v>
      </c>
      <c r="H63" s="229">
        <f t="shared" si="4"/>
        <v>3</v>
      </c>
      <c r="I63" s="229">
        <f t="shared" si="5"/>
        <v>80787</v>
      </c>
      <c r="J63" s="230">
        <f t="shared" si="6"/>
        <v>1346</v>
      </c>
      <c r="L63">
        <f t="shared" si="9"/>
        <v>2</v>
      </c>
      <c r="M63">
        <f t="shared" si="10"/>
        <v>129</v>
      </c>
      <c r="N63">
        <f t="shared" si="11"/>
        <v>1252</v>
      </c>
      <c r="O63">
        <f t="shared" si="7"/>
        <v>3</v>
      </c>
    </row>
    <row r="64" spans="1:17" x14ac:dyDescent="0.2">
      <c r="A64" s="45" t="s">
        <v>607</v>
      </c>
      <c r="B64" s="45" t="s">
        <v>178</v>
      </c>
      <c r="C64" s="230">
        <f>VLOOKUP(B64, 'S08 ABC Output'!$A$3:$C$18, 3, 0)</f>
        <v>215425</v>
      </c>
      <c r="D64" s="230">
        <f>VLOOKUP(B64, 'S12 Operations'!$C$2:$H$534, 6, 0)</f>
        <v>200</v>
      </c>
      <c r="E64" s="230">
        <f t="shared" si="3"/>
        <v>1078</v>
      </c>
      <c r="F64" s="230">
        <f>VLOOKUP(A64, 'S11 Work Stations'!$A$2:$C$45, 3, 0)</f>
        <v>35</v>
      </c>
      <c r="G64" s="230">
        <f>VLOOKUP(B64&amp;"-"&amp;A64, 'S12 Operations'!$A$2:$G$534, 7, 0)</f>
        <v>600</v>
      </c>
      <c r="H64" s="229">
        <f t="shared" si="4"/>
        <v>10</v>
      </c>
      <c r="I64" s="229">
        <f t="shared" si="5"/>
        <v>2165695</v>
      </c>
      <c r="J64" s="230">
        <f t="shared" si="6"/>
        <v>36095</v>
      </c>
      <c r="L64">
        <f t="shared" si="9"/>
        <v>1</v>
      </c>
      <c r="M64">
        <f t="shared" si="10"/>
        <v>129</v>
      </c>
      <c r="N64">
        <f t="shared" si="11"/>
        <v>1078</v>
      </c>
      <c r="O64">
        <f t="shared" si="7"/>
        <v>6</v>
      </c>
    </row>
    <row r="65" spans="1:15" x14ac:dyDescent="0.2">
      <c r="A65" s="45" t="s">
        <v>607</v>
      </c>
      <c r="B65" s="45" t="s">
        <v>186</v>
      </c>
      <c r="C65" s="230">
        <f>VLOOKUP(B65, 'S08 ABC Output'!$A$3:$C$18, 3, 0)</f>
        <v>65248</v>
      </c>
      <c r="D65" s="230">
        <f>VLOOKUP(B65, 'S12 Operations'!$C$2:$H$534, 6, 0)</f>
        <v>200</v>
      </c>
      <c r="E65" s="230">
        <f t="shared" si="3"/>
        <v>327</v>
      </c>
      <c r="F65" s="230">
        <f>VLOOKUP(A65, 'S11 Work Stations'!$A$2:$C$45, 3, 0)</f>
        <v>35</v>
      </c>
      <c r="G65" s="230">
        <f>VLOOKUP(B65&amp;"-"&amp;A65, 'S12 Operations'!$A$2:$G$534, 7, 0)</f>
        <v>480</v>
      </c>
      <c r="H65" s="229">
        <f t="shared" si="4"/>
        <v>8</v>
      </c>
      <c r="I65" s="229">
        <f t="shared" si="5"/>
        <v>533429</v>
      </c>
      <c r="J65" s="230">
        <f t="shared" si="6"/>
        <v>8890</v>
      </c>
      <c r="L65">
        <f t="shared" si="9"/>
        <v>2</v>
      </c>
      <c r="M65">
        <f t="shared" si="10"/>
        <v>129</v>
      </c>
      <c r="N65">
        <f t="shared" si="11"/>
        <v>1078</v>
      </c>
      <c r="O65">
        <f t="shared" si="7"/>
        <v>6</v>
      </c>
    </row>
    <row r="66" spans="1:15" x14ac:dyDescent="0.2">
      <c r="A66" s="45" t="s">
        <v>607</v>
      </c>
      <c r="B66" s="45" t="s">
        <v>192</v>
      </c>
      <c r="C66" s="230">
        <f>VLOOKUP(B66, 'S08 ABC Output'!$A$3:$C$18, 3, 0)</f>
        <v>45896</v>
      </c>
      <c r="D66" s="230">
        <f>VLOOKUP(B66, 'S12 Operations'!$C$2:$H$534, 6, 0)</f>
        <v>200</v>
      </c>
      <c r="E66" s="230">
        <f t="shared" si="3"/>
        <v>230</v>
      </c>
      <c r="F66" s="230">
        <f>VLOOKUP(A66, 'S11 Work Stations'!$A$2:$C$45, 3, 0)</f>
        <v>35</v>
      </c>
      <c r="G66" s="230">
        <f>VLOOKUP(B66&amp;"-"&amp;A66, 'S12 Operations'!$A$2:$G$534, 7, 0)</f>
        <v>3600</v>
      </c>
      <c r="H66" s="229">
        <f t="shared" si="4"/>
        <v>60</v>
      </c>
      <c r="I66" s="229">
        <f t="shared" si="5"/>
        <v>2761810</v>
      </c>
      <c r="J66" s="230">
        <f t="shared" si="6"/>
        <v>46030</v>
      </c>
      <c r="L66">
        <f t="shared" ref="L66:L97" si="14">RANK(HLOOKUP(A66,$S$19:$AR$36,MATCH(E66,INDEX($S$19:$AR$35, ,HLOOKUP(A66,$S$19:$AR$36,18,0)),0),0),INDEX($S$19:$AR$35, ,HLOOKUP(A66,$S$19:$AR$36,18,0)),0)</f>
        <v>3</v>
      </c>
      <c r="M66">
        <f t="shared" ref="M66:M97" si="15">MIN(_xlfn.IFS($A66=$S$2,$S$3:$S$18,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129</v>
      </c>
      <c r="N66">
        <f t="shared" ref="N66:N97" si="16">MAX(_xlfn.IFS($A66=$S$2,$S$3:$S$18,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1078</v>
      </c>
      <c r="O66">
        <f t="shared" si="7"/>
        <v>6</v>
      </c>
    </row>
    <row r="67" spans="1:15" x14ac:dyDescent="0.2">
      <c r="A67" s="45" t="s">
        <v>607</v>
      </c>
      <c r="B67" s="45" t="s">
        <v>194</v>
      </c>
      <c r="C67" s="230">
        <f>VLOOKUP(B67, 'S08 ABC Output'!$A$3:$C$18, 3, 0)</f>
        <v>36524</v>
      </c>
      <c r="D67" s="230">
        <f>VLOOKUP(B67, 'S12 Operations'!$C$2:$H$534, 6, 0)</f>
        <v>200</v>
      </c>
      <c r="E67" s="230">
        <f t="shared" ref="E67:E118" si="17">ROUNDUP(C67/D67, 0)</f>
        <v>183</v>
      </c>
      <c r="F67" s="230">
        <f>VLOOKUP(A67, 'S11 Work Stations'!$A$2:$C$45, 3, 0)</f>
        <v>35</v>
      </c>
      <c r="G67" s="230">
        <f>VLOOKUP(B67&amp;"-"&amp;A67, 'S12 Operations'!$A$2:$G$534, 7, 0)</f>
        <v>900</v>
      </c>
      <c r="H67" s="229">
        <f t="shared" ref="H67:H118" si="18">G67/60</f>
        <v>15</v>
      </c>
      <c r="I67" s="229">
        <f t="shared" ref="I67:I118" si="19">(C67*H67)+ (IF(O67=1,0,HLOOKUP(A67,$S$19:$AR$35,L67+IF(E67=N67,2,1),0)))*F67</f>
        <v>554265</v>
      </c>
      <c r="J67" s="230">
        <f t="shared" ref="J67:J118" si="20">ROUND(I67/60, 0)</f>
        <v>9238</v>
      </c>
      <c r="L67">
        <f t="shared" si="14"/>
        <v>4</v>
      </c>
      <c r="M67">
        <f t="shared" si="15"/>
        <v>129</v>
      </c>
      <c r="N67">
        <f t="shared" si="16"/>
        <v>1078</v>
      </c>
      <c r="O67">
        <f t="shared" ref="O67:O117" si="21">COUNT(_xlfn.IFS($A67=$S$2,$S$3:$S$18, $A67=$T$2,$T$3:$T$18, $A67=$U$2,$U$3:$U$18, $A67=$V$2,$V$3:$V$18, $A67=$W$2,$W$3:$W$18, $A67=$X$2, $X$3:$X$18, $A67=$Y$2,$Y$3:$Y$18, $A67=$Z$2,$Z$3:$Z$18, $A67=$AA$2,$AA$3:$AA$18, $A67=$AB$2,$AB$3:$AB$18, $A67=$AC$2,$AC$3:$AC$18, $A67=$AD$2,$AD$3:$AD$18, $A67=$AE$2,$AE$3:$AE$18, $A67=$AF$2,$AF$3:$AF$18, $A67=$AG$2,$AG$3:$AG$18, $A67=$AH$2,$AH$3:$AH$18, $A67=$AI$2,$AI$3:$AI$18, $A67=$AJ$2,$AJ$3:$AJ$18, $A67=$AK$2,$AK$3:$AK$18, $A67=$AL$2,$AL$3:$AL$18, $A67=$AM$2,$AM$3:$AM$18, $A67=$AN$2,$AN$3:$AN$18, $A67=$AO$2,$AO$3:$AO$18, $A67=$AP$2,$AP$3:$AP$18, $A67=$AQ$2,$AQ$3:$AQ$18, $A67=$AR$2,$AR$3:$AR$18))</f>
        <v>6</v>
      </c>
    </row>
    <row r="68" spans="1:15" x14ac:dyDescent="0.2">
      <c r="A68" s="45" t="s">
        <v>607</v>
      </c>
      <c r="B68" s="45" t="s">
        <v>196</v>
      </c>
      <c r="C68" s="230">
        <f>VLOOKUP(B68, 'S08 ABC Output'!$A$3:$C$18, 3, 0)</f>
        <v>36502</v>
      </c>
      <c r="D68" s="230">
        <f>VLOOKUP(B68, 'S12 Operations'!$C$2:$H$534, 6, 0)</f>
        <v>200</v>
      </c>
      <c r="E68" s="230">
        <f t="shared" si="17"/>
        <v>183</v>
      </c>
      <c r="F68" s="230">
        <f>VLOOKUP(A68, 'S11 Work Stations'!$A$2:$C$45, 3, 0)</f>
        <v>35</v>
      </c>
      <c r="G68" s="230">
        <f>VLOOKUP(B68&amp;"-"&amp;A68, 'S12 Operations'!$A$2:$G$534, 7, 0)</f>
        <v>240</v>
      </c>
      <c r="H68" s="229">
        <f t="shared" si="18"/>
        <v>4</v>
      </c>
      <c r="I68" s="229">
        <f t="shared" si="19"/>
        <v>152413</v>
      </c>
      <c r="J68" s="230">
        <f t="shared" si="20"/>
        <v>2540</v>
      </c>
      <c r="L68">
        <f t="shared" si="14"/>
        <v>4</v>
      </c>
      <c r="M68">
        <f t="shared" si="15"/>
        <v>129</v>
      </c>
      <c r="N68">
        <f t="shared" si="16"/>
        <v>1078</v>
      </c>
      <c r="O68">
        <f t="shared" si="21"/>
        <v>6</v>
      </c>
    </row>
    <row r="69" spans="1:15" x14ac:dyDescent="0.2">
      <c r="A69" s="45" t="s">
        <v>607</v>
      </c>
      <c r="B69" s="45" t="s">
        <v>202</v>
      </c>
      <c r="C69" s="230">
        <f>VLOOKUP(B69, 'S08 ABC Output'!$A$3:$C$18, 3, 0)</f>
        <v>25649</v>
      </c>
      <c r="D69" s="230">
        <f>VLOOKUP(B69, 'S12 Operations'!$C$2:$H$534, 6, 0)</f>
        <v>200</v>
      </c>
      <c r="E69" s="230">
        <f t="shared" si="17"/>
        <v>129</v>
      </c>
      <c r="F69" s="230">
        <f>VLOOKUP(A69, 'S11 Work Stations'!$A$2:$C$45, 3, 0)</f>
        <v>35</v>
      </c>
      <c r="G69" s="230">
        <f>VLOOKUP(B69&amp;"-"&amp;A69, 'S12 Operations'!$A$2:$G$534, 7, 0)</f>
        <v>480</v>
      </c>
      <c r="H69" s="229">
        <f t="shared" si="18"/>
        <v>8</v>
      </c>
      <c r="I69" s="229">
        <f t="shared" si="19"/>
        <v>209707</v>
      </c>
      <c r="J69" s="230">
        <f t="shared" si="20"/>
        <v>3495</v>
      </c>
      <c r="L69">
        <f t="shared" si="14"/>
        <v>6</v>
      </c>
      <c r="M69">
        <f t="shared" si="15"/>
        <v>129</v>
      </c>
      <c r="N69">
        <f t="shared" si="16"/>
        <v>1078</v>
      </c>
      <c r="O69">
        <f t="shared" si="21"/>
        <v>6</v>
      </c>
    </row>
    <row r="70" spans="1:15" x14ac:dyDescent="0.2">
      <c r="A70" s="45" t="s">
        <v>609</v>
      </c>
      <c r="B70" s="45" t="s">
        <v>178</v>
      </c>
      <c r="C70" s="230">
        <f>VLOOKUP(B70, 'S08 ABC Output'!$A$3:$C$18, 3, 0)</f>
        <v>215425</v>
      </c>
      <c r="D70" s="230">
        <f>VLOOKUP(B70, 'S12 Operations'!$C$2:$H$534, 6, 0)</f>
        <v>200</v>
      </c>
      <c r="E70" s="230">
        <f t="shared" si="17"/>
        <v>1078</v>
      </c>
      <c r="F70" s="230">
        <f>VLOOKUP(A70, 'S11 Work Stations'!$A$2:$C$45, 3, 0)</f>
        <v>40</v>
      </c>
      <c r="G70" s="230">
        <f>VLOOKUP(B70&amp;"-"&amp;A70, 'S12 Operations'!$A$2:$G$534, 7, 0)</f>
        <v>120</v>
      </c>
      <c r="H70" s="229">
        <f t="shared" si="18"/>
        <v>2</v>
      </c>
      <c r="I70" s="229">
        <f t="shared" si="19"/>
        <v>443930</v>
      </c>
      <c r="J70" s="230">
        <f t="shared" si="20"/>
        <v>7399</v>
      </c>
      <c r="L70">
        <f t="shared" si="14"/>
        <v>1</v>
      </c>
      <c r="M70">
        <f t="shared" si="15"/>
        <v>129</v>
      </c>
      <c r="N70">
        <f t="shared" si="16"/>
        <v>1078</v>
      </c>
      <c r="O70">
        <f t="shared" si="21"/>
        <v>6</v>
      </c>
    </row>
    <row r="71" spans="1:15" x14ac:dyDescent="0.2">
      <c r="A71" s="45" t="s">
        <v>609</v>
      </c>
      <c r="B71" s="45" t="s">
        <v>186</v>
      </c>
      <c r="C71" s="230">
        <f>VLOOKUP(B71, 'S08 ABC Output'!$A$3:$C$18, 3, 0)</f>
        <v>65248</v>
      </c>
      <c r="D71" s="230">
        <f>VLOOKUP(B71, 'S12 Operations'!$C$2:$H$534, 6, 0)</f>
        <v>200</v>
      </c>
      <c r="E71" s="230">
        <f t="shared" si="17"/>
        <v>327</v>
      </c>
      <c r="F71" s="230">
        <f>VLOOKUP(A71, 'S11 Work Stations'!$A$2:$C$45, 3, 0)</f>
        <v>40</v>
      </c>
      <c r="G71" s="230">
        <f>VLOOKUP(B71&amp;"-"&amp;A71, 'S12 Operations'!$A$2:$G$534, 7, 0)</f>
        <v>120</v>
      </c>
      <c r="H71" s="229">
        <f t="shared" si="18"/>
        <v>2</v>
      </c>
      <c r="I71" s="229">
        <f t="shared" si="19"/>
        <v>143576</v>
      </c>
      <c r="J71" s="230">
        <f t="shared" si="20"/>
        <v>2393</v>
      </c>
      <c r="L71">
        <f t="shared" si="14"/>
        <v>2</v>
      </c>
      <c r="M71">
        <f t="shared" si="15"/>
        <v>129</v>
      </c>
      <c r="N71">
        <f t="shared" si="16"/>
        <v>1078</v>
      </c>
      <c r="O71">
        <f t="shared" si="21"/>
        <v>6</v>
      </c>
    </row>
    <row r="72" spans="1:15" x14ac:dyDescent="0.2">
      <c r="A72" s="45" t="s">
        <v>609</v>
      </c>
      <c r="B72" s="45" t="s">
        <v>192</v>
      </c>
      <c r="C72" s="230">
        <f>VLOOKUP(B72, 'S08 ABC Output'!$A$3:$C$18, 3, 0)</f>
        <v>45896</v>
      </c>
      <c r="D72" s="230">
        <f>VLOOKUP(B72, 'S12 Operations'!$C$2:$H$534, 6, 0)</f>
        <v>200</v>
      </c>
      <c r="E72" s="230">
        <f t="shared" si="17"/>
        <v>230</v>
      </c>
      <c r="F72" s="230">
        <f>VLOOKUP(A72, 'S11 Work Stations'!$A$2:$C$45, 3, 0)</f>
        <v>40</v>
      </c>
      <c r="G72" s="230">
        <f>VLOOKUP(B72&amp;"-"&amp;A72, 'S12 Operations'!$A$2:$G$534, 7, 0)</f>
        <v>120</v>
      </c>
      <c r="H72" s="229">
        <f t="shared" si="18"/>
        <v>2</v>
      </c>
      <c r="I72" s="229">
        <f t="shared" si="19"/>
        <v>100992</v>
      </c>
      <c r="J72" s="230">
        <f t="shared" si="20"/>
        <v>1683</v>
      </c>
      <c r="L72">
        <f t="shared" si="14"/>
        <v>3</v>
      </c>
      <c r="M72">
        <f t="shared" si="15"/>
        <v>129</v>
      </c>
      <c r="N72">
        <f t="shared" si="16"/>
        <v>1078</v>
      </c>
      <c r="O72">
        <f t="shared" si="21"/>
        <v>6</v>
      </c>
    </row>
    <row r="73" spans="1:15" x14ac:dyDescent="0.2">
      <c r="A73" s="45" t="s">
        <v>609</v>
      </c>
      <c r="B73" s="45" t="s">
        <v>194</v>
      </c>
      <c r="C73" s="230">
        <f>VLOOKUP(B73, 'S08 ABC Output'!$A$3:$C$18, 3, 0)</f>
        <v>36524</v>
      </c>
      <c r="D73" s="230">
        <f>VLOOKUP(B73, 'S12 Operations'!$C$2:$H$534, 6, 0)</f>
        <v>200</v>
      </c>
      <c r="E73" s="230">
        <f t="shared" si="17"/>
        <v>183</v>
      </c>
      <c r="F73" s="230">
        <f>VLOOKUP(A73, 'S11 Work Stations'!$A$2:$C$45, 3, 0)</f>
        <v>40</v>
      </c>
      <c r="G73" s="230">
        <f>VLOOKUP(B73&amp;"-"&amp;A73, 'S12 Operations'!$A$2:$G$534, 7, 0)</f>
        <v>60</v>
      </c>
      <c r="H73" s="229">
        <f t="shared" si="18"/>
        <v>1</v>
      </c>
      <c r="I73" s="229">
        <f t="shared" si="19"/>
        <v>43844</v>
      </c>
      <c r="J73" s="230">
        <f t="shared" si="20"/>
        <v>731</v>
      </c>
      <c r="L73">
        <f t="shared" si="14"/>
        <v>4</v>
      </c>
      <c r="M73">
        <f t="shared" si="15"/>
        <v>129</v>
      </c>
      <c r="N73">
        <f t="shared" si="16"/>
        <v>1078</v>
      </c>
      <c r="O73">
        <f t="shared" si="21"/>
        <v>6</v>
      </c>
    </row>
    <row r="74" spans="1:15" x14ac:dyDescent="0.2">
      <c r="A74" s="45" t="s">
        <v>609</v>
      </c>
      <c r="B74" s="45" t="s">
        <v>196</v>
      </c>
      <c r="C74" s="230">
        <f>VLOOKUP(B74, 'S08 ABC Output'!$A$3:$C$18, 3, 0)</f>
        <v>36502</v>
      </c>
      <c r="D74" s="230">
        <f>VLOOKUP(B74, 'S12 Operations'!$C$2:$H$534, 6, 0)</f>
        <v>200</v>
      </c>
      <c r="E74" s="230">
        <f t="shared" si="17"/>
        <v>183</v>
      </c>
      <c r="F74" s="230">
        <f>VLOOKUP(A74, 'S11 Work Stations'!$A$2:$C$45, 3, 0)</f>
        <v>40</v>
      </c>
      <c r="G74" s="230">
        <f>VLOOKUP(B74&amp;"-"&amp;A74, 'S12 Operations'!$A$2:$G$534, 7, 0)</f>
        <v>120</v>
      </c>
      <c r="H74" s="229">
        <f t="shared" si="18"/>
        <v>2</v>
      </c>
      <c r="I74" s="229">
        <f t="shared" si="19"/>
        <v>80324</v>
      </c>
      <c r="J74" s="230">
        <f t="shared" si="20"/>
        <v>1339</v>
      </c>
      <c r="L74">
        <f t="shared" si="14"/>
        <v>4</v>
      </c>
      <c r="M74">
        <f t="shared" si="15"/>
        <v>129</v>
      </c>
      <c r="N74">
        <f t="shared" si="16"/>
        <v>1078</v>
      </c>
      <c r="O74">
        <f t="shared" si="21"/>
        <v>6</v>
      </c>
    </row>
    <row r="75" spans="1:15" x14ac:dyDescent="0.2">
      <c r="A75" s="45" t="s">
        <v>609</v>
      </c>
      <c r="B75" s="45" t="s">
        <v>202</v>
      </c>
      <c r="C75" s="230">
        <f>VLOOKUP(B75, 'S08 ABC Output'!$A$3:$C$18, 3, 0)</f>
        <v>25649</v>
      </c>
      <c r="D75" s="230">
        <f>VLOOKUP(B75, 'S12 Operations'!$C$2:$H$534, 6, 0)</f>
        <v>200</v>
      </c>
      <c r="E75" s="230">
        <f t="shared" si="17"/>
        <v>129</v>
      </c>
      <c r="F75" s="230">
        <f>VLOOKUP(A75, 'S11 Work Stations'!$A$2:$C$45, 3, 0)</f>
        <v>40</v>
      </c>
      <c r="G75" s="230">
        <f>VLOOKUP(B75&amp;"-"&amp;A75, 'S12 Operations'!$A$2:$G$534, 7, 0)</f>
        <v>60</v>
      </c>
      <c r="H75" s="229">
        <f t="shared" si="18"/>
        <v>1</v>
      </c>
      <c r="I75" s="229">
        <f t="shared" si="19"/>
        <v>30809</v>
      </c>
      <c r="J75" s="230">
        <f t="shared" si="20"/>
        <v>513</v>
      </c>
      <c r="L75">
        <f t="shared" si="14"/>
        <v>6</v>
      </c>
      <c r="M75">
        <f t="shared" si="15"/>
        <v>129</v>
      </c>
      <c r="N75">
        <f t="shared" si="16"/>
        <v>1078</v>
      </c>
      <c r="O75">
        <f t="shared" si="21"/>
        <v>6</v>
      </c>
    </row>
    <row r="76" spans="1:15" x14ac:dyDescent="0.2">
      <c r="A76" s="45" t="s">
        <v>611</v>
      </c>
      <c r="B76" s="45" t="s">
        <v>180</v>
      </c>
      <c r="C76" s="230">
        <f>VLOOKUP(B76, 'S08 ABC Output'!$A$3:$C$18, 3, 0)</f>
        <v>125036</v>
      </c>
      <c r="D76" s="230">
        <f>VLOOKUP(B76, 'S12 Operations'!$C$2:$H$534, 6, 0)</f>
        <v>200</v>
      </c>
      <c r="E76" s="230">
        <f t="shared" si="17"/>
        <v>626</v>
      </c>
      <c r="F76" s="230">
        <f>VLOOKUP(A76, 'S11 Work Stations'!$A$2:$C$45, 3, 0)</f>
        <v>35</v>
      </c>
      <c r="G76" s="230">
        <f>VLOOKUP(B76&amp;"-"&amp;A76, 'S12 Operations'!$A$2:$G$534, 7, 0)</f>
        <v>120</v>
      </c>
      <c r="H76" s="229">
        <f t="shared" si="18"/>
        <v>2</v>
      </c>
      <c r="I76" s="229">
        <f t="shared" si="19"/>
        <v>267922</v>
      </c>
      <c r="J76" s="230">
        <f t="shared" si="20"/>
        <v>4465</v>
      </c>
      <c r="L76">
        <f t="shared" si="14"/>
        <v>1</v>
      </c>
      <c r="M76">
        <f t="shared" si="15"/>
        <v>129</v>
      </c>
      <c r="N76">
        <f t="shared" si="16"/>
        <v>626</v>
      </c>
      <c r="O76">
        <f t="shared" si="21"/>
        <v>3</v>
      </c>
    </row>
    <row r="77" spans="1:15" x14ac:dyDescent="0.2">
      <c r="A77" s="45" t="s">
        <v>611</v>
      </c>
      <c r="B77" s="45" t="s">
        <v>200</v>
      </c>
      <c r="C77" s="230">
        <f>VLOOKUP(B77, 'S08 ABC Output'!$A$3:$C$18, 3, 0)</f>
        <v>25689</v>
      </c>
      <c r="D77" s="230">
        <f>VLOOKUP(B77, 'S12 Operations'!$C$2:$H$534, 6, 0)</f>
        <v>200</v>
      </c>
      <c r="E77" s="230">
        <f t="shared" si="17"/>
        <v>129</v>
      </c>
      <c r="F77" s="230">
        <f>VLOOKUP(A77, 'S11 Work Stations'!$A$2:$C$45, 3, 0)</f>
        <v>35</v>
      </c>
      <c r="G77" s="230">
        <f>VLOOKUP(B77&amp;"-"&amp;A77, 'S12 Operations'!$A$2:$G$534, 7, 0)</f>
        <v>120</v>
      </c>
      <c r="H77" s="229">
        <f t="shared" si="18"/>
        <v>2</v>
      </c>
      <c r="I77" s="229">
        <f t="shared" si="19"/>
        <v>55893</v>
      </c>
      <c r="J77" s="230">
        <f t="shared" si="20"/>
        <v>932</v>
      </c>
      <c r="L77">
        <f t="shared" si="14"/>
        <v>3</v>
      </c>
      <c r="M77">
        <f t="shared" si="15"/>
        <v>129</v>
      </c>
      <c r="N77">
        <f t="shared" si="16"/>
        <v>626</v>
      </c>
      <c r="O77">
        <f t="shared" si="21"/>
        <v>3</v>
      </c>
    </row>
    <row r="78" spans="1:15" x14ac:dyDescent="0.2">
      <c r="A78" s="45" t="s">
        <v>611</v>
      </c>
      <c r="B78" s="45" t="s">
        <v>205</v>
      </c>
      <c r="C78" s="230">
        <f>VLOOKUP(B78, 'S08 ABC Output'!$A$3:$C$18, 3, 0)</f>
        <v>25468</v>
      </c>
      <c r="D78" s="230">
        <f>VLOOKUP(B78, 'S12 Operations'!$C$2:$H$534, 6, 0)</f>
        <v>50</v>
      </c>
      <c r="E78" s="230">
        <f t="shared" si="17"/>
        <v>510</v>
      </c>
      <c r="F78" s="230">
        <f>VLOOKUP(A78, 'S11 Work Stations'!$A$2:$C$45, 3, 0)</f>
        <v>35</v>
      </c>
      <c r="G78" s="230">
        <f>VLOOKUP(B78&amp;"-"&amp;A78, 'S12 Operations'!$A$2:$G$534, 7, 0)</f>
        <v>120</v>
      </c>
      <c r="H78" s="229">
        <f t="shared" si="18"/>
        <v>2</v>
      </c>
      <c r="I78" s="229">
        <f t="shared" si="19"/>
        <v>68786</v>
      </c>
      <c r="J78" s="230">
        <f t="shared" si="20"/>
        <v>1146</v>
      </c>
      <c r="L78">
        <f t="shared" si="14"/>
        <v>2</v>
      </c>
      <c r="M78">
        <f t="shared" si="15"/>
        <v>129</v>
      </c>
      <c r="N78">
        <f t="shared" si="16"/>
        <v>626</v>
      </c>
      <c r="O78">
        <f t="shared" si="21"/>
        <v>3</v>
      </c>
    </row>
    <row r="79" spans="1:15" x14ac:dyDescent="0.2">
      <c r="A79" s="45" t="s">
        <v>613</v>
      </c>
      <c r="B79" s="45" t="s">
        <v>176</v>
      </c>
      <c r="C79" s="230">
        <f>VLOOKUP(B79, 'S08 ABC Output'!$A$3:$C$18, 3, 0)</f>
        <v>250356</v>
      </c>
      <c r="D79" s="230">
        <f>VLOOKUP(B79, 'S12 Operations'!$C$2:$H$534, 6, 0)</f>
        <v>200</v>
      </c>
      <c r="E79" s="230">
        <f t="shared" si="17"/>
        <v>1252</v>
      </c>
      <c r="F79" s="230">
        <f>VLOOKUP(A79, 'S11 Work Stations'!$A$2:$C$45, 3, 0)</f>
        <v>40</v>
      </c>
      <c r="G79" s="230">
        <f>VLOOKUP(B79&amp;"-"&amp;A79, 'S12 Operations'!$A$2:$G$534, 7, 0)</f>
        <v>120</v>
      </c>
      <c r="H79" s="229">
        <f t="shared" si="18"/>
        <v>2</v>
      </c>
      <c r="I79" s="229">
        <f t="shared" si="19"/>
        <v>518032</v>
      </c>
      <c r="J79" s="230">
        <f t="shared" si="20"/>
        <v>8634</v>
      </c>
      <c r="L79">
        <f t="shared" si="14"/>
        <v>1</v>
      </c>
      <c r="M79">
        <f t="shared" si="15"/>
        <v>129</v>
      </c>
      <c r="N79">
        <f t="shared" si="16"/>
        <v>1252</v>
      </c>
      <c r="O79">
        <f t="shared" si="21"/>
        <v>7</v>
      </c>
    </row>
    <row r="80" spans="1:15" x14ac:dyDescent="0.2">
      <c r="A80" s="45" t="s">
        <v>613</v>
      </c>
      <c r="B80" s="45" t="s">
        <v>182</v>
      </c>
      <c r="C80" s="230">
        <f>VLOOKUP(B80, 'S08 ABC Output'!$A$3:$C$18, 3, 0)</f>
        <v>86542</v>
      </c>
      <c r="D80" s="230">
        <f>VLOOKUP(B80, 'S12 Operations'!$C$2:$H$534, 6, 0)</f>
        <v>200</v>
      </c>
      <c r="E80" s="230">
        <f t="shared" si="17"/>
        <v>433</v>
      </c>
      <c r="F80" s="230">
        <f>VLOOKUP(A80, 'S11 Work Stations'!$A$2:$C$45, 3, 0)</f>
        <v>40</v>
      </c>
      <c r="G80" s="230">
        <f>VLOOKUP(B80&amp;"-"&amp;A80, 'S12 Operations'!$A$2:$G$534, 7, 0)</f>
        <v>180</v>
      </c>
      <c r="H80" s="229">
        <f t="shared" si="18"/>
        <v>3</v>
      </c>
      <c r="I80" s="229">
        <f t="shared" si="19"/>
        <v>276946</v>
      </c>
      <c r="J80" s="230">
        <f t="shared" si="20"/>
        <v>4616</v>
      </c>
      <c r="L80">
        <f t="shared" si="14"/>
        <v>2</v>
      </c>
      <c r="M80">
        <f t="shared" si="15"/>
        <v>129</v>
      </c>
      <c r="N80">
        <f t="shared" si="16"/>
        <v>1252</v>
      </c>
      <c r="O80">
        <f t="shared" si="21"/>
        <v>7</v>
      </c>
    </row>
    <row r="81" spans="1:15" x14ac:dyDescent="0.2">
      <c r="A81" s="45" t="s">
        <v>613</v>
      </c>
      <c r="B81" s="45" t="s">
        <v>184</v>
      </c>
      <c r="C81" s="230">
        <f>VLOOKUP(B81, 'S08 ABC Output'!$A$3:$C$18, 3, 0)</f>
        <v>85612</v>
      </c>
      <c r="D81" s="230">
        <f>VLOOKUP(B81, 'S12 Operations'!$C$2:$H$534, 6, 0)</f>
        <v>200</v>
      </c>
      <c r="E81" s="230">
        <f t="shared" si="17"/>
        <v>429</v>
      </c>
      <c r="F81" s="230">
        <f>VLOOKUP(A81, 'S11 Work Stations'!$A$2:$C$45, 3, 0)</f>
        <v>40</v>
      </c>
      <c r="G81" s="230">
        <f>VLOOKUP(B81&amp;"-"&amp;A81, 'S12 Operations'!$A$2:$G$534, 7, 0)</f>
        <v>120</v>
      </c>
      <c r="H81" s="229">
        <f t="shared" si="18"/>
        <v>2</v>
      </c>
      <c r="I81" s="229">
        <f t="shared" si="19"/>
        <v>188384</v>
      </c>
      <c r="J81" s="230">
        <f t="shared" si="20"/>
        <v>3140</v>
      </c>
      <c r="L81">
        <f t="shared" si="14"/>
        <v>3</v>
      </c>
      <c r="M81">
        <f t="shared" si="15"/>
        <v>129</v>
      </c>
      <c r="N81">
        <f t="shared" si="16"/>
        <v>1252</v>
      </c>
      <c r="O81">
        <f t="shared" si="21"/>
        <v>7</v>
      </c>
    </row>
    <row r="82" spans="1:15" x14ac:dyDescent="0.2">
      <c r="A82" s="45" t="s">
        <v>613</v>
      </c>
      <c r="B82" s="45" t="s">
        <v>188</v>
      </c>
      <c r="C82" s="230">
        <f>VLOOKUP(B82, 'S08 ABC Output'!$A$3:$C$18, 3, 0)</f>
        <v>54682</v>
      </c>
      <c r="D82" s="230">
        <f>VLOOKUP(B82, 'S12 Operations'!$C$2:$H$534, 6, 0)</f>
        <v>200</v>
      </c>
      <c r="E82" s="230">
        <f t="shared" si="17"/>
        <v>274</v>
      </c>
      <c r="F82" s="230">
        <f>VLOOKUP(A82, 'S11 Work Stations'!$A$2:$C$45, 3, 0)</f>
        <v>40</v>
      </c>
      <c r="G82" s="230">
        <f>VLOOKUP(B82&amp;"-"&amp;A82, 'S12 Operations'!$A$2:$G$534, 7, 0)</f>
        <v>180</v>
      </c>
      <c r="H82" s="229">
        <f t="shared" si="18"/>
        <v>3</v>
      </c>
      <c r="I82" s="229">
        <f t="shared" si="19"/>
        <v>175006</v>
      </c>
      <c r="J82" s="230">
        <f t="shared" si="20"/>
        <v>2917</v>
      </c>
      <c r="L82">
        <f t="shared" si="14"/>
        <v>4</v>
      </c>
      <c r="M82">
        <f t="shared" si="15"/>
        <v>129</v>
      </c>
      <c r="N82">
        <f t="shared" si="16"/>
        <v>1252</v>
      </c>
      <c r="O82">
        <f t="shared" si="21"/>
        <v>7</v>
      </c>
    </row>
    <row r="83" spans="1:15" x14ac:dyDescent="0.2">
      <c r="A83" s="45" t="s">
        <v>613</v>
      </c>
      <c r="B83" s="45" t="s">
        <v>190</v>
      </c>
      <c r="C83" s="230">
        <f>VLOOKUP(B83, 'S08 ABC Output'!$A$3:$C$18, 3, 0)</f>
        <v>50689</v>
      </c>
      <c r="D83" s="230">
        <f>VLOOKUP(B83, 'S12 Operations'!$C$2:$H$534, 6, 0)</f>
        <v>200</v>
      </c>
      <c r="E83" s="230">
        <f t="shared" si="17"/>
        <v>254</v>
      </c>
      <c r="F83" s="230">
        <f>VLOOKUP(A83, 'S11 Work Stations'!$A$2:$C$45, 3, 0)</f>
        <v>40</v>
      </c>
      <c r="G83" s="230">
        <f>VLOOKUP(B83&amp;"-"&amp;A83, 'S12 Operations'!$A$2:$G$534, 7, 0)</f>
        <v>120</v>
      </c>
      <c r="H83" s="229">
        <f t="shared" si="18"/>
        <v>2</v>
      </c>
      <c r="I83" s="229">
        <f t="shared" si="19"/>
        <v>111538</v>
      </c>
      <c r="J83" s="230">
        <f t="shared" si="20"/>
        <v>1859</v>
      </c>
      <c r="L83">
        <f t="shared" si="14"/>
        <v>5</v>
      </c>
      <c r="M83">
        <f t="shared" si="15"/>
        <v>129</v>
      </c>
      <c r="N83">
        <f t="shared" si="16"/>
        <v>1252</v>
      </c>
      <c r="O83">
        <f t="shared" si="21"/>
        <v>7</v>
      </c>
    </row>
    <row r="84" spans="1:15" x14ac:dyDescent="0.2">
      <c r="A84" s="45" t="s">
        <v>613</v>
      </c>
      <c r="B84" s="45" t="s">
        <v>198</v>
      </c>
      <c r="C84" s="230">
        <f>VLOOKUP(B84, 'S08 ABC Output'!$A$3:$C$18, 3, 0)</f>
        <v>25689</v>
      </c>
      <c r="D84" s="230">
        <f>VLOOKUP(B84, 'S12 Operations'!$C$2:$H$534, 6, 0)</f>
        <v>200</v>
      </c>
      <c r="E84" s="230">
        <f t="shared" si="17"/>
        <v>129</v>
      </c>
      <c r="F84" s="230">
        <f>VLOOKUP(A84, 'S11 Work Stations'!$A$2:$C$45, 3, 0)</f>
        <v>40</v>
      </c>
      <c r="G84" s="230">
        <f>VLOOKUP(B84&amp;"-"&amp;A84, 'S12 Operations'!$A$2:$G$534, 7, 0)</f>
        <v>120</v>
      </c>
      <c r="H84" s="229">
        <f t="shared" si="18"/>
        <v>2</v>
      </c>
      <c r="I84" s="229">
        <f t="shared" si="19"/>
        <v>56538</v>
      </c>
      <c r="J84" s="230">
        <f t="shared" si="20"/>
        <v>942</v>
      </c>
      <c r="L84">
        <f t="shared" si="14"/>
        <v>6</v>
      </c>
      <c r="M84">
        <f t="shared" si="15"/>
        <v>129</v>
      </c>
      <c r="N84">
        <f t="shared" si="16"/>
        <v>1252</v>
      </c>
      <c r="O84">
        <f t="shared" si="21"/>
        <v>7</v>
      </c>
    </row>
    <row r="85" spans="1:15" x14ac:dyDescent="0.2">
      <c r="A85" s="45" t="s">
        <v>613</v>
      </c>
      <c r="B85" s="45" t="s">
        <v>203</v>
      </c>
      <c r="C85" s="230">
        <f>VLOOKUP(B85, 'S08 ABC Output'!$A$3:$C$18, 3, 0)</f>
        <v>25639</v>
      </c>
      <c r="D85" s="230">
        <f>VLOOKUP(B85, 'S12 Operations'!$C$2:$H$534, 6, 0)</f>
        <v>200</v>
      </c>
      <c r="E85" s="230">
        <f t="shared" si="17"/>
        <v>129</v>
      </c>
      <c r="F85" s="230">
        <f>VLOOKUP(A85, 'S11 Work Stations'!$A$2:$C$45, 3, 0)</f>
        <v>40</v>
      </c>
      <c r="G85" s="230">
        <f>VLOOKUP(B85&amp;"-"&amp;A85, 'S12 Operations'!$A$2:$G$534, 7, 0)</f>
        <v>120</v>
      </c>
      <c r="H85" s="229">
        <f t="shared" si="18"/>
        <v>2</v>
      </c>
      <c r="I85" s="229">
        <f t="shared" si="19"/>
        <v>56438</v>
      </c>
      <c r="J85" s="230">
        <f t="shared" si="20"/>
        <v>941</v>
      </c>
      <c r="L85">
        <f t="shared" si="14"/>
        <v>6</v>
      </c>
      <c r="M85">
        <f t="shared" si="15"/>
        <v>129</v>
      </c>
      <c r="N85">
        <f t="shared" si="16"/>
        <v>1252</v>
      </c>
      <c r="O85">
        <f t="shared" si="21"/>
        <v>7</v>
      </c>
    </row>
    <row r="86" spans="1:15" x14ac:dyDescent="0.2">
      <c r="A86" s="45" t="s">
        <v>615</v>
      </c>
      <c r="B86" s="45" t="s">
        <v>182</v>
      </c>
      <c r="C86" s="230">
        <f>VLOOKUP(B86, 'S08 ABC Output'!$A$3:$C$18, 3, 0)</f>
        <v>86542</v>
      </c>
      <c r="D86" s="230">
        <f>VLOOKUP(B86, 'S12 Operations'!$C$2:$H$534, 6, 0)</f>
        <v>200</v>
      </c>
      <c r="E86" s="230">
        <f t="shared" si="17"/>
        <v>433</v>
      </c>
      <c r="F86" s="230">
        <f>VLOOKUP(A86, 'S11 Work Stations'!$A$2:$C$45, 3, 0)</f>
        <v>60</v>
      </c>
      <c r="G86" s="230">
        <f>VLOOKUP(B86&amp;"-"&amp;A86, 'S12 Operations'!$A$2:$G$534, 7, 0)</f>
        <v>300</v>
      </c>
      <c r="H86" s="229">
        <f t="shared" si="18"/>
        <v>5</v>
      </c>
      <c r="I86" s="229">
        <f t="shared" si="19"/>
        <v>432710</v>
      </c>
      <c r="J86" s="230">
        <f t="shared" si="20"/>
        <v>7212</v>
      </c>
      <c r="L86">
        <f t="shared" si="14"/>
        <v>1</v>
      </c>
      <c r="M86">
        <f t="shared" si="15"/>
        <v>433</v>
      </c>
      <c r="N86">
        <f t="shared" si="16"/>
        <v>433</v>
      </c>
      <c r="O86">
        <f t="shared" si="21"/>
        <v>1</v>
      </c>
    </row>
    <row r="87" spans="1:15" x14ac:dyDescent="0.2">
      <c r="A87" s="45" t="s">
        <v>616</v>
      </c>
      <c r="B87" s="45" t="s">
        <v>176</v>
      </c>
      <c r="C87" s="230">
        <f>VLOOKUP(B87, 'S08 ABC Output'!$A$3:$C$18, 3, 0)</f>
        <v>250356</v>
      </c>
      <c r="D87" s="230">
        <f>VLOOKUP(B87, 'S12 Operations'!$C$2:$H$534, 6, 0)</f>
        <v>200</v>
      </c>
      <c r="E87" s="230">
        <f t="shared" si="17"/>
        <v>1252</v>
      </c>
      <c r="F87" s="230">
        <f>VLOOKUP(A87, 'S11 Work Stations'!$A$2:$C$45, 3, 0)</f>
        <v>1</v>
      </c>
      <c r="G87" s="230">
        <f>VLOOKUP(B87&amp;"-"&amp;A87, 'S12 Operations'!$A$2:$G$534, 7, 0)</f>
        <v>0</v>
      </c>
      <c r="H87" s="229">
        <f t="shared" si="18"/>
        <v>0</v>
      </c>
      <c r="I87" s="229">
        <f t="shared" si="19"/>
        <v>1078</v>
      </c>
      <c r="J87" s="230">
        <f t="shared" si="20"/>
        <v>18</v>
      </c>
      <c r="L87">
        <f t="shared" si="14"/>
        <v>1</v>
      </c>
      <c r="M87">
        <f t="shared" si="15"/>
        <v>129</v>
      </c>
      <c r="N87">
        <f t="shared" si="16"/>
        <v>1252</v>
      </c>
      <c r="O87">
        <f t="shared" si="21"/>
        <v>16</v>
      </c>
    </row>
    <row r="88" spans="1:15" x14ac:dyDescent="0.2">
      <c r="A88" s="45" t="s">
        <v>616</v>
      </c>
      <c r="B88" s="45" t="s">
        <v>178</v>
      </c>
      <c r="C88" s="230">
        <f>VLOOKUP(B88, 'S08 ABC Output'!$A$3:$C$18, 3, 0)</f>
        <v>215425</v>
      </c>
      <c r="D88" s="230">
        <f>VLOOKUP(B88, 'S12 Operations'!$C$2:$H$534, 6, 0)</f>
        <v>200</v>
      </c>
      <c r="E88" s="230">
        <f t="shared" si="17"/>
        <v>1078</v>
      </c>
      <c r="F88" s="230">
        <f>VLOOKUP(A88, 'S11 Work Stations'!$A$2:$C$45, 3, 0)</f>
        <v>1</v>
      </c>
      <c r="G88" s="230">
        <f>VLOOKUP(B88&amp;"-"&amp;A88, 'S12 Operations'!$A$2:$G$534, 7, 0)</f>
        <v>0</v>
      </c>
      <c r="H88" s="229">
        <f t="shared" si="18"/>
        <v>0</v>
      </c>
      <c r="I88" s="229">
        <f t="shared" si="19"/>
        <v>1078</v>
      </c>
      <c r="J88" s="230">
        <f t="shared" si="20"/>
        <v>18</v>
      </c>
      <c r="L88">
        <f t="shared" si="14"/>
        <v>2</v>
      </c>
      <c r="M88">
        <f t="shared" si="15"/>
        <v>129</v>
      </c>
      <c r="N88">
        <f t="shared" si="16"/>
        <v>1252</v>
      </c>
      <c r="O88">
        <f t="shared" si="21"/>
        <v>16</v>
      </c>
    </row>
    <row r="89" spans="1:15" x14ac:dyDescent="0.2">
      <c r="A89" s="45" t="s">
        <v>616</v>
      </c>
      <c r="B89" s="45" t="s">
        <v>180</v>
      </c>
      <c r="C89" s="230">
        <f>VLOOKUP(B89, 'S08 ABC Output'!$A$3:$C$18, 3, 0)</f>
        <v>125036</v>
      </c>
      <c r="D89" s="230">
        <f>VLOOKUP(B89, 'S12 Operations'!$C$2:$H$534, 6, 0)</f>
        <v>200</v>
      </c>
      <c r="E89" s="230">
        <f t="shared" si="17"/>
        <v>626</v>
      </c>
      <c r="F89" s="230">
        <f>VLOOKUP(A89, 'S11 Work Stations'!$A$2:$C$45, 3, 0)</f>
        <v>1</v>
      </c>
      <c r="G89" s="230">
        <f>VLOOKUP(B89&amp;"-"&amp;A89, 'S12 Operations'!$A$2:$G$534, 7, 0)</f>
        <v>0</v>
      </c>
      <c r="H89" s="229">
        <f t="shared" si="18"/>
        <v>0</v>
      </c>
      <c r="I89" s="229">
        <f t="shared" si="19"/>
        <v>626</v>
      </c>
      <c r="J89" s="230">
        <f t="shared" si="20"/>
        <v>10</v>
      </c>
      <c r="L89">
        <f t="shared" si="14"/>
        <v>3</v>
      </c>
      <c r="M89">
        <f t="shared" si="15"/>
        <v>129</v>
      </c>
      <c r="N89">
        <f t="shared" si="16"/>
        <v>1252</v>
      </c>
      <c r="O89">
        <f t="shared" si="21"/>
        <v>16</v>
      </c>
    </row>
    <row r="90" spans="1:15" x14ac:dyDescent="0.2">
      <c r="A90" s="45" t="s">
        <v>616</v>
      </c>
      <c r="B90" s="45" t="s">
        <v>182</v>
      </c>
      <c r="C90" s="230">
        <f>VLOOKUP(B90, 'S08 ABC Output'!$A$3:$C$18, 3, 0)</f>
        <v>86542</v>
      </c>
      <c r="D90" s="230">
        <f>VLOOKUP(B90, 'S12 Operations'!$C$2:$H$534, 6, 0)</f>
        <v>200</v>
      </c>
      <c r="E90" s="230">
        <f t="shared" si="17"/>
        <v>433</v>
      </c>
      <c r="F90" s="230">
        <f>VLOOKUP(A90, 'S11 Work Stations'!$A$2:$C$45, 3, 0)</f>
        <v>1</v>
      </c>
      <c r="G90" s="230">
        <f>VLOOKUP(B90&amp;"-"&amp;A90, 'S12 Operations'!$A$2:$G$534, 7, 0)</f>
        <v>0</v>
      </c>
      <c r="H90" s="229">
        <f t="shared" si="18"/>
        <v>0</v>
      </c>
      <c r="I90" s="229">
        <f t="shared" si="19"/>
        <v>433</v>
      </c>
      <c r="J90" s="230">
        <f t="shared" si="20"/>
        <v>7</v>
      </c>
      <c r="L90">
        <f t="shared" si="14"/>
        <v>5</v>
      </c>
      <c r="M90">
        <f t="shared" si="15"/>
        <v>129</v>
      </c>
      <c r="N90">
        <f t="shared" si="16"/>
        <v>1252</v>
      </c>
      <c r="O90">
        <f t="shared" si="21"/>
        <v>16</v>
      </c>
    </row>
    <row r="91" spans="1:15" x14ac:dyDescent="0.2">
      <c r="A91" s="45" t="s">
        <v>616</v>
      </c>
      <c r="B91" s="45" t="s">
        <v>184</v>
      </c>
      <c r="C91" s="230">
        <f>VLOOKUP(B91, 'S08 ABC Output'!$A$3:$C$18, 3, 0)</f>
        <v>85612</v>
      </c>
      <c r="D91" s="230">
        <f>VLOOKUP(B91, 'S12 Operations'!$C$2:$H$534, 6, 0)</f>
        <v>200</v>
      </c>
      <c r="E91" s="230">
        <f t="shared" si="17"/>
        <v>429</v>
      </c>
      <c r="F91" s="230">
        <f>VLOOKUP(A91, 'S11 Work Stations'!$A$2:$C$45, 3, 0)</f>
        <v>1</v>
      </c>
      <c r="G91" s="230">
        <f>VLOOKUP(B91&amp;"-"&amp;A91, 'S12 Operations'!$A$2:$G$534, 7, 0)</f>
        <v>0</v>
      </c>
      <c r="H91" s="229">
        <f t="shared" si="18"/>
        <v>0</v>
      </c>
      <c r="I91" s="229">
        <f t="shared" si="19"/>
        <v>429</v>
      </c>
      <c r="J91" s="230">
        <f t="shared" si="20"/>
        <v>7</v>
      </c>
      <c r="L91">
        <f t="shared" si="14"/>
        <v>6</v>
      </c>
      <c r="M91">
        <f t="shared" si="15"/>
        <v>129</v>
      </c>
      <c r="N91">
        <f t="shared" si="16"/>
        <v>1252</v>
      </c>
      <c r="O91">
        <f t="shared" si="21"/>
        <v>16</v>
      </c>
    </row>
    <row r="92" spans="1:15" x14ac:dyDescent="0.2">
      <c r="A92" s="45" t="s">
        <v>616</v>
      </c>
      <c r="B92" s="45" t="s">
        <v>186</v>
      </c>
      <c r="C92" s="230">
        <f>VLOOKUP(B92, 'S08 ABC Output'!$A$3:$C$18, 3, 0)</f>
        <v>65248</v>
      </c>
      <c r="D92" s="230">
        <f>VLOOKUP(B92, 'S12 Operations'!$C$2:$H$534, 6, 0)</f>
        <v>200</v>
      </c>
      <c r="E92" s="230">
        <f t="shared" si="17"/>
        <v>327</v>
      </c>
      <c r="F92" s="230">
        <f>VLOOKUP(A92, 'S11 Work Stations'!$A$2:$C$45, 3, 0)</f>
        <v>1</v>
      </c>
      <c r="G92" s="230">
        <f>VLOOKUP(B92&amp;"-"&amp;A92, 'S12 Operations'!$A$2:$G$534, 7, 0)</f>
        <v>0</v>
      </c>
      <c r="H92" s="229">
        <f t="shared" si="18"/>
        <v>0</v>
      </c>
      <c r="I92" s="229">
        <f t="shared" si="19"/>
        <v>327</v>
      </c>
      <c r="J92" s="230">
        <f t="shared" si="20"/>
        <v>5</v>
      </c>
      <c r="L92">
        <f t="shared" si="14"/>
        <v>7</v>
      </c>
      <c r="M92">
        <f t="shared" si="15"/>
        <v>129</v>
      </c>
      <c r="N92">
        <f t="shared" si="16"/>
        <v>1252</v>
      </c>
      <c r="O92">
        <f t="shared" si="21"/>
        <v>16</v>
      </c>
    </row>
    <row r="93" spans="1:15" x14ac:dyDescent="0.2">
      <c r="A93" s="45" t="s">
        <v>616</v>
      </c>
      <c r="B93" s="45" t="s">
        <v>188</v>
      </c>
      <c r="C93" s="230">
        <f>VLOOKUP(B93, 'S08 ABC Output'!$A$3:$C$18, 3, 0)</f>
        <v>54682</v>
      </c>
      <c r="D93" s="230">
        <f>VLOOKUP(B93, 'S12 Operations'!$C$2:$H$534, 6, 0)</f>
        <v>200</v>
      </c>
      <c r="E93" s="230">
        <f t="shared" si="17"/>
        <v>274</v>
      </c>
      <c r="F93" s="230">
        <f>VLOOKUP(A93, 'S11 Work Stations'!$A$2:$C$45, 3, 0)</f>
        <v>1</v>
      </c>
      <c r="G93" s="230">
        <f>VLOOKUP(B93&amp;"-"&amp;A93, 'S12 Operations'!$A$2:$G$534, 7, 0)</f>
        <v>0</v>
      </c>
      <c r="H93" s="229">
        <f t="shared" si="18"/>
        <v>0</v>
      </c>
      <c r="I93" s="229">
        <f t="shared" si="19"/>
        <v>274</v>
      </c>
      <c r="J93" s="230">
        <f t="shared" si="20"/>
        <v>5</v>
      </c>
      <c r="L93">
        <f t="shared" si="14"/>
        <v>8</v>
      </c>
      <c r="M93">
        <f t="shared" si="15"/>
        <v>129</v>
      </c>
      <c r="N93">
        <f t="shared" si="16"/>
        <v>1252</v>
      </c>
      <c r="O93">
        <f t="shared" si="21"/>
        <v>16</v>
      </c>
    </row>
    <row r="94" spans="1:15" x14ac:dyDescent="0.2">
      <c r="A94" s="45" t="s">
        <v>616</v>
      </c>
      <c r="B94" s="45" t="s">
        <v>190</v>
      </c>
      <c r="C94" s="230">
        <f>VLOOKUP(B94, 'S08 ABC Output'!$A$3:$C$18, 3, 0)</f>
        <v>50689</v>
      </c>
      <c r="D94" s="230">
        <f>VLOOKUP(B94, 'S12 Operations'!$C$2:$H$534, 6, 0)</f>
        <v>200</v>
      </c>
      <c r="E94" s="230">
        <f t="shared" si="17"/>
        <v>254</v>
      </c>
      <c r="F94" s="230">
        <f>VLOOKUP(A94, 'S11 Work Stations'!$A$2:$C$45, 3, 0)</f>
        <v>1</v>
      </c>
      <c r="G94" s="230">
        <f>VLOOKUP(B94&amp;"-"&amp;A94, 'S12 Operations'!$A$2:$G$534, 7, 0)</f>
        <v>0</v>
      </c>
      <c r="H94" s="229">
        <f t="shared" si="18"/>
        <v>0</v>
      </c>
      <c r="I94" s="229">
        <f t="shared" si="19"/>
        <v>254</v>
      </c>
      <c r="J94" s="230">
        <f t="shared" si="20"/>
        <v>4</v>
      </c>
      <c r="L94">
        <f t="shared" si="14"/>
        <v>9</v>
      </c>
      <c r="M94">
        <f t="shared" si="15"/>
        <v>129</v>
      </c>
      <c r="N94">
        <f t="shared" si="16"/>
        <v>1252</v>
      </c>
      <c r="O94">
        <f t="shared" si="21"/>
        <v>16</v>
      </c>
    </row>
    <row r="95" spans="1:15" x14ac:dyDescent="0.2">
      <c r="A95" s="45" t="s">
        <v>616</v>
      </c>
      <c r="B95" s="45" t="s">
        <v>192</v>
      </c>
      <c r="C95" s="230">
        <f>VLOOKUP(B95, 'S08 ABC Output'!$A$3:$C$18, 3, 0)</f>
        <v>45896</v>
      </c>
      <c r="D95" s="230">
        <f>VLOOKUP(B95, 'S12 Operations'!$C$2:$H$534, 6, 0)</f>
        <v>200</v>
      </c>
      <c r="E95" s="230">
        <f t="shared" si="17"/>
        <v>230</v>
      </c>
      <c r="F95" s="230">
        <f>VLOOKUP(A95, 'S11 Work Stations'!$A$2:$C$45, 3, 0)</f>
        <v>1</v>
      </c>
      <c r="G95" s="230">
        <f>VLOOKUP(B95&amp;"-"&amp;A95, 'S12 Operations'!$A$2:$G$534, 7, 0)</f>
        <v>0</v>
      </c>
      <c r="H95" s="229">
        <f t="shared" si="18"/>
        <v>0</v>
      </c>
      <c r="I95" s="229">
        <f t="shared" si="19"/>
        <v>230</v>
      </c>
      <c r="J95" s="230">
        <f t="shared" si="20"/>
        <v>4</v>
      </c>
      <c r="L95">
        <f t="shared" si="14"/>
        <v>10</v>
      </c>
      <c r="M95">
        <f t="shared" si="15"/>
        <v>129</v>
      </c>
      <c r="N95">
        <f t="shared" si="16"/>
        <v>1252</v>
      </c>
      <c r="O95">
        <f t="shared" si="21"/>
        <v>16</v>
      </c>
    </row>
    <row r="96" spans="1:15" x14ac:dyDescent="0.2">
      <c r="A96" s="45" t="s">
        <v>616</v>
      </c>
      <c r="B96" s="45" t="s">
        <v>194</v>
      </c>
      <c r="C96" s="230">
        <f>VLOOKUP(B96, 'S08 ABC Output'!$A$3:$C$18, 3, 0)</f>
        <v>36524</v>
      </c>
      <c r="D96" s="230">
        <f>VLOOKUP(B96, 'S12 Operations'!$C$2:$H$534, 6, 0)</f>
        <v>200</v>
      </c>
      <c r="E96" s="230">
        <f t="shared" si="17"/>
        <v>183</v>
      </c>
      <c r="F96" s="230">
        <f>VLOOKUP(A96, 'S11 Work Stations'!$A$2:$C$45, 3, 0)</f>
        <v>1</v>
      </c>
      <c r="G96" s="230">
        <f>VLOOKUP(B96&amp;"-"&amp;A96, 'S12 Operations'!$A$2:$G$534, 7, 0)</f>
        <v>0</v>
      </c>
      <c r="H96" s="229">
        <f t="shared" si="18"/>
        <v>0</v>
      </c>
      <c r="I96" s="229">
        <f t="shared" si="19"/>
        <v>183</v>
      </c>
      <c r="J96" s="230">
        <f t="shared" si="20"/>
        <v>3</v>
      </c>
      <c r="L96">
        <f t="shared" si="14"/>
        <v>11</v>
      </c>
      <c r="M96">
        <f t="shared" si="15"/>
        <v>129</v>
      </c>
      <c r="N96">
        <f t="shared" si="16"/>
        <v>1252</v>
      </c>
      <c r="O96">
        <f t="shared" si="21"/>
        <v>16</v>
      </c>
    </row>
    <row r="97" spans="1:15" x14ac:dyDescent="0.2">
      <c r="A97" s="45" t="s">
        <v>616</v>
      </c>
      <c r="B97" s="45" t="s">
        <v>196</v>
      </c>
      <c r="C97" s="230">
        <f>VLOOKUP(B97, 'S08 ABC Output'!$A$3:$C$18, 3, 0)</f>
        <v>36502</v>
      </c>
      <c r="D97" s="230">
        <f>VLOOKUP(B97, 'S12 Operations'!$C$2:$H$534, 6, 0)</f>
        <v>200</v>
      </c>
      <c r="E97" s="230">
        <f t="shared" si="17"/>
        <v>183</v>
      </c>
      <c r="F97" s="230">
        <f>VLOOKUP(A97, 'S11 Work Stations'!$A$2:$C$45, 3, 0)</f>
        <v>1</v>
      </c>
      <c r="G97" s="230">
        <f>VLOOKUP(B97&amp;"-"&amp;A97, 'S12 Operations'!$A$2:$G$534, 7, 0)</f>
        <v>0</v>
      </c>
      <c r="H97" s="229">
        <f t="shared" si="18"/>
        <v>0</v>
      </c>
      <c r="I97" s="229">
        <f t="shared" si="19"/>
        <v>183</v>
      </c>
      <c r="J97" s="230">
        <f t="shared" si="20"/>
        <v>3</v>
      </c>
      <c r="L97">
        <f t="shared" si="14"/>
        <v>11</v>
      </c>
      <c r="M97">
        <f t="shared" si="15"/>
        <v>129</v>
      </c>
      <c r="N97">
        <f t="shared" si="16"/>
        <v>1252</v>
      </c>
      <c r="O97">
        <f t="shared" si="21"/>
        <v>16</v>
      </c>
    </row>
    <row r="98" spans="1:15" x14ac:dyDescent="0.2">
      <c r="A98" s="45" t="s">
        <v>616</v>
      </c>
      <c r="B98" s="45" t="s">
        <v>198</v>
      </c>
      <c r="C98" s="230">
        <f>VLOOKUP(B98, 'S08 ABC Output'!$A$3:$C$18, 3, 0)</f>
        <v>25689</v>
      </c>
      <c r="D98" s="230">
        <f>VLOOKUP(B98, 'S12 Operations'!$C$2:$H$534, 6, 0)</f>
        <v>200</v>
      </c>
      <c r="E98" s="230">
        <f t="shared" si="17"/>
        <v>129</v>
      </c>
      <c r="F98" s="230">
        <f>VLOOKUP(A98, 'S11 Work Stations'!$A$2:$C$45, 3, 0)</f>
        <v>1</v>
      </c>
      <c r="G98" s="230">
        <f>VLOOKUP(B98&amp;"-"&amp;A98, 'S12 Operations'!$A$2:$G$534, 7, 0)</f>
        <v>0</v>
      </c>
      <c r="H98" s="229">
        <f t="shared" si="18"/>
        <v>0</v>
      </c>
      <c r="I98" s="229">
        <f t="shared" si="19"/>
        <v>129</v>
      </c>
      <c r="J98" s="230">
        <f t="shared" si="20"/>
        <v>2</v>
      </c>
      <c r="L98">
        <f t="shared" ref="L98:L118" si="22">RANK(HLOOKUP(A98,$S$19:$AR$36,MATCH(E98,INDEX($S$19:$AR$35, ,HLOOKUP(A98,$S$19:$AR$36,18,0)),0),0),INDEX($S$19:$AR$35, ,HLOOKUP(A98,$S$19:$AR$36,18,0)),0)</f>
        <v>13</v>
      </c>
      <c r="M98">
        <f t="shared" ref="M98:M118" si="23">MIN(_xlfn.IFS($A98=$S$2,$S$3:$S$18,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129</v>
      </c>
      <c r="N98">
        <f t="shared" ref="N98:N118" si="24">MAX(_xlfn.IFS($A98=$S$2,$S$3:$S$18,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1252</v>
      </c>
      <c r="O98">
        <f t="shared" si="21"/>
        <v>16</v>
      </c>
    </row>
    <row r="99" spans="1:15" x14ac:dyDescent="0.2">
      <c r="A99" s="45" t="s">
        <v>616</v>
      </c>
      <c r="B99" s="45" t="s">
        <v>200</v>
      </c>
      <c r="C99" s="230">
        <f>VLOOKUP(B99, 'S08 ABC Output'!$A$3:$C$18, 3, 0)</f>
        <v>25689</v>
      </c>
      <c r="D99" s="230">
        <f>VLOOKUP(B99, 'S12 Operations'!$C$2:$H$534, 6, 0)</f>
        <v>200</v>
      </c>
      <c r="E99" s="230">
        <f t="shared" si="17"/>
        <v>129</v>
      </c>
      <c r="F99" s="230">
        <f>VLOOKUP(A99, 'S11 Work Stations'!$A$2:$C$45, 3, 0)</f>
        <v>1</v>
      </c>
      <c r="G99" s="230">
        <f>VLOOKUP(B99&amp;"-"&amp;A99, 'S12 Operations'!$A$2:$G$534, 7, 0)</f>
        <v>0</v>
      </c>
      <c r="H99" s="229">
        <f t="shared" si="18"/>
        <v>0</v>
      </c>
      <c r="I99" s="229">
        <f t="shared" si="19"/>
        <v>129</v>
      </c>
      <c r="J99" s="230">
        <f t="shared" si="20"/>
        <v>2</v>
      </c>
      <c r="L99">
        <f t="shared" si="22"/>
        <v>13</v>
      </c>
      <c r="M99">
        <f t="shared" si="23"/>
        <v>129</v>
      </c>
      <c r="N99">
        <f t="shared" si="24"/>
        <v>1252</v>
      </c>
      <c r="O99">
        <f t="shared" si="21"/>
        <v>16</v>
      </c>
    </row>
    <row r="100" spans="1:15" x14ac:dyDescent="0.2">
      <c r="A100" s="45" t="s">
        <v>616</v>
      </c>
      <c r="B100" s="45" t="s">
        <v>202</v>
      </c>
      <c r="C100" s="230">
        <f>VLOOKUP(B100, 'S08 ABC Output'!$A$3:$C$18, 3, 0)</f>
        <v>25649</v>
      </c>
      <c r="D100" s="230">
        <f>VLOOKUP(B100, 'S12 Operations'!$C$2:$H$534, 6, 0)</f>
        <v>200</v>
      </c>
      <c r="E100" s="230">
        <f t="shared" si="17"/>
        <v>129</v>
      </c>
      <c r="F100" s="230">
        <f>VLOOKUP(A100, 'S11 Work Stations'!$A$2:$C$45, 3, 0)</f>
        <v>1</v>
      </c>
      <c r="G100" s="230">
        <f>VLOOKUP(B100&amp;"-"&amp;A100, 'S12 Operations'!$A$2:$G$534, 7, 0)</f>
        <v>0</v>
      </c>
      <c r="H100" s="229">
        <f t="shared" si="18"/>
        <v>0</v>
      </c>
      <c r="I100" s="229">
        <f t="shared" si="19"/>
        <v>129</v>
      </c>
      <c r="J100" s="230">
        <f t="shared" si="20"/>
        <v>2</v>
      </c>
      <c r="L100">
        <f t="shared" si="22"/>
        <v>13</v>
      </c>
      <c r="M100">
        <f t="shared" si="23"/>
        <v>129</v>
      </c>
      <c r="N100">
        <f t="shared" si="24"/>
        <v>1252</v>
      </c>
      <c r="O100">
        <f t="shared" si="21"/>
        <v>16</v>
      </c>
    </row>
    <row r="101" spans="1:15" x14ac:dyDescent="0.2">
      <c r="A101" s="45" t="s">
        <v>616</v>
      </c>
      <c r="B101" s="45" t="s">
        <v>203</v>
      </c>
      <c r="C101" s="230">
        <f>VLOOKUP(B101, 'S08 ABC Output'!$A$3:$C$18, 3, 0)</f>
        <v>25639</v>
      </c>
      <c r="D101" s="230">
        <f>VLOOKUP(B101, 'S12 Operations'!$C$2:$H$534, 6, 0)</f>
        <v>200</v>
      </c>
      <c r="E101" s="230">
        <f t="shared" si="17"/>
        <v>129</v>
      </c>
      <c r="F101" s="230">
        <f>VLOOKUP(A101, 'S11 Work Stations'!$A$2:$C$45, 3, 0)</f>
        <v>1</v>
      </c>
      <c r="G101" s="230">
        <f>VLOOKUP(B101&amp;"-"&amp;A101, 'S12 Operations'!$A$2:$G$534, 7, 0)</f>
        <v>0</v>
      </c>
      <c r="H101" s="229">
        <f t="shared" si="18"/>
        <v>0</v>
      </c>
      <c r="I101" s="229">
        <f t="shared" si="19"/>
        <v>129</v>
      </c>
      <c r="J101" s="230">
        <f t="shared" si="20"/>
        <v>2</v>
      </c>
      <c r="L101">
        <f t="shared" si="22"/>
        <v>13</v>
      </c>
      <c r="M101">
        <f t="shared" si="23"/>
        <v>129</v>
      </c>
      <c r="N101">
        <f t="shared" si="24"/>
        <v>1252</v>
      </c>
      <c r="O101">
        <f t="shared" si="21"/>
        <v>16</v>
      </c>
    </row>
    <row r="102" spans="1:15" x14ac:dyDescent="0.2">
      <c r="A102" s="45" t="s">
        <v>616</v>
      </c>
      <c r="B102" s="45" t="s">
        <v>205</v>
      </c>
      <c r="C102" s="230">
        <f>VLOOKUP(B102, 'S08 ABC Output'!$A$3:$C$18, 3, 0)</f>
        <v>25468</v>
      </c>
      <c r="D102" s="230">
        <f>VLOOKUP(B102, 'S12 Operations'!$C$2:$H$534, 6, 0)</f>
        <v>50</v>
      </c>
      <c r="E102" s="230">
        <f t="shared" si="17"/>
        <v>510</v>
      </c>
      <c r="F102" s="230">
        <f>VLOOKUP(A102, 'S11 Work Stations'!$A$2:$C$45, 3, 0)</f>
        <v>1</v>
      </c>
      <c r="G102" s="230">
        <f>VLOOKUP(B102&amp;"-"&amp;A102, 'S12 Operations'!$A$2:$G$534, 7, 0)</f>
        <v>0</v>
      </c>
      <c r="H102" s="229">
        <f t="shared" si="18"/>
        <v>0</v>
      </c>
      <c r="I102" s="229">
        <f t="shared" si="19"/>
        <v>510</v>
      </c>
      <c r="J102" s="230">
        <f t="shared" si="20"/>
        <v>9</v>
      </c>
      <c r="L102">
        <f t="shared" si="22"/>
        <v>4</v>
      </c>
      <c r="M102">
        <f t="shared" si="23"/>
        <v>129</v>
      </c>
      <c r="N102">
        <f t="shared" si="24"/>
        <v>1252</v>
      </c>
      <c r="O102">
        <f t="shared" si="21"/>
        <v>16</v>
      </c>
    </row>
    <row r="103" spans="1:15" x14ac:dyDescent="0.2">
      <c r="A103" s="45" t="s">
        <v>617</v>
      </c>
      <c r="B103" s="45" t="s">
        <v>176</v>
      </c>
      <c r="C103" s="230">
        <f>VLOOKUP(B103, 'S08 ABC Output'!$A$3:$C$18, 3, 0)</f>
        <v>250356</v>
      </c>
      <c r="D103" s="230">
        <f>VLOOKUP(B103, 'S12 Operations'!$C$2:$H$534, 6, 0)</f>
        <v>200</v>
      </c>
      <c r="E103" s="230">
        <f t="shared" si="17"/>
        <v>1252</v>
      </c>
      <c r="F103" s="230">
        <f>VLOOKUP(A103, 'S11 Work Stations'!$A$2:$C$45, 3, 0)</f>
        <v>1</v>
      </c>
      <c r="G103" s="230">
        <f>VLOOKUP(B103&amp;"-"&amp;A103, 'S12 Operations'!$A$2:$G$534, 7, 0)</f>
        <v>0</v>
      </c>
      <c r="H103" s="229">
        <f t="shared" si="18"/>
        <v>0</v>
      </c>
      <c r="I103" s="229">
        <f t="shared" si="19"/>
        <v>1078</v>
      </c>
      <c r="J103" s="230">
        <f t="shared" si="20"/>
        <v>18</v>
      </c>
      <c r="L103">
        <f t="shared" si="22"/>
        <v>1</v>
      </c>
      <c r="M103">
        <f t="shared" si="23"/>
        <v>129</v>
      </c>
      <c r="N103">
        <f t="shared" si="24"/>
        <v>1252</v>
      </c>
      <c r="O103">
        <f t="shared" si="21"/>
        <v>16</v>
      </c>
    </row>
    <row r="104" spans="1:15" x14ac:dyDescent="0.2">
      <c r="A104" s="45" t="s">
        <v>617</v>
      </c>
      <c r="B104" s="45" t="s">
        <v>178</v>
      </c>
      <c r="C104" s="230">
        <f>VLOOKUP(B104, 'S08 ABC Output'!$A$3:$C$18, 3, 0)</f>
        <v>215425</v>
      </c>
      <c r="D104" s="230">
        <f>VLOOKUP(B104, 'S12 Operations'!$C$2:$H$534, 6, 0)</f>
        <v>200</v>
      </c>
      <c r="E104" s="230">
        <f t="shared" si="17"/>
        <v>1078</v>
      </c>
      <c r="F104" s="230">
        <f>VLOOKUP(A104, 'S11 Work Stations'!$A$2:$C$45, 3, 0)</f>
        <v>1</v>
      </c>
      <c r="G104" s="230">
        <f>VLOOKUP(B104&amp;"-"&amp;A104, 'S12 Operations'!$A$2:$G$534, 7, 0)</f>
        <v>0</v>
      </c>
      <c r="H104" s="229">
        <f t="shared" si="18"/>
        <v>0</v>
      </c>
      <c r="I104" s="229">
        <f t="shared" si="19"/>
        <v>1078</v>
      </c>
      <c r="J104" s="230">
        <f t="shared" si="20"/>
        <v>18</v>
      </c>
      <c r="L104">
        <f t="shared" si="22"/>
        <v>2</v>
      </c>
      <c r="M104">
        <f t="shared" si="23"/>
        <v>129</v>
      </c>
      <c r="N104">
        <f t="shared" si="24"/>
        <v>1252</v>
      </c>
      <c r="O104">
        <f t="shared" si="21"/>
        <v>16</v>
      </c>
    </row>
    <row r="105" spans="1:15" x14ac:dyDescent="0.2">
      <c r="A105" s="45" t="s">
        <v>617</v>
      </c>
      <c r="B105" s="45" t="s">
        <v>180</v>
      </c>
      <c r="C105" s="230">
        <f>VLOOKUP(B105, 'S08 ABC Output'!$A$3:$C$18, 3, 0)</f>
        <v>125036</v>
      </c>
      <c r="D105" s="230">
        <f>VLOOKUP(B105, 'S12 Operations'!$C$2:$H$534, 6, 0)</f>
        <v>200</v>
      </c>
      <c r="E105" s="230">
        <f t="shared" si="17"/>
        <v>626</v>
      </c>
      <c r="F105" s="230">
        <f>VLOOKUP(A105, 'S11 Work Stations'!$A$2:$C$45, 3, 0)</f>
        <v>1</v>
      </c>
      <c r="G105" s="230">
        <f>VLOOKUP(B105&amp;"-"&amp;A105, 'S12 Operations'!$A$2:$G$534, 7, 0)</f>
        <v>0</v>
      </c>
      <c r="H105" s="229">
        <f t="shared" si="18"/>
        <v>0</v>
      </c>
      <c r="I105" s="229">
        <f t="shared" si="19"/>
        <v>626</v>
      </c>
      <c r="J105" s="230">
        <f t="shared" si="20"/>
        <v>10</v>
      </c>
      <c r="L105">
        <f t="shared" si="22"/>
        <v>3</v>
      </c>
      <c r="M105">
        <f t="shared" si="23"/>
        <v>129</v>
      </c>
      <c r="N105">
        <f t="shared" si="24"/>
        <v>1252</v>
      </c>
      <c r="O105">
        <f t="shared" si="21"/>
        <v>16</v>
      </c>
    </row>
    <row r="106" spans="1:15" x14ac:dyDescent="0.2">
      <c r="A106" s="45" t="s">
        <v>617</v>
      </c>
      <c r="B106" s="45" t="s">
        <v>182</v>
      </c>
      <c r="C106" s="230">
        <f>VLOOKUP(B106, 'S08 ABC Output'!$A$3:$C$18, 3, 0)</f>
        <v>86542</v>
      </c>
      <c r="D106" s="230">
        <f>VLOOKUP(B106, 'S12 Operations'!$C$2:$H$534, 6, 0)</f>
        <v>200</v>
      </c>
      <c r="E106" s="230">
        <f t="shared" si="17"/>
        <v>433</v>
      </c>
      <c r="F106" s="230">
        <f>VLOOKUP(A106, 'S11 Work Stations'!$A$2:$C$45, 3, 0)</f>
        <v>1</v>
      </c>
      <c r="G106" s="230">
        <f>VLOOKUP(B106&amp;"-"&amp;A106, 'S12 Operations'!$A$2:$G$534, 7, 0)</f>
        <v>0</v>
      </c>
      <c r="H106" s="229">
        <f t="shared" si="18"/>
        <v>0</v>
      </c>
      <c r="I106" s="229">
        <f t="shared" si="19"/>
        <v>433</v>
      </c>
      <c r="J106" s="230">
        <f t="shared" si="20"/>
        <v>7</v>
      </c>
      <c r="L106">
        <f t="shared" si="22"/>
        <v>5</v>
      </c>
      <c r="M106">
        <f t="shared" si="23"/>
        <v>129</v>
      </c>
      <c r="N106">
        <f t="shared" si="24"/>
        <v>1252</v>
      </c>
      <c r="O106">
        <f t="shared" si="21"/>
        <v>16</v>
      </c>
    </row>
    <row r="107" spans="1:15" x14ac:dyDescent="0.2">
      <c r="A107" s="45" t="s">
        <v>617</v>
      </c>
      <c r="B107" s="45" t="s">
        <v>184</v>
      </c>
      <c r="C107" s="230">
        <f>VLOOKUP(B107, 'S08 ABC Output'!$A$3:$C$18, 3, 0)</f>
        <v>85612</v>
      </c>
      <c r="D107" s="230">
        <f>VLOOKUP(B107, 'S12 Operations'!$C$2:$H$534, 6, 0)</f>
        <v>200</v>
      </c>
      <c r="E107" s="230">
        <f t="shared" si="17"/>
        <v>429</v>
      </c>
      <c r="F107" s="230">
        <f>VLOOKUP(A107, 'S11 Work Stations'!$A$2:$C$45, 3, 0)</f>
        <v>1</v>
      </c>
      <c r="G107" s="230">
        <f>VLOOKUP(B107&amp;"-"&amp;A107, 'S12 Operations'!$A$2:$G$534, 7, 0)</f>
        <v>0</v>
      </c>
      <c r="H107" s="229">
        <f t="shared" si="18"/>
        <v>0</v>
      </c>
      <c r="I107" s="229">
        <f t="shared" si="19"/>
        <v>429</v>
      </c>
      <c r="J107" s="230">
        <f t="shared" si="20"/>
        <v>7</v>
      </c>
      <c r="L107">
        <f t="shared" si="22"/>
        <v>6</v>
      </c>
      <c r="M107">
        <f t="shared" si="23"/>
        <v>129</v>
      </c>
      <c r="N107">
        <f t="shared" si="24"/>
        <v>1252</v>
      </c>
      <c r="O107">
        <f t="shared" si="21"/>
        <v>16</v>
      </c>
    </row>
    <row r="108" spans="1:15" x14ac:dyDescent="0.2">
      <c r="A108" s="45" t="s">
        <v>617</v>
      </c>
      <c r="B108" s="45" t="s">
        <v>186</v>
      </c>
      <c r="C108" s="230">
        <f>VLOOKUP(B108, 'S08 ABC Output'!$A$3:$C$18, 3, 0)</f>
        <v>65248</v>
      </c>
      <c r="D108" s="230">
        <f>VLOOKUP(B108, 'S12 Operations'!$C$2:$H$534, 6, 0)</f>
        <v>200</v>
      </c>
      <c r="E108" s="230">
        <f t="shared" si="17"/>
        <v>327</v>
      </c>
      <c r="F108" s="230">
        <f>VLOOKUP(A108, 'S11 Work Stations'!$A$2:$C$45, 3, 0)</f>
        <v>1</v>
      </c>
      <c r="G108" s="230">
        <f>VLOOKUP(B108&amp;"-"&amp;A108, 'S12 Operations'!$A$2:$G$534, 7, 0)</f>
        <v>0</v>
      </c>
      <c r="H108" s="229">
        <f t="shared" si="18"/>
        <v>0</v>
      </c>
      <c r="I108" s="229">
        <f t="shared" si="19"/>
        <v>327</v>
      </c>
      <c r="J108" s="230">
        <f t="shared" si="20"/>
        <v>5</v>
      </c>
      <c r="L108">
        <f t="shared" si="22"/>
        <v>7</v>
      </c>
      <c r="M108">
        <f t="shared" si="23"/>
        <v>129</v>
      </c>
      <c r="N108">
        <f t="shared" si="24"/>
        <v>1252</v>
      </c>
      <c r="O108">
        <f t="shared" si="21"/>
        <v>16</v>
      </c>
    </row>
    <row r="109" spans="1:15" x14ac:dyDescent="0.2">
      <c r="A109" s="45" t="s">
        <v>617</v>
      </c>
      <c r="B109" s="45" t="s">
        <v>188</v>
      </c>
      <c r="C109" s="230">
        <f>VLOOKUP(B109, 'S08 ABC Output'!$A$3:$C$18, 3, 0)</f>
        <v>54682</v>
      </c>
      <c r="D109" s="230">
        <f>VLOOKUP(B109, 'S12 Operations'!$C$2:$H$534, 6, 0)</f>
        <v>200</v>
      </c>
      <c r="E109" s="230">
        <f t="shared" si="17"/>
        <v>274</v>
      </c>
      <c r="F109" s="230">
        <f>VLOOKUP(A109, 'S11 Work Stations'!$A$2:$C$45, 3, 0)</f>
        <v>1</v>
      </c>
      <c r="G109" s="230">
        <f>VLOOKUP(B109&amp;"-"&amp;A109, 'S12 Operations'!$A$2:$G$534, 7, 0)</f>
        <v>0</v>
      </c>
      <c r="H109" s="229">
        <f t="shared" si="18"/>
        <v>0</v>
      </c>
      <c r="I109" s="229">
        <f t="shared" si="19"/>
        <v>274</v>
      </c>
      <c r="J109" s="230">
        <f t="shared" si="20"/>
        <v>5</v>
      </c>
      <c r="L109">
        <f t="shared" si="22"/>
        <v>8</v>
      </c>
      <c r="M109">
        <f t="shared" si="23"/>
        <v>129</v>
      </c>
      <c r="N109">
        <f t="shared" si="24"/>
        <v>1252</v>
      </c>
      <c r="O109">
        <f t="shared" si="21"/>
        <v>16</v>
      </c>
    </row>
    <row r="110" spans="1:15" x14ac:dyDescent="0.2">
      <c r="A110" s="45" t="s">
        <v>617</v>
      </c>
      <c r="B110" s="45" t="s">
        <v>190</v>
      </c>
      <c r="C110" s="230">
        <f>VLOOKUP(B110, 'S08 ABC Output'!$A$3:$C$18, 3, 0)</f>
        <v>50689</v>
      </c>
      <c r="D110" s="230">
        <f>VLOOKUP(B110, 'S12 Operations'!$C$2:$H$534, 6, 0)</f>
        <v>200</v>
      </c>
      <c r="E110" s="230">
        <f t="shared" si="17"/>
        <v>254</v>
      </c>
      <c r="F110" s="230">
        <f>VLOOKUP(A110, 'S11 Work Stations'!$A$2:$C$45, 3, 0)</f>
        <v>1</v>
      </c>
      <c r="G110" s="230">
        <f>VLOOKUP(B110&amp;"-"&amp;A110, 'S12 Operations'!$A$2:$G$534, 7, 0)</f>
        <v>0</v>
      </c>
      <c r="H110" s="229">
        <f t="shared" si="18"/>
        <v>0</v>
      </c>
      <c r="I110" s="229">
        <f t="shared" si="19"/>
        <v>254</v>
      </c>
      <c r="J110" s="230">
        <f t="shared" si="20"/>
        <v>4</v>
      </c>
      <c r="L110">
        <f t="shared" si="22"/>
        <v>9</v>
      </c>
      <c r="M110">
        <f t="shared" si="23"/>
        <v>129</v>
      </c>
      <c r="N110">
        <f t="shared" si="24"/>
        <v>1252</v>
      </c>
      <c r="O110">
        <f t="shared" si="21"/>
        <v>16</v>
      </c>
    </row>
    <row r="111" spans="1:15" x14ac:dyDescent="0.2">
      <c r="A111" s="45" t="s">
        <v>617</v>
      </c>
      <c r="B111" s="45" t="s">
        <v>192</v>
      </c>
      <c r="C111" s="230">
        <f>VLOOKUP(B111, 'S08 ABC Output'!$A$3:$C$18, 3, 0)</f>
        <v>45896</v>
      </c>
      <c r="D111" s="230">
        <f>VLOOKUP(B111, 'S12 Operations'!$C$2:$H$534, 6, 0)</f>
        <v>200</v>
      </c>
      <c r="E111" s="230">
        <f t="shared" si="17"/>
        <v>230</v>
      </c>
      <c r="F111" s="230">
        <f>VLOOKUP(A111, 'S11 Work Stations'!$A$2:$C$45, 3, 0)</f>
        <v>1</v>
      </c>
      <c r="G111" s="230">
        <f>VLOOKUP(B111&amp;"-"&amp;A111, 'S12 Operations'!$A$2:$G$534, 7, 0)</f>
        <v>0</v>
      </c>
      <c r="H111" s="229">
        <f t="shared" si="18"/>
        <v>0</v>
      </c>
      <c r="I111" s="229">
        <f t="shared" si="19"/>
        <v>230</v>
      </c>
      <c r="J111" s="230">
        <f t="shared" si="20"/>
        <v>4</v>
      </c>
      <c r="L111">
        <f t="shared" si="22"/>
        <v>10</v>
      </c>
      <c r="M111">
        <f t="shared" si="23"/>
        <v>129</v>
      </c>
      <c r="N111">
        <f t="shared" si="24"/>
        <v>1252</v>
      </c>
      <c r="O111">
        <f t="shared" si="21"/>
        <v>16</v>
      </c>
    </row>
    <row r="112" spans="1:15" x14ac:dyDescent="0.2">
      <c r="A112" s="45" t="s">
        <v>617</v>
      </c>
      <c r="B112" s="45" t="s">
        <v>194</v>
      </c>
      <c r="C112" s="230">
        <f>VLOOKUP(B112, 'S08 ABC Output'!$A$3:$C$18, 3, 0)</f>
        <v>36524</v>
      </c>
      <c r="D112" s="230">
        <f>VLOOKUP(B112, 'S12 Operations'!$C$2:$H$534, 6, 0)</f>
        <v>200</v>
      </c>
      <c r="E112" s="230">
        <f t="shared" si="17"/>
        <v>183</v>
      </c>
      <c r="F112" s="230">
        <f>VLOOKUP(A112, 'S11 Work Stations'!$A$2:$C$45, 3, 0)</f>
        <v>1</v>
      </c>
      <c r="G112" s="230">
        <f>VLOOKUP(B112&amp;"-"&amp;A112, 'S12 Operations'!$A$2:$G$534, 7, 0)</f>
        <v>0</v>
      </c>
      <c r="H112" s="229">
        <f t="shared" si="18"/>
        <v>0</v>
      </c>
      <c r="I112" s="229">
        <f t="shared" si="19"/>
        <v>183</v>
      </c>
      <c r="J112" s="230">
        <f t="shared" si="20"/>
        <v>3</v>
      </c>
      <c r="L112">
        <f t="shared" si="22"/>
        <v>11</v>
      </c>
      <c r="M112">
        <f t="shared" si="23"/>
        <v>129</v>
      </c>
      <c r="N112">
        <f t="shared" si="24"/>
        <v>1252</v>
      </c>
      <c r="O112">
        <f t="shared" si="21"/>
        <v>16</v>
      </c>
    </row>
    <row r="113" spans="1:15" x14ac:dyDescent="0.2">
      <c r="A113" s="45" t="s">
        <v>617</v>
      </c>
      <c r="B113" s="45" t="s">
        <v>196</v>
      </c>
      <c r="C113" s="230">
        <f>VLOOKUP(B113, 'S08 ABC Output'!$A$3:$C$18, 3, 0)</f>
        <v>36502</v>
      </c>
      <c r="D113" s="230">
        <f>VLOOKUP(B113, 'S12 Operations'!$C$2:$H$534, 6, 0)</f>
        <v>200</v>
      </c>
      <c r="E113" s="230">
        <f t="shared" si="17"/>
        <v>183</v>
      </c>
      <c r="F113" s="230">
        <f>VLOOKUP(A113, 'S11 Work Stations'!$A$2:$C$45, 3, 0)</f>
        <v>1</v>
      </c>
      <c r="G113" s="230">
        <f>VLOOKUP(B113&amp;"-"&amp;A113, 'S12 Operations'!$A$2:$G$534, 7, 0)</f>
        <v>0</v>
      </c>
      <c r="H113" s="229">
        <f t="shared" si="18"/>
        <v>0</v>
      </c>
      <c r="I113" s="229">
        <f t="shared" si="19"/>
        <v>183</v>
      </c>
      <c r="J113" s="230">
        <f t="shared" si="20"/>
        <v>3</v>
      </c>
      <c r="L113">
        <f t="shared" si="22"/>
        <v>11</v>
      </c>
      <c r="M113">
        <f t="shared" si="23"/>
        <v>129</v>
      </c>
      <c r="N113">
        <f t="shared" si="24"/>
        <v>1252</v>
      </c>
      <c r="O113">
        <f t="shared" si="21"/>
        <v>16</v>
      </c>
    </row>
    <row r="114" spans="1:15" x14ac:dyDescent="0.2">
      <c r="A114" s="45" t="s">
        <v>617</v>
      </c>
      <c r="B114" s="45" t="s">
        <v>198</v>
      </c>
      <c r="C114" s="230">
        <f>VLOOKUP(B114, 'S08 ABC Output'!$A$3:$C$18, 3, 0)</f>
        <v>25689</v>
      </c>
      <c r="D114" s="230">
        <f>VLOOKUP(B114, 'S12 Operations'!$C$2:$H$534, 6, 0)</f>
        <v>200</v>
      </c>
      <c r="E114" s="230">
        <f t="shared" si="17"/>
        <v>129</v>
      </c>
      <c r="F114" s="230">
        <f>VLOOKUP(A114, 'S11 Work Stations'!$A$2:$C$45, 3, 0)</f>
        <v>1</v>
      </c>
      <c r="G114" s="230">
        <f>VLOOKUP(B114&amp;"-"&amp;A114, 'S12 Operations'!$A$2:$G$534, 7, 0)</f>
        <v>0</v>
      </c>
      <c r="H114" s="229">
        <f t="shared" si="18"/>
        <v>0</v>
      </c>
      <c r="I114" s="229">
        <f t="shared" si="19"/>
        <v>129</v>
      </c>
      <c r="J114" s="230">
        <f t="shared" si="20"/>
        <v>2</v>
      </c>
      <c r="L114">
        <f t="shared" si="22"/>
        <v>13</v>
      </c>
      <c r="M114">
        <f t="shared" si="23"/>
        <v>129</v>
      </c>
      <c r="N114">
        <f t="shared" si="24"/>
        <v>1252</v>
      </c>
      <c r="O114">
        <f t="shared" si="21"/>
        <v>16</v>
      </c>
    </row>
    <row r="115" spans="1:15" x14ac:dyDescent="0.2">
      <c r="A115" s="45" t="s">
        <v>617</v>
      </c>
      <c r="B115" s="45" t="s">
        <v>200</v>
      </c>
      <c r="C115" s="230">
        <f>VLOOKUP(B115, 'S08 ABC Output'!$A$3:$C$18, 3, 0)</f>
        <v>25689</v>
      </c>
      <c r="D115" s="230">
        <f>VLOOKUP(B115, 'S12 Operations'!$C$2:$H$534, 6, 0)</f>
        <v>200</v>
      </c>
      <c r="E115" s="230">
        <f t="shared" si="17"/>
        <v>129</v>
      </c>
      <c r="F115" s="230">
        <f>VLOOKUP(A115, 'S11 Work Stations'!$A$2:$C$45, 3, 0)</f>
        <v>1</v>
      </c>
      <c r="G115" s="230">
        <f>VLOOKUP(B115&amp;"-"&amp;A115, 'S12 Operations'!$A$2:$G$534, 7, 0)</f>
        <v>0</v>
      </c>
      <c r="H115" s="229">
        <f t="shared" si="18"/>
        <v>0</v>
      </c>
      <c r="I115" s="229">
        <f t="shared" si="19"/>
        <v>129</v>
      </c>
      <c r="J115" s="230">
        <f t="shared" si="20"/>
        <v>2</v>
      </c>
      <c r="L115">
        <f t="shared" si="22"/>
        <v>13</v>
      </c>
      <c r="M115">
        <f t="shared" si="23"/>
        <v>129</v>
      </c>
      <c r="N115">
        <f t="shared" si="24"/>
        <v>1252</v>
      </c>
      <c r="O115">
        <f t="shared" si="21"/>
        <v>16</v>
      </c>
    </row>
    <row r="116" spans="1:15" x14ac:dyDescent="0.2">
      <c r="A116" s="45" t="s">
        <v>617</v>
      </c>
      <c r="B116" s="45" t="s">
        <v>202</v>
      </c>
      <c r="C116" s="230">
        <f>VLOOKUP(B116, 'S08 ABC Output'!$A$3:$C$18, 3, 0)</f>
        <v>25649</v>
      </c>
      <c r="D116" s="230">
        <f>VLOOKUP(B116, 'S12 Operations'!$C$2:$H$534, 6, 0)</f>
        <v>200</v>
      </c>
      <c r="E116" s="230">
        <f t="shared" si="17"/>
        <v>129</v>
      </c>
      <c r="F116" s="230">
        <f>VLOOKUP(A116, 'S11 Work Stations'!$A$2:$C$45, 3, 0)</f>
        <v>1</v>
      </c>
      <c r="G116" s="230">
        <f>VLOOKUP(B116&amp;"-"&amp;A116, 'S12 Operations'!$A$2:$G$534, 7, 0)</f>
        <v>0</v>
      </c>
      <c r="H116" s="229">
        <f t="shared" si="18"/>
        <v>0</v>
      </c>
      <c r="I116" s="229">
        <f t="shared" si="19"/>
        <v>129</v>
      </c>
      <c r="J116" s="230">
        <f t="shared" si="20"/>
        <v>2</v>
      </c>
      <c r="L116">
        <f t="shared" si="22"/>
        <v>13</v>
      </c>
      <c r="M116">
        <f t="shared" si="23"/>
        <v>129</v>
      </c>
      <c r="N116">
        <f t="shared" si="24"/>
        <v>1252</v>
      </c>
      <c r="O116">
        <f t="shared" si="21"/>
        <v>16</v>
      </c>
    </row>
    <row r="117" spans="1:15" x14ac:dyDescent="0.2">
      <c r="A117" s="45" t="s">
        <v>617</v>
      </c>
      <c r="B117" s="45" t="s">
        <v>203</v>
      </c>
      <c r="C117" s="230">
        <f>VLOOKUP(B117, 'S08 ABC Output'!$A$3:$C$18, 3, 0)</f>
        <v>25639</v>
      </c>
      <c r="D117" s="230">
        <f>VLOOKUP(B117, 'S12 Operations'!$C$2:$H$534, 6, 0)</f>
        <v>200</v>
      </c>
      <c r="E117" s="230">
        <f t="shared" si="17"/>
        <v>129</v>
      </c>
      <c r="F117" s="230">
        <f>VLOOKUP(A117, 'S11 Work Stations'!$A$2:$C$45, 3, 0)</f>
        <v>1</v>
      </c>
      <c r="G117" s="230">
        <f>VLOOKUP(B117&amp;"-"&amp;A117, 'S12 Operations'!$A$2:$G$534, 7, 0)</f>
        <v>0</v>
      </c>
      <c r="H117" s="229">
        <f t="shared" si="18"/>
        <v>0</v>
      </c>
      <c r="I117" s="229">
        <f t="shared" si="19"/>
        <v>129</v>
      </c>
      <c r="J117" s="230">
        <f t="shared" si="20"/>
        <v>2</v>
      </c>
      <c r="L117">
        <f t="shared" si="22"/>
        <v>13</v>
      </c>
      <c r="M117">
        <f t="shared" si="23"/>
        <v>129</v>
      </c>
      <c r="N117">
        <f t="shared" si="24"/>
        <v>1252</v>
      </c>
      <c r="O117">
        <f t="shared" si="21"/>
        <v>16</v>
      </c>
    </row>
    <row r="118" spans="1:15" x14ac:dyDescent="0.2">
      <c r="A118" s="45" t="s">
        <v>617</v>
      </c>
      <c r="B118" s="45" t="s">
        <v>205</v>
      </c>
      <c r="C118" s="230">
        <f>VLOOKUP(B118, 'S08 ABC Output'!$A$3:$C$18, 3, 0)</f>
        <v>25468</v>
      </c>
      <c r="D118" s="230">
        <f>VLOOKUP(B118, 'S12 Operations'!$C$2:$H$534, 6, 0)</f>
        <v>50</v>
      </c>
      <c r="E118" s="230">
        <f t="shared" si="17"/>
        <v>510</v>
      </c>
      <c r="F118" s="230">
        <f>VLOOKUP(A118, 'S11 Work Stations'!$A$2:$C$45, 3, 0)</f>
        <v>1</v>
      </c>
      <c r="G118" s="230">
        <f>VLOOKUP(B118&amp;"-"&amp;A118, 'S12 Operations'!$A$2:$G$534, 7, 0)</f>
        <v>0</v>
      </c>
      <c r="H118" s="229">
        <f t="shared" si="18"/>
        <v>0</v>
      </c>
      <c r="I118" s="229">
        <f t="shared" si="19"/>
        <v>510</v>
      </c>
      <c r="J118" s="230">
        <f t="shared" si="20"/>
        <v>9</v>
      </c>
      <c r="L118">
        <f t="shared" si="22"/>
        <v>4</v>
      </c>
      <c r="M118">
        <f t="shared" si="23"/>
        <v>129</v>
      </c>
      <c r="N118">
        <f t="shared" si="24"/>
        <v>1252</v>
      </c>
      <c r="O118">
        <f>COUNT( _xlfn.IFS(B118=$S$2,#REF!, B118=$T$2,#REF!, B118=$U$2,#REF!, B118=$V$2,#REF!, B118=$W$2,#REF!, B118=$X$2,#REF!, B118=$Y$2,#REF!, B118=$Z$2,#REF!, B118=$AA$2,#REF!, B118=$AB$2,#REF!, B118= $AC$2,#REF!, B118=$AD$2,#REF!, B118=$AE$2,#REF!, B118=$AF$2,#REF!, B118=$AG$2,#REF!, B118=$AH$2,#REF!, B118=$AI$2,#REF!, B118=$AJ$2,#REF!, B118=$AK$2,#REF!, B118=$AL$2,#REF!, B118=$AM$2,#REF!, B118=$AN$2,#REF!, B118=$AO$2,#REF!, B118=$AP$2,#REF!, B118=$AQ$2,#REF!, B118=$AR$2,#REF!))</f>
        <v>0</v>
      </c>
    </row>
    <row r="119" spans="1:15" x14ac:dyDescent="0.2">
      <c r="A119" s="226"/>
      <c r="B119" s="226"/>
      <c r="H119" s="227"/>
      <c r="I119" s="227"/>
    </row>
    <row r="120" spans="1:15" x14ac:dyDescent="0.2">
      <c r="A120" s="226"/>
      <c r="B120" s="226"/>
      <c r="H120" s="227"/>
      <c r="I120" s="227"/>
    </row>
    <row r="121" spans="1:15" x14ac:dyDescent="0.2">
      <c r="A121" s="226"/>
      <c r="B121" s="226"/>
      <c r="H121" s="227"/>
      <c r="I121" s="227"/>
    </row>
    <row r="122" spans="1:15" x14ac:dyDescent="0.2">
      <c r="A122" s="226"/>
      <c r="B122" s="226"/>
      <c r="H122" s="227"/>
      <c r="I122" s="227"/>
    </row>
    <row r="123" spans="1:15" x14ac:dyDescent="0.2">
      <c r="A123" s="226"/>
      <c r="B123" s="226"/>
      <c r="H123" s="227"/>
      <c r="I123" s="227"/>
    </row>
    <row r="124" spans="1:15" x14ac:dyDescent="0.2">
      <c r="A124" s="226"/>
      <c r="B124" s="226"/>
      <c r="H124" s="227"/>
      <c r="I124" s="227"/>
    </row>
    <row r="125" spans="1:15" x14ac:dyDescent="0.2">
      <c r="A125" s="226"/>
      <c r="B125" s="226"/>
      <c r="H125" s="227"/>
      <c r="I125" s="227"/>
    </row>
    <row r="126" spans="1:15" x14ac:dyDescent="0.2">
      <c r="A126" s="226"/>
      <c r="B126" s="226"/>
      <c r="H126" s="227"/>
      <c r="I126" s="227"/>
    </row>
    <row r="127" spans="1:15" x14ac:dyDescent="0.2">
      <c r="A127" s="226"/>
      <c r="B127" s="226"/>
      <c r="H127" s="227"/>
      <c r="I127" s="227"/>
    </row>
    <row r="128" spans="1:15" x14ac:dyDescent="0.2">
      <c r="A128" s="226"/>
      <c r="B128" s="226"/>
      <c r="H128" s="227"/>
      <c r="I128" s="227"/>
    </row>
    <row r="129" spans="1:9" x14ac:dyDescent="0.2">
      <c r="A129" s="226"/>
      <c r="B129" s="226"/>
      <c r="H129" s="227"/>
      <c r="I129" s="227"/>
    </row>
    <row r="130" spans="1:9" x14ac:dyDescent="0.2">
      <c r="A130" s="226"/>
      <c r="B130" s="226"/>
      <c r="H130" s="227"/>
      <c r="I130" s="227"/>
    </row>
    <row r="131" spans="1:9" x14ac:dyDescent="0.2">
      <c r="A131" s="226"/>
      <c r="B131" s="226"/>
      <c r="H131" s="227"/>
      <c r="I131" s="227"/>
    </row>
    <row r="132" spans="1:9" x14ac:dyDescent="0.2">
      <c r="A132" s="226"/>
      <c r="B132" s="226"/>
      <c r="H132" s="227"/>
      <c r="I132" s="227"/>
    </row>
    <row r="133" spans="1:9" x14ac:dyDescent="0.2">
      <c r="A133" s="226"/>
      <c r="B133" s="226"/>
      <c r="H133" s="227"/>
      <c r="I133" s="227"/>
    </row>
    <row r="134" spans="1:9" x14ac:dyDescent="0.2">
      <c r="A134" s="226"/>
      <c r="B134" s="226"/>
      <c r="H134" s="227"/>
      <c r="I134" s="227"/>
    </row>
    <row r="135" spans="1:9" x14ac:dyDescent="0.2">
      <c r="A135" s="226"/>
      <c r="B135" s="226"/>
      <c r="H135" s="227"/>
      <c r="I135" s="227"/>
    </row>
    <row r="136" spans="1:9" x14ac:dyDescent="0.2">
      <c r="A136" s="226"/>
      <c r="B136" s="226"/>
      <c r="H136" s="227"/>
      <c r="I136" s="227"/>
    </row>
    <row r="137" spans="1:9" x14ac:dyDescent="0.2">
      <c r="A137" s="226"/>
      <c r="B137" s="226"/>
      <c r="H137" s="227"/>
      <c r="I137" s="227"/>
    </row>
    <row r="138" spans="1:9" x14ac:dyDescent="0.2">
      <c r="A138" s="226"/>
      <c r="B138" s="226"/>
      <c r="H138" s="227"/>
      <c r="I138" s="227"/>
    </row>
    <row r="139" spans="1:9" x14ac:dyDescent="0.2">
      <c r="A139" s="226"/>
      <c r="B139" s="226"/>
      <c r="H139" s="227"/>
      <c r="I139" s="227"/>
    </row>
    <row r="140" spans="1:9" x14ac:dyDescent="0.2">
      <c r="A140" s="226"/>
      <c r="B140" s="226"/>
      <c r="H140" s="227"/>
      <c r="I140" s="227"/>
    </row>
    <row r="141" spans="1:9" x14ac:dyDescent="0.2">
      <c r="A141" s="226"/>
      <c r="B141" s="226"/>
      <c r="H141" s="227"/>
      <c r="I141" s="227"/>
    </row>
    <row r="142" spans="1:9" x14ac:dyDescent="0.2">
      <c r="A142" s="226"/>
      <c r="B142" s="226"/>
      <c r="H142" s="227"/>
      <c r="I142" s="227"/>
    </row>
    <row r="143" spans="1:9" x14ac:dyDescent="0.2">
      <c r="A143" s="226"/>
      <c r="B143" s="226"/>
      <c r="H143" s="227"/>
      <c r="I143" s="227"/>
    </row>
    <row r="144" spans="1:9" x14ac:dyDescent="0.2">
      <c r="A144" s="226"/>
      <c r="B144" s="226"/>
      <c r="H144" s="227"/>
      <c r="I144" s="227"/>
    </row>
    <row r="145" spans="1:9" x14ac:dyDescent="0.2">
      <c r="A145" s="226"/>
      <c r="B145" s="226"/>
      <c r="H145" s="227"/>
      <c r="I145" s="227"/>
    </row>
    <row r="146" spans="1:9" x14ac:dyDescent="0.2">
      <c r="A146" s="226"/>
      <c r="B146" s="226"/>
      <c r="H146" s="227"/>
      <c r="I146" s="227"/>
    </row>
    <row r="147" spans="1:9" x14ac:dyDescent="0.2">
      <c r="A147" s="226"/>
      <c r="B147" s="226"/>
      <c r="H147" s="227"/>
      <c r="I147" s="227"/>
    </row>
    <row r="148" spans="1:9" x14ac:dyDescent="0.2">
      <c r="A148" s="226"/>
      <c r="B148" s="226"/>
      <c r="H148" s="227"/>
      <c r="I148" s="227"/>
    </row>
    <row r="149" spans="1:9" x14ac:dyDescent="0.2">
      <c r="A149" s="226"/>
      <c r="B149" s="226"/>
      <c r="H149" s="227"/>
      <c r="I149" s="227"/>
    </row>
    <row r="150" spans="1:9" x14ac:dyDescent="0.2">
      <c r="A150" s="226"/>
      <c r="B150" s="226"/>
    </row>
    <row r="151" spans="1:9" x14ac:dyDescent="0.2">
      <c r="A151" s="226"/>
      <c r="B151" s="226"/>
    </row>
    <row r="152" spans="1:9" x14ac:dyDescent="0.2">
      <c r="A152" s="226"/>
      <c r="B152" s="226"/>
    </row>
    <row r="153" spans="1:9" x14ac:dyDescent="0.2">
      <c r="A153" s="226"/>
      <c r="B153" s="226"/>
    </row>
    <row r="154" spans="1:9" x14ac:dyDescent="0.2">
      <c r="A154" s="226"/>
      <c r="B154" s="226"/>
    </row>
    <row r="155" spans="1:9" x14ac:dyDescent="0.2">
      <c r="A155" s="226"/>
      <c r="B155" s="226"/>
    </row>
    <row r="156" spans="1:9" x14ac:dyDescent="0.2">
      <c r="A156" s="226"/>
      <c r="B156" s="226"/>
    </row>
    <row r="157" spans="1:9" x14ac:dyDescent="0.2">
      <c r="A157" s="226"/>
      <c r="B157" s="226"/>
    </row>
    <row r="158" spans="1:9" x14ac:dyDescent="0.2">
      <c r="A158" s="226"/>
      <c r="B158" s="226"/>
    </row>
    <row r="159" spans="1:9" x14ac:dyDescent="0.2">
      <c r="A159" s="226"/>
      <c r="B159" s="226"/>
    </row>
    <row r="160" spans="1:9" x14ac:dyDescent="0.2">
      <c r="A160" s="226"/>
      <c r="B160" s="226"/>
    </row>
    <row r="161" spans="1:2" x14ac:dyDescent="0.2">
      <c r="A161" s="226"/>
      <c r="B161" s="226"/>
    </row>
    <row r="162" spans="1:2" x14ac:dyDescent="0.2">
      <c r="A162" s="226"/>
      <c r="B162" s="226"/>
    </row>
    <row r="163" spans="1:2" x14ac:dyDescent="0.2">
      <c r="A163" s="226"/>
      <c r="B163" s="226"/>
    </row>
    <row r="164" spans="1:2" x14ac:dyDescent="0.2">
      <c r="A164" s="226"/>
      <c r="B164" s="226"/>
    </row>
    <row r="165" spans="1:2" x14ac:dyDescent="0.2">
      <c r="A165" s="226"/>
      <c r="B165" s="226"/>
    </row>
    <row r="166" spans="1:2" x14ac:dyDescent="0.2">
      <c r="A166" s="226"/>
      <c r="B166" s="226"/>
    </row>
    <row r="167" spans="1:2" x14ac:dyDescent="0.2">
      <c r="A167" s="226"/>
      <c r="B167" s="226"/>
    </row>
    <row r="168" spans="1:2" x14ac:dyDescent="0.2">
      <c r="A168" s="226"/>
      <c r="B168" s="226"/>
    </row>
    <row r="169" spans="1:2" x14ac:dyDescent="0.2">
      <c r="A169" s="226"/>
      <c r="B169" s="226"/>
    </row>
    <row r="170" spans="1:2" x14ac:dyDescent="0.2">
      <c r="A170" s="226"/>
      <c r="B170" s="226"/>
    </row>
    <row r="171" spans="1:2" x14ac:dyDescent="0.2">
      <c r="A171" s="226"/>
      <c r="B171" s="226"/>
    </row>
    <row r="172" spans="1:2" x14ac:dyDescent="0.2">
      <c r="A172" s="226"/>
      <c r="B172" s="226"/>
    </row>
    <row r="173" spans="1:2" x14ac:dyDescent="0.2">
      <c r="A173" s="226"/>
      <c r="B173" s="226"/>
    </row>
    <row r="174" spans="1:2" x14ac:dyDescent="0.2">
      <c r="A174" s="226"/>
      <c r="B174" s="226"/>
    </row>
    <row r="175" spans="1:2" x14ac:dyDescent="0.2">
      <c r="A175" s="226"/>
      <c r="B175" s="226"/>
    </row>
    <row r="176" spans="1:2" x14ac:dyDescent="0.2">
      <c r="A176" s="226"/>
      <c r="B176" s="226"/>
    </row>
    <row r="177" spans="1:2" x14ac:dyDescent="0.2">
      <c r="A177" s="226"/>
      <c r="B177" s="226"/>
    </row>
    <row r="178" spans="1:2" x14ac:dyDescent="0.2">
      <c r="A178" s="226"/>
      <c r="B178" s="226"/>
    </row>
    <row r="179" spans="1:2" x14ac:dyDescent="0.2">
      <c r="A179" s="226"/>
      <c r="B179" s="226"/>
    </row>
    <row r="180" spans="1:2" x14ac:dyDescent="0.2">
      <c r="A180" s="226"/>
      <c r="B180" s="226"/>
    </row>
    <row r="181" spans="1:2" x14ac:dyDescent="0.2">
      <c r="A181" s="226"/>
      <c r="B181" s="226"/>
    </row>
    <row r="182" spans="1:2" x14ac:dyDescent="0.2">
      <c r="A182" s="226"/>
      <c r="B182" s="226"/>
    </row>
    <row r="183" spans="1:2" x14ac:dyDescent="0.2">
      <c r="A183" s="226"/>
      <c r="B183" s="226"/>
    </row>
    <row r="184" spans="1:2" x14ac:dyDescent="0.2">
      <c r="A184" s="226"/>
      <c r="B184" s="226"/>
    </row>
    <row r="185" spans="1:2" x14ac:dyDescent="0.2">
      <c r="A185" s="226"/>
      <c r="B185" s="226"/>
    </row>
    <row r="186" spans="1:2" x14ac:dyDescent="0.2">
      <c r="A186" s="226"/>
      <c r="B186" s="226"/>
    </row>
    <row r="187" spans="1:2" x14ac:dyDescent="0.2">
      <c r="A187" s="226"/>
      <c r="B187" s="226"/>
    </row>
    <row r="188" spans="1:2" x14ac:dyDescent="0.2">
      <c r="A188" s="226"/>
      <c r="B188" s="226"/>
    </row>
    <row r="189" spans="1:2" x14ac:dyDescent="0.2">
      <c r="A189" s="226"/>
      <c r="B189" s="226"/>
    </row>
    <row r="190" spans="1:2" x14ac:dyDescent="0.2">
      <c r="A190" s="226"/>
      <c r="B190" s="226"/>
    </row>
    <row r="191" spans="1:2" x14ac:dyDescent="0.2">
      <c r="A191" s="226"/>
      <c r="B191" s="226"/>
    </row>
    <row r="192" spans="1:2" x14ac:dyDescent="0.2">
      <c r="A192" s="226"/>
      <c r="B192" s="226"/>
    </row>
    <row r="193" spans="1:2" x14ac:dyDescent="0.2">
      <c r="A193" s="226"/>
      <c r="B193" s="226"/>
    </row>
    <row r="194" spans="1:2" x14ac:dyDescent="0.2">
      <c r="A194" s="226"/>
      <c r="B194" s="226"/>
    </row>
    <row r="195" spans="1:2" x14ac:dyDescent="0.2">
      <c r="A195" s="226"/>
      <c r="B195" s="226"/>
    </row>
    <row r="196" spans="1:2" x14ac:dyDescent="0.2">
      <c r="A196" s="226"/>
      <c r="B196" s="226"/>
    </row>
    <row r="197" spans="1:2" x14ac:dyDescent="0.2">
      <c r="A197" s="226"/>
      <c r="B197" s="226"/>
    </row>
    <row r="198" spans="1:2" x14ac:dyDescent="0.2">
      <c r="A198" s="226"/>
      <c r="B198" s="226"/>
    </row>
    <row r="199" spans="1:2" x14ac:dyDescent="0.2">
      <c r="A199" s="226"/>
      <c r="B199" s="226"/>
    </row>
    <row r="200" spans="1:2" x14ac:dyDescent="0.2">
      <c r="A200" s="226"/>
      <c r="B200" s="226"/>
    </row>
    <row r="201" spans="1:2" x14ac:dyDescent="0.2">
      <c r="A201" s="226"/>
      <c r="B201" s="226"/>
    </row>
    <row r="202" spans="1:2" x14ac:dyDescent="0.2">
      <c r="A202" s="226"/>
      <c r="B202" s="226"/>
    </row>
    <row r="203" spans="1:2" x14ac:dyDescent="0.2">
      <c r="A203" s="226"/>
      <c r="B203" s="226"/>
    </row>
    <row r="204" spans="1:2" x14ac:dyDescent="0.2">
      <c r="A204" s="226"/>
      <c r="B204" s="226"/>
    </row>
    <row r="205" spans="1:2" x14ac:dyDescent="0.2">
      <c r="A205" s="226"/>
      <c r="B205" s="226"/>
    </row>
    <row r="206" spans="1:2" x14ac:dyDescent="0.2">
      <c r="A206" s="226"/>
      <c r="B206" s="226"/>
    </row>
    <row r="207" spans="1:2" x14ac:dyDescent="0.2">
      <c r="A207" s="226"/>
      <c r="B207" s="226"/>
    </row>
    <row r="208" spans="1:2" x14ac:dyDescent="0.2">
      <c r="A208" s="226"/>
      <c r="B208" s="226"/>
    </row>
    <row r="209" spans="1:2" x14ac:dyDescent="0.2">
      <c r="A209" s="226"/>
      <c r="B209" s="226"/>
    </row>
    <row r="210" spans="1:2" x14ac:dyDescent="0.2">
      <c r="A210" s="226"/>
      <c r="B210" s="226"/>
    </row>
    <row r="211" spans="1:2" x14ac:dyDescent="0.2">
      <c r="A211" s="226"/>
      <c r="B211" s="226"/>
    </row>
    <row r="212" spans="1:2" x14ac:dyDescent="0.2">
      <c r="A212" s="226"/>
      <c r="B212" s="226"/>
    </row>
    <row r="213" spans="1:2" x14ac:dyDescent="0.2">
      <c r="A213" s="226"/>
      <c r="B213" s="226"/>
    </row>
    <row r="214" spans="1:2" x14ac:dyDescent="0.2">
      <c r="A214" s="226"/>
      <c r="B214" s="226"/>
    </row>
    <row r="215" spans="1:2" x14ac:dyDescent="0.2">
      <c r="A215" s="226"/>
      <c r="B215" s="226"/>
    </row>
    <row r="216" spans="1:2" x14ac:dyDescent="0.2">
      <c r="A216" s="226"/>
      <c r="B216" s="226"/>
    </row>
    <row r="217" spans="1:2" x14ac:dyDescent="0.2">
      <c r="A217" s="226"/>
      <c r="B217" s="226"/>
    </row>
    <row r="218" spans="1:2" x14ac:dyDescent="0.2">
      <c r="A218" s="226"/>
      <c r="B218" s="226"/>
    </row>
    <row r="219" spans="1:2" x14ac:dyDescent="0.2">
      <c r="A219" s="226"/>
      <c r="B219" s="226"/>
    </row>
    <row r="220" spans="1:2" x14ac:dyDescent="0.2">
      <c r="A220" s="226"/>
      <c r="B220" s="226"/>
    </row>
    <row r="221" spans="1:2" x14ac:dyDescent="0.2">
      <c r="A221" s="226"/>
      <c r="B221" s="226"/>
    </row>
    <row r="222" spans="1:2" x14ac:dyDescent="0.2">
      <c r="A222" s="226"/>
      <c r="B222" s="226"/>
    </row>
    <row r="223" spans="1:2" x14ac:dyDescent="0.2">
      <c r="A223" s="226"/>
      <c r="B223" s="226"/>
    </row>
    <row r="224" spans="1:2" x14ac:dyDescent="0.2">
      <c r="A224" s="226"/>
      <c r="B224" s="226"/>
    </row>
    <row r="225" spans="1:2" x14ac:dyDescent="0.2">
      <c r="A225" s="226"/>
      <c r="B225" s="226"/>
    </row>
    <row r="226" spans="1:2" x14ac:dyDescent="0.2">
      <c r="A226" s="226"/>
      <c r="B226" s="226"/>
    </row>
    <row r="227" spans="1:2" x14ac:dyDescent="0.2">
      <c r="A227" s="226"/>
      <c r="B227" s="226"/>
    </row>
    <row r="228" spans="1:2" x14ac:dyDescent="0.2">
      <c r="A228" s="226"/>
      <c r="B228" s="226"/>
    </row>
    <row r="229" spans="1:2" x14ac:dyDescent="0.2">
      <c r="A229" s="226"/>
      <c r="B229" s="226"/>
    </row>
    <row r="230" spans="1:2" x14ac:dyDescent="0.2">
      <c r="A230" s="226"/>
      <c r="B230" s="226"/>
    </row>
    <row r="231" spans="1:2" x14ac:dyDescent="0.2">
      <c r="A231" s="226"/>
      <c r="B231" s="226"/>
    </row>
    <row r="232" spans="1:2" x14ac:dyDescent="0.2">
      <c r="A232" s="226"/>
      <c r="B232" s="226"/>
    </row>
    <row r="233" spans="1:2" x14ac:dyDescent="0.2">
      <c r="A233" s="226"/>
      <c r="B233" s="226"/>
    </row>
    <row r="234" spans="1:2" x14ac:dyDescent="0.2">
      <c r="A234" s="226"/>
      <c r="B234" s="226"/>
    </row>
    <row r="235" spans="1:2" x14ac:dyDescent="0.2">
      <c r="A235" s="226"/>
      <c r="B235" s="226"/>
    </row>
    <row r="236" spans="1:2" x14ac:dyDescent="0.2">
      <c r="A236" s="226"/>
      <c r="B236" s="226"/>
    </row>
    <row r="237" spans="1:2" x14ac:dyDescent="0.2">
      <c r="A237" s="226"/>
      <c r="B237" s="226"/>
    </row>
    <row r="238" spans="1:2" x14ac:dyDescent="0.2">
      <c r="A238" s="226"/>
      <c r="B238" s="226"/>
    </row>
    <row r="239" spans="1:2" x14ac:dyDescent="0.2">
      <c r="A239" s="226"/>
      <c r="B239" s="226"/>
    </row>
    <row r="240" spans="1:2" x14ac:dyDescent="0.2">
      <c r="A240" s="226"/>
      <c r="B240" s="226"/>
    </row>
    <row r="241" spans="1:2" x14ac:dyDescent="0.2">
      <c r="A241" s="226"/>
      <c r="B241" s="226"/>
    </row>
    <row r="242" spans="1:2" x14ac:dyDescent="0.2">
      <c r="A242" s="226"/>
      <c r="B242" s="226"/>
    </row>
    <row r="243" spans="1:2" x14ac:dyDescent="0.2">
      <c r="A243" s="226"/>
      <c r="B243" s="226"/>
    </row>
    <row r="244" spans="1:2" x14ac:dyDescent="0.2">
      <c r="A244" s="226"/>
      <c r="B244" s="226"/>
    </row>
    <row r="245" spans="1:2" x14ac:dyDescent="0.2">
      <c r="A245" s="226"/>
      <c r="B245" s="226"/>
    </row>
    <row r="246" spans="1:2" x14ac:dyDescent="0.2">
      <c r="A246" s="226"/>
      <c r="B246" s="226"/>
    </row>
    <row r="247" spans="1:2" x14ac:dyDescent="0.2">
      <c r="A247" s="226"/>
      <c r="B247" s="226"/>
    </row>
    <row r="248" spans="1:2" x14ac:dyDescent="0.2">
      <c r="A248" s="226"/>
      <c r="B248" s="226"/>
    </row>
    <row r="249" spans="1:2" x14ac:dyDescent="0.2">
      <c r="A249" s="226"/>
      <c r="B249" s="226"/>
    </row>
    <row r="250" spans="1:2" x14ac:dyDescent="0.2">
      <c r="A250" s="226"/>
      <c r="B250" s="226"/>
    </row>
    <row r="251" spans="1:2" x14ac:dyDescent="0.2">
      <c r="A251" s="226"/>
      <c r="B251" s="226"/>
    </row>
    <row r="252" spans="1:2" x14ac:dyDescent="0.2">
      <c r="A252" s="226"/>
      <c r="B252" s="226"/>
    </row>
    <row r="253" spans="1:2" x14ac:dyDescent="0.2">
      <c r="A253" s="226"/>
      <c r="B253" s="226"/>
    </row>
    <row r="254" spans="1:2" x14ac:dyDescent="0.2">
      <c r="A254" s="226"/>
      <c r="B254" s="226"/>
    </row>
    <row r="255" spans="1:2" x14ac:dyDescent="0.2">
      <c r="A255" s="226"/>
      <c r="B255" s="226"/>
    </row>
    <row r="256" spans="1:2" x14ac:dyDescent="0.2">
      <c r="A256" s="226"/>
      <c r="B256" s="226"/>
    </row>
    <row r="257" spans="1:2" x14ac:dyDescent="0.2">
      <c r="A257" s="226"/>
      <c r="B257" s="226"/>
    </row>
    <row r="258" spans="1:2" x14ac:dyDescent="0.2">
      <c r="A258" s="226"/>
      <c r="B258" s="226"/>
    </row>
    <row r="259" spans="1:2" x14ac:dyDescent="0.2">
      <c r="A259" s="226"/>
      <c r="B259" s="226"/>
    </row>
    <row r="260" spans="1:2" x14ac:dyDescent="0.2">
      <c r="A260" s="226"/>
      <c r="B260" s="226"/>
    </row>
    <row r="261" spans="1:2" x14ac:dyDescent="0.2">
      <c r="A261" s="226"/>
      <c r="B261" s="226"/>
    </row>
    <row r="262" spans="1:2" x14ac:dyDescent="0.2">
      <c r="A262" s="226"/>
      <c r="B262" s="226"/>
    </row>
    <row r="263" spans="1:2" x14ac:dyDescent="0.2">
      <c r="A263" s="226"/>
      <c r="B263" s="226"/>
    </row>
    <row r="264" spans="1:2" x14ac:dyDescent="0.2">
      <c r="A264" s="226"/>
      <c r="B264" s="226"/>
    </row>
    <row r="265" spans="1:2" x14ac:dyDescent="0.2">
      <c r="A265" s="226"/>
      <c r="B265" s="226"/>
    </row>
    <row r="266" spans="1:2" x14ac:dyDescent="0.2">
      <c r="A266" s="226"/>
      <c r="B266" s="226"/>
    </row>
    <row r="267" spans="1:2" x14ac:dyDescent="0.2">
      <c r="A267" s="226"/>
      <c r="B267" s="226"/>
    </row>
    <row r="268" spans="1:2" x14ac:dyDescent="0.2">
      <c r="A268" s="226"/>
      <c r="B268" s="226"/>
    </row>
    <row r="269" spans="1:2" x14ac:dyDescent="0.2">
      <c r="A269" s="226"/>
      <c r="B269" s="226"/>
    </row>
    <row r="270" spans="1:2" x14ac:dyDescent="0.2">
      <c r="A270" s="226"/>
      <c r="B270" s="226"/>
    </row>
    <row r="271" spans="1:2" x14ac:dyDescent="0.2">
      <c r="A271" s="226"/>
      <c r="B271" s="226"/>
    </row>
    <row r="272" spans="1:2" x14ac:dyDescent="0.2">
      <c r="A272" s="226"/>
      <c r="B272" s="226"/>
    </row>
    <row r="273" spans="1:2" x14ac:dyDescent="0.2">
      <c r="A273" s="226"/>
      <c r="B273" s="226"/>
    </row>
    <row r="274" spans="1:2" x14ac:dyDescent="0.2">
      <c r="A274" s="226"/>
      <c r="B274" s="226"/>
    </row>
    <row r="275" spans="1:2" x14ac:dyDescent="0.2">
      <c r="A275" s="226"/>
      <c r="B275" s="226"/>
    </row>
    <row r="276" spans="1:2" x14ac:dyDescent="0.2">
      <c r="A276" s="226"/>
      <c r="B276" s="226"/>
    </row>
    <row r="277" spans="1:2" x14ac:dyDescent="0.2">
      <c r="A277" s="226"/>
      <c r="B277" s="226"/>
    </row>
    <row r="278" spans="1:2" x14ac:dyDescent="0.2">
      <c r="A278" s="226"/>
      <c r="B278" s="226"/>
    </row>
    <row r="279" spans="1:2" x14ac:dyDescent="0.2">
      <c r="A279" s="226"/>
      <c r="B279" s="226"/>
    </row>
    <row r="280" spans="1:2" x14ac:dyDescent="0.2">
      <c r="A280" s="226"/>
      <c r="B280" s="226"/>
    </row>
    <row r="281" spans="1:2" x14ac:dyDescent="0.2">
      <c r="A281" s="226"/>
      <c r="B281" s="226"/>
    </row>
    <row r="282" spans="1:2" x14ac:dyDescent="0.2">
      <c r="A282" s="226"/>
      <c r="B282" s="226"/>
    </row>
    <row r="283" spans="1:2" x14ac:dyDescent="0.2">
      <c r="A283" s="226"/>
      <c r="B283" s="226"/>
    </row>
    <row r="284" spans="1:2" x14ac:dyDescent="0.2">
      <c r="A284" s="226"/>
      <c r="B284" s="226"/>
    </row>
    <row r="285" spans="1:2" x14ac:dyDescent="0.2">
      <c r="A285" s="226"/>
      <c r="B285" s="226"/>
    </row>
    <row r="286" spans="1:2" x14ac:dyDescent="0.2">
      <c r="A286" s="226"/>
      <c r="B286" s="226"/>
    </row>
    <row r="287" spans="1:2" x14ac:dyDescent="0.2">
      <c r="A287" s="226"/>
      <c r="B287" s="226"/>
    </row>
    <row r="288" spans="1:2" x14ac:dyDescent="0.2">
      <c r="A288" s="226"/>
      <c r="B288" s="226"/>
    </row>
    <row r="289" spans="1:2" x14ac:dyDescent="0.2">
      <c r="A289" s="226"/>
      <c r="B289" s="226"/>
    </row>
    <row r="290" spans="1:2" x14ac:dyDescent="0.2">
      <c r="A290" s="226"/>
      <c r="B290" s="226"/>
    </row>
    <row r="291" spans="1:2" x14ac:dyDescent="0.2">
      <c r="A291" s="226"/>
      <c r="B291" s="226"/>
    </row>
    <row r="292" spans="1:2" x14ac:dyDescent="0.2">
      <c r="A292" s="226"/>
      <c r="B292" s="226"/>
    </row>
    <row r="293" spans="1:2" x14ac:dyDescent="0.2">
      <c r="A293" s="226"/>
      <c r="B293" s="226"/>
    </row>
    <row r="294" spans="1:2" x14ac:dyDescent="0.2">
      <c r="A294" s="226"/>
      <c r="B294" s="226"/>
    </row>
    <row r="295" spans="1:2" x14ac:dyDescent="0.2">
      <c r="A295" s="226"/>
      <c r="B295" s="226"/>
    </row>
    <row r="296" spans="1:2" x14ac:dyDescent="0.2">
      <c r="A296" s="226"/>
      <c r="B296" s="226"/>
    </row>
    <row r="297" spans="1:2" x14ac:dyDescent="0.2">
      <c r="A297" s="226"/>
      <c r="B297" s="226"/>
    </row>
    <row r="298" spans="1:2" x14ac:dyDescent="0.2">
      <c r="A298" s="226"/>
      <c r="B298" s="226"/>
    </row>
    <row r="299" spans="1:2" x14ac:dyDescent="0.2">
      <c r="A299" s="226"/>
      <c r="B299" s="226"/>
    </row>
    <row r="300" spans="1:2" x14ac:dyDescent="0.2">
      <c r="A300" s="226"/>
      <c r="B300" s="226"/>
    </row>
    <row r="301" spans="1:2" x14ac:dyDescent="0.2">
      <c r="A301" s="226"/>
      <c r="B301" s="226"/>
    </row>
    <row r="302" spans="1:2" x14ac:dyDescent="0.2">
      <c r="A302" s="226"/>
      <c r="B302" s="226"/>
    </row>
    <row r="303" spans="1:2" x14ac:dyDescent="0.2">
      <c r="A303" s="226"/>
      <c r="B303" s="226"/>
    </row>
    <row r="304" spans="1:2" x14ac:dyDescent="0.2">
      <c r="A304" s="226"/>
      <c r="B304" s="226"/>
    </row>
    <row r="305" spans="1:2" x14ac:dyDescent="0.2">
      <c r="A305" s="226"/>
      <c r="B305" s="226"/>
    </row>
    <row r="306" spans="1:2" x14ac:dyDescent="0.2">
      <c r="A306" s="226"/>
      <c r="B306" s="226"/>
    </row>
    <row r="307" spans="1:2" x14ac:dyDescent="0.2">
      <c r="A307" s="226"/>
      <c r="B307" s="226"/>
    </row>
    <row r="308" spans="1:2" x14ac:dyDescent="0.2">
      <c r="A308" s="226"/>
      <c r="B308" s="226"/>
    </row>
    <row r="309" spans="1:2" x14ac:dyDescent="0.2">
      <c r="A309" s="226"/>
      <c r="B309" s="226"/>
    </row>
    <row r="310" spans="1:2" x14ac:dyDescent="0.2">
      <c r="A310" s="226"/>
      <c r="B310" s="226"/>
    </row>
    <row r="311" spans="1:2" x14ac:dyDescent="0.2">
      <c r="A311" s="226"/>
      <c r="B311" s="226"/>
    </row>
    <row r="312" spans="1:2" x14ac:dyDescent="0.2">
      <c r="A312" s="226"/>
      <c r="B312" s="226"/>
    </row>
    <row r="313" spans="1:2" x14ac:dyDescent="0.2">
      <c r="A313" s="226"/>
      <c r="B313" s="226"/>
    </row>
    <row r="314" spans="1:2" x14ac:dyDescent="0.2">
      <c r="A314" s="226"/>
      <c r="B314" s="226"/>
    </row>
    <row r="315" spans="1:2" x14ac:dyDescent="0.2">
      <c r="A315" s="226"/>
      <c r="B315" s="226"/>
    </row>
  </sheetData>
  <autoFilter ref="A1:J118" xr:uid="{0429326E-B5F0-43EB-A6F4-EB813437F687}">
    <sortState xmlns:xlrd2="http://schemas.microsoft.com/office/spreadsheetml/2017/richdata2" ref="A2:J118">
      <sortCondition ref="A1:A149"/>
    </sortState>
  </autoFilter>
  <mergeCells count="1">
    <mergeCell ref="S1:AR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Sheet22_WS_Item">
                <anchor moveWithCells="1" sizeWithCells="1">
                  <from>
                    <xdr:col>10</xdr:col>
                    <xdr:colOff>330200</xdr:colOff>
                    <xdr:row>0</xdr:row>
                    <xdr:rowOff>25400</xdr:rowOff>
                  </from>
                  <to>
                    <xdr:col>10</xdr:col>
                    <xdr:colOff>1524000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B1B-9864-BD4B-8207-1F3D3B2F260A}">
  <sheetPr codeName="Sheet23"/>
  <dimension ref="A1:D2"/>
  <sheetViews>
    <sheetView workbookViewId="0">
      <selection activeCell="A2" sqref="A2:C2"/>
    </sheetView>
  </sheetViews>
  <sheetFormatPr baseColWidth="10" defaultColWidth="11" defaultRowHeight="16" x14ac:dyDescent="0.2"/>
  <cols>
    <col min="1" max="1" width="22.33203125" bestFit="1" customWidth="1"/>
    <col min="2" max="2" width="23" bestFit="1" customWidth="1"/>
    <col min="3" max="3" width="11.6640625" bestFit="1" customWidth="1"/>
    <col min="4" max="4" width="25.33203125" bestFit="1" customWidth="1"/>
  </cols>
  <sheetData>
    <row r="1" spans="1:4" x14ac:dyDescent="0.2">
      <c r="A1" s="5" t="s">
        <v>938</v>
      </c>
      <c r="B1" s="5" t="s">
        <v>939</v>
      </c>
      <c r="C1" s="5" t="s">
        <v>940</v>
      </c>
      <c r="D1" s="5" t="s">
        <v>941</v>
      </c>
    </row>
    <row r="2" spans="1:4" x14ac:dyDescent="0.2">
      <c r="A2" s="3">
        <v>250</v>
      </c>
      <c r="B2" s="3">
        <v>8</v>
      </c>
      <c r="C2" s="3">
        <v>0.8</v>
      </c>
      <c r="D2" s="3"/>
    </row>
  </sheetData>
  <pageMargins left="0.7" right="0.7" top="0.75" bottom="0.75" header="0.3" footer="0.3"/>
  <pageSetup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9ACB-B374-2C44-BCBD-6D39A476A075}">
  <sheetPr codeName="Sheet24"/>
  <dimension ref="A1:D27"/>
  <sheetViews>
    <sheetView workbookViewId="0">
      <selection activeCell="I26" sqref="I26"/>
    </sheetView>
  </sheetViews>
  <sheetFormatPr baseColWidth="10" defaultColWidth="11" defaultRowHeight="16" x14ac:dyDescent="0.2"/>
  <cols>
    <col min="2" max="2" width="41" bestFit="1" customWidth="1"/>
    <col min="3" max="3" width="22.1640625" bestFit="1" customWidth="1"/>
    <col min="4" max="4" width="20.6640625" bestFit="1" customWidth="1"/>
  </cols>
  <sheetData>
    <row r="1" spans="1:4" x14ac:dyDescent="0.2">
      <c r="A1" s="137" t="s">
        <v>926</v>
      </c>
      <c r="B1" s="228" t="s">
        <v>942</v>
      </c>
      <c r="C1" s="138" t="s">
        <v>943</v>
      </c>
      <c r="D1" s="138" t="s">
        <v>944</v>
      </c>
    </row>
    <row r="2" spans="1:4" x14ac:dyDescent="0.2">
      <c r="A2" s="3"/>
      <c r="B2" s="3"/>
      <c r="C2" s="3"/>
      <c r="D2" s="3"/>
    </row>
    <row r="3" spans="1:4" x14ac:dyDescent="0.2">
      <c r="A3" s="3"/>
      <c r="B3" s="3"/>
      <c r="C3" s="3"/>
      <c r="D3" s="3"/>
    </row>
    <row r="4" spans="1:4" x14ac:dyDescent="0.2">
      <c r="A4" s="3"/>
      <c r="B4" s="3"/>
      <c r="C4" s="3"/>
      <c r="D4" s="3"/>
    </row>
    <row r="5" spans="1:4" x14ac:dyDescent="0.2">
      <c r="A5" s="3"/>
      <c r="B5" s="3"/>
      <c r="C5" s="3"/>
      <c r="D5" s="3"/>
    </row>
    <row r="6" spans="1:4" x14ac:dyDescent="0.2">
      <c r="A6" s="3"/>
      <c r="B6" s="3"/>
      <c r="C6" s="3"/>
      <c r="D6" s="3"/>
    </row>
    <row r="7" spans="1:4" x14ac:dyDescent="0.2">
      <c r="A7" s="3"/>
      <c r="B7" s="3"/>
      <c r="C7" s="3"/>
      <c r="D7" s="3"/>
    </row>
    <row r="8" spans="1:4" x14ac:dyDescent="0.2">
      <c r="A8" s="3"/>
      <c r="B8" s="3"/>
      <c r="C8" s="3"/>
      <c r="D8" s="3"/>
    </row>
    <row r="9" spans="1:4" x14ac:dyDescent="0.2">
      <c r="A9" s="3"/>
      <c r="B9" s="3"/>
      <c r="C9" s="3"/>
      <c r="D9" s="3"/>
    </row>
    <row r="10" spans="1:4" x14ac:dyDescent="0.2">
      <c r="A10" s="3"/>
      <c r="B10" s="3"/>
      <c r="C10" s="3"/>
      <c r="D10" s="3"/>
    </row>
    <row r="11" spans="1:4" x14ac:dyDescent="0.2">
      <c r="A11" s="3"/>
      <c r="B11" s="3"/>
      <c r="C11" s="3"/>
      <c r="D11" s="3"/>
    </row>
    <row r="12" spans="1:4" x14ac:dyDescent="0.2">
      <c r="A12" s="3"/>
      <c r="B12" s="3"/>
      <c r="C12" s="3"/>
      <c r="D12" s="3"/>
    </row>
    <row r="13" spans="1:4" x14ac:dyDescent="0.2">
      <c r="A13" s="3"/>
      <c r="B13" s="3"/>
      <c r="C13" s="3"/>
      <c r="D13" s="3"/>
    </row>
    <row r="14" spans="1:4" x14ac:dyDescent="0.2">
      <c r="A14" s="3"/>
      <c r="B14" s="3"/>
      <c r="C14" s="3"/>
      <c r="D14" s="3"/>
    </row>
    <row r="15" spans="1:4" x14ac:dyDescent="0.2">
      <c r="A15" s="3"/>
      <c r="B15" s="3"/>
      <c r="C15" s="3"/>
      <c r="D15" s="3"/>
    </row>
    <row r="16" spans="1:4" x14ac:dyDescent="0.2">
      <c r="A16" s="3"/>
      <c r="B16" s="3"/>
      <c r="C16" s="3"/>
      <c r="D16" s="3"/>
    </row>
    <row r="17" spans="1:4" x14ac:dyDescent="0.2">
      <c r="A17" s="3"/>
      <c r="B17" s="3"/>
      <c r="C17" s="3"/>
      <c r="D17" s="3"/>
    </row>
    <row r="18" spans="1:4" x14ac:dyDescent="0.2">
      <c r="A18" s="3"/>
      <c r="B18" s="3"/>
      <c r="C18" s="3"/>
      <c r="D18" s="3"/>
    </row>
    <row r="19" spans="1:4" x14ac:dyDescent="0.2">
      <c r="A19" s="3"/>
      <c r="B19" s="3"/>
      <c r="C19" s="3"/>
      <c r="D19" s="3"/>
    </row>
    <row r="20" spans="1:4" x14ac:dyDescent="0.2">
      <c r="A20" s="3"/>
      <c r="B20" s="3"/>
      <c r="C20" s="3"/>
      <c r="D20" s="3"/>
    </row>
    <row r="21" spans="1:4" x14ac:dyDescent="0.2">
      <c r="A21" s="3"/>
      <c r="B21" s="3"/>
      <c r="C21" s="3"/>
      <c r="D21" s="3"/>
    </row>
    <row r="22" spans="1:4" x14ac:dyDescent="0.2">
      <c r="A22" s="3"/>
      <c r="B22" s="3"/>
      <c r="C22" s="3"/>
      <c r="D22" s="3"/>
    </row>
    <row r="23" spans="1:4" x14ac:dyDescent="0.2">
      <c r="A23" s="3"/>
      <c r="B23" s="3"/>
      <c r="C23" s="3"/>
      <c r="D23" s="3"/>
    </row>
    <row r="24" spans="1:4" x14ac:dyDescent="0.2">
      <c r="A24" s="3"/>
      <c r="B24" s="3"/>
      <c r="C24" s="3"/>
      <c r="D24" s="3"/>
    </row>
    <row r="25" spans="1:4" x14ac:dyDescent="0.2">
      <c r="A25" s="3"/>
      <c r="B25" s="3"/>
      <c r="C25" s="3"/>
      <c r="D25" s="3"/>
    </row>
    <row r="26" spans="1:4" x14ac:dyDescent="0.2">
      <c r="A26" s="3"/>
      <c r="B26" s="3"/>
      <c r="C26" s="3"/>
      <c r="D26" s="3"/>
    </row>
    <row r="27" spans="1:4" x14ac:dyDescent="0.2">
      <c r="A27" s="3"/>
      <c r="B27" s="3"/>
      <c r="C27" s="3"/>
      <c r="D27" s="3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  <vt:lpstr>S16 Material Properties</vt:lpstr>
      <vt:lpstr>S17 Mat. Prop. Weights</vt:lpstr>
      <vt:lpstr>S18 Mat. Perf. Index</vt:lpstr>
      <vt:lpstr>S19 Mat. Cost per Strength</vt:lpstr>
      <vt:lpstr>S20 Material FOM</vt:lpstr>
      <vt:lpstr>S21 Size Calculator</vt:lpstr>
      <vt:lpstr>S22 Required Machine Hours</vt:lpstr>
      <vt:lpstr>S23 Available Working Hours</vt:lpstr>
      <vt:lpstr>S24 Required # of Machines</vt:lpstr>
      <vt:lpstr>MakeBuy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Uygun;Aliaskar Satyldy</dc:creator>
  <cp:lastModifiedBy>Microsoft Office User</cp:lastModifiedBy>
  <dcterms:created xsi:type="dcterms:W3CDTF">2019-02-12T08:38:12Z</dcterms:created>
  <dcterms:modified xsi:type="dcterms:W3CDTF">2022-03-31T13:02:16Z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